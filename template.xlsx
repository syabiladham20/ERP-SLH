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E25D943-09A9-435B-A9EB-35BC07069D1C}" xr6:coauthVersionLast="47" xr6:coauthVersionMax="47" xr10:uidLastSave="{00000000-0000-0000-0000-000000000000}"/>
  <bookViews>
    <workbookView xWindow="-108" yWindow="-108" windowWidth="23256" windowHeight="13176" xr2:uid="{5A998F0A-F4DA-4379-A362-7CA657FB941E}"/>
  </bookViews>
  <sheets>
    <sheet name="TEMPLAT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77" i="1" l="1"/>
  <c r="AE577" i="1"/>
  <c r="AB577" i="1"/>
  <c r="V577" i="1"/>
  <c r="S577" i="1"/>
  <c r="F577" i="1"/>
  <c r="E577" i="1"/>
  <c r="D577" i="1"/>
  <c r="C577" i="1"/>
  <c r="AF576" i="1"/>
  <c r="AE576" i="1"/>
  <c r="AB576" i="1"/>
  <c r="V576" i="1"/>
  <c r="S576" i="1"/>
  <c r="F576" i="1"/>
  <c r="E576" i="1"/>
  <c r="D576" i="1"/>
  <c r="C576" i="1"/>
  <c r="AF575" i="1"/>
  <c r="AE575" i="1"/>
  <c r="AB575" i="1"/>
  <c r="V575" i="1"/>
  <c r="S575" i="1"/>
  <c r="F575" i="1"/>
  <c r="E575" i="1"/>
  <c r="D575" i="1"/>
  <c r="C575" i="1"/>
  <c r="AF574" i="1"/>
  <c r="AE574" i="1"/>
  <c r="AB574" i="1"/>
  <c r="AA574" i="1"/>
  <c r="Y574" i="1"/>
  <c r="X574" i="1"/>
  <c r="V574" i="1"/>
  <c r="S574" i="1"/>
  <c r="F574" i="1"/>
  <c r="E574" i="1"/>
  <c r="D574" i="1"/>
  <c r="C574" i="1"/>
  <c r="AF573" i="1"/>
  <c r="AE573" i="1"/>
  <c r="AB573" i="1"/>
  <c r="AA573" i="1"/>
  <c r="Y573" i="1"/>
  <c r="V573" i="1"/>
  <c r="S573" i="1"/>
  <c r="F573" i="1"/>
  <c r="E573" i="1"/>
  <c r="D573" i="1"/>
  <c r="C573" i="1"/>
  <c r="AF572" i="1"/>
  <c r="AE572" i="1"/>
  <c r="AB572" i="1"/>
  <c r="V572" i="1"/>
  <c r="S572" i="1"/>
  <c r="F572" i="1"/>
  <c r="E572" i="1"/>
  <c r="D572" i="1"/>
  <c r="C572" i="1"/>
  <c r="AF571" i="1"/>
  <c r="AE571" i="1"/>
  <c r="AB571" i="1"/>
  <c r="V571" i="1"/>
  <c r="S571" i="1"/>
  <c r="F571" i="1"/>
  <c r="E571" i="1"/>
  <c r="D571" i="1"/>
  <c r="C571" i="1"/>
  <c r="AF570" i="1"/>
  <c r="AE570" i="1"/>
  <c r="AB570" i="1"/>
  <c r="AA570" i="1"/>
  <c r="Y570" i="1"/>
  <c r="X570" i="1"/>
  <c r="V570" i="1"/>
  <c r="S570" i="1"/>
  <c r="F570" i="1"/>
  <c r="E570" i="1"/>
  <c r="D570" i="1"/>
  <c r="C570" i="1"/>
  <c r="AF569" i="1"/>
  <c r="AE569" i="1"/>
  <c r="AB569" i="1"/>
  <c r="AA569" i="1"/>
  <c r="Y569" i="1"/>
  <c r="V569" i="1"/>
  <c r="S569" i="1"/>
  <c r="F569" i="1"/>
  <c r="E569" i="1"/>
  <c r="D569" i="1"/>
  <c r="C569" i="1"/>
  <c r="AF568" i="1"/>
  <c r="AE568" i="1"/>
  <c r="AB568" i="1"/>
  <c r="Y568" i="1"/>
  <c r="V568" i="1"/>
  <c r="S568" i="1"/>
  <c r="F568" i="1"/>
  <c r="E568" i="1"/>
  <c r="D568" i="1"/>
  <c r="C568" i="1"/>
  <c r="AF567" i="1"/>
  <c r="AE567" i="1"/>
  <c r="AB567" i="1"/>
  <c r="V567" i="1"/>
  <c r="AA567" i="1" s="1"/>
  <c r="S567" i="1"/>
  <c r="F567" i="1"/>
  <c r="E567" i="1"/>
  <c r="D567" i="1"/>
  <c r="C567" i="1"/>
  <c r="AF566" i="1"/>
  <c r="AE566" i="1"/>
  <c r="AB566" i="1"/>
  <c r="V566" i="1"/>
  <c r="S566" i="1"/>
  <c r="F566" i="1"/>
  <c r="E566" i="1"/>
  <c r="D566" i="1"/>
  <c r="C566" i="1"/>
  <c r="AF565" i="1"/>
  <c r="AE565" i="1"/>
  <c r="AB565" i="1"/>
  <c r="V565" i="1"/>
  <c r="S565" i="1"/>
  <c r="F565" i="1"/>
  <c r="E565" i="1"/>
  <c r="D565" i="1"/>
  <c r="C565" i="1"/>
  <c r="AF564" i="1"/>
  <c r="AE564" i="1"/>
  <c r="AB564" i="1"/>
  <c r="V564" i="1"/>
  <c r="AA564" i="1" s="1"/>
  <c r="S564" i="1"/>
  <c r="Z564" i="1" s="1"/>
  <c r="F564" i="1"/>
  <c r="E564" i="1"/>
  <c r="D564" i="1"/>
  <c r="C564" i="1"/>
  <c r="AF563" i="1"/>
  <c r="AE563" i="1"/>
  <c r="AB563" i="1"/>
  <c r="AA563" i="1"/>
  <c r="W563" i="1"/>
  <c r="V563" i="1"/>
  <c r="S563" i="1"/>
  <c r="Z563" i="1" s="1"/>
  <c r="F563" i="1"/>
  <c r="E563" i="1"/>
  <c r="D563" i="1"/>
  <c r="C563" i="1"/>
  <c r="AF562" i="1"/>
  <c r="AE562" i="1"/>
  <c r="AB562" i="1"/>
  <c r="V562" i="1"/>
  <c r="AA562" i="1" s="1"/>
  <c r="S562" i="1"/>
  <c r="Z562" i="1" s="1"/>
  <c r="F562" i="1"/>
  <c r="E562" i="1"/>
  <c r="D562" i="1"/>
  <c r="C562" i="1"/>
  <c r="AF561" i="1"/>
  <c r="AE561" i="1"/>
  <c r="AB561" i="1"/>
  <c r="AA561" i="1"/>
  <c r="V561" i="1"/>
  <c r="S561" i="1"/>
  <c r="Z561" i="1" s="1"/>
  <c r="F561" i="1"/>
  <c r="E561" i="1"/>
  <c r="D561" i="1"/>
  <c r="C561" i="1"/>
  <c r="AF560" i="1"/>
  <c r="AE560" i="1"/>
  <c r="AB560" i="1"/>
  <c r="W560" i="1"/>
  <c r="V560" i="1"/>
  <c r="AA560" i="1" s="1"/>
  <c r="S560" i="1"/>
  <c r="Z560" i="1" s="1"/>
  <c r="F560" i="1"/>
  <c r="E560" i="1"/>
  <c r="D560" i="1"/>
  <c r="C560" i="1"/>
  <c r="AF559" i="1"/>
  <c r="AE559" i="1"/>
  <c r="AB559" i="1"/>
  <c r="AA559" i="1"/>
  <c r="V559" i="1"/>
  <c r="S559" i="1"/>
  <c r="Z559" i="1" s="1"/>
  <c r="F559" i="1"/>
  <c r="E559" i="1"/>
  <c r="D559" i="1"/>
  <c r="C559" i="1"/>
  <c r="AF558" i="1"/>
  <c r="AE558" i="1"/>
  <c r="AB558" i="1"/>
  <c r="W558" i="1"/>
  <c r="V558" i="1"/>
  <c r="AA558" i="1" s="1"/>
  <c r="S558" i="1"/>
  <c r="Z558" i="1" s="1"/>
  <c r="F558" i="1"/>
  <c r="E558" i="1"/>
  <c r="D558" i="1"/>
  <c r="C558" i="1"/>
  <c r="AF557" i="1"/>
  <c r="AE557" i="1"/>
  <c r="AB557" i="1"/>
  <c r="AA557" i="1"/>
  <c r="V557" i="1"/>
  <c r="S557" i="1"/>
  <c r="F557" i="1"/>
  <c r="E557" i="1"/>
  <c r="D557" i="1"/>
  <c r="C557" i="1"/>
  <c r="AF556" i="1"/>
  <c r="AE556" i="1"/>
  <c r="AB556" i="1"/>
  <c r="W556" i="1"/>
  <c r="V556" i="1"/>
  <c r="AA556" i="1" s="1"/>
  <c r="S556" i="1"/>
  <c r="Z556" i="1" s="1"/>
  <c r="F556" i="1"/>
  <c r="E556" i="1"/>
  <c r="D556" i="1"/>
  <c r="C556" i="1"/>
  <c r="AF555" i="1"/>
  <c r="AE555" i="1"/>
  <c r="AB555" i="1"/>
  <c r="AA555" i="1"/>
  <c r="W555" i="1"/>
  <c r="V555" i="1"/>
  <c r="S555" i="1"/>
  <c r="F555" i="1"/>
  <c r="E555" i="1"/>
  <c r="D555" i="1"/>
  <c r="C555" i="1"/>
  <c r="AF554" i="1"/>
  <c r="AE554" i="1"/>
  <c r="AB554" i="1"/>
  <c r="AA554" i="1"/>
  <c r="W554" i="1"/>
  <c r="V554" i="1"/>
  <c r="S554" i="1"/>
  <c r="F554" i="1"/>
  <c r="E554" i="1"/>
  <c r="D554" i="1"/>
  <c r="C554" i="1"/>
  <c r="AF553" i="1"/>
  <c r="AE553" i="1"/>
  <c r="AB553" i="1"/>
  <c r="AA553" i="1"/>
  <c r="W553" i="1"/>
  <c r="V553" i="1"/>
  <c r="S553" i="1"/>
  <c r="F553" i="1"/>
  <c r="E553" i="1"/>
  <c r="D553" i="1"/>
  <c r="C553" i="1"/>
  <c r="AF552" i="1"/>
  <c r="AE552" i="1"/>
  <c r="AB552" i="1"/>
  <c r="AA552" i="1"/>
  <c r="W552" i="1"/>
  <c r="V552" i="1"/>
  <c r="S552" i="1"/>
  <c r="F552" i="1"/>
  <c r="E552" i="1"/>
  <c r="D552" i="1"/>
  <c r="C552" i="1"/>
  <c r="AF551" i="1"/>
  <c r="AE551" i="1"/>
  <c r="AB551" i="1"/>
  <c r="V551" i="1"/>
  <c r="S551" i="1"/>
  <c r="F551" i="1"/>
  <c r="E551" i="1"/>
  <c r="D551" i="1"/>
  <c r="C551" i="1"/>
  <c r="AF550" i="1"/>
  <c r="AE550" i="1"/>
  <c r="AB550" i="1"/>
  <c r="Y550" i="1"/>
  <c r="X550" i="1"/>
  <c r="W550" i="1"/>
  <c r="V550" i="1"/>
  <c r="AA550" i="1" s="1"/>
  <c r="S550" i="1"/>
  <c r="Z550" i="1" s="1"/>
  <c r="F550" i="1"/>
  <c r="E550" i="1"/>
  <c r="D550" i="1"/>
  <c r="C550" i="1"/>
  <c r="AF549" i="1"/>
  <c r="AE549" i="1"/>
  <c r="AB549" i="1"/>
  <c r="AA549" i="1"/>
  <c r="V549" i="1"/>
  <c r="S549" i="1"/>
  <c r="F549" i="1"/>
  <c r="E549" i="1"/>
  <c r="D549" i="1"/>
  <c r="C549" i="1"/>
  <c r="AF548" i="1"/>
  <c r="AE548" i="1"/>
  <c r="AB548" i="1"/>
  <c r="Y548" i="1"/>
  <c r="W548" i="1"/>
  <c r="V548" i="1"/>
  <c r="AA548" i="1" s="1"/>
  <c r="S548" i="1"/>
  <c r="Z548" i="1" s="1"/>
  <c r="F548" i="1"/>
  <c r="E548" i="1"/>
  <c r="D548" i="1"/>
  <c r="C548" i="1"/>
  <c r="AF547" i="1"/>
  <c r="AE547" i="1"/>
  <c r="AB547" i="1"/>
  <c r="AA547" i="1"/>
  <c r="V547" i="1"/>
  <c r="S547" i="1"/>
  <c r="F547" i="1"/>
  <c r="E547" i="1"/>
  <c r="D547" i="1"/>
  <c r="C547" i="1"/>
  <c r="AF546" i="1"/>
  <c r="AE546" i="1"/>
  <c r="AB546" i="1"/>
  <c r="W546" i="1"/>
  <c r="V546" i="1"/>
  <c r="AA546" i="1" s="1"/>
  <c r="S546" i="1"/>
  <c r="Z546" i="1" s="1"/>
  <c r="F546" i="1"/>
  <c r="E546" i="1"/>
  <c r="D546" i="1"/>
  <c r="C546" i="1"/>
  <c r="AF545" i="1"/>
  <c r="AE545" i="1"/>
  <c r="AB545" i="1"/>
  <c r="V545" i="1"/>
  <c r="S545" i="1"/>
  <c r="F545" i="1"/>
  <c r="E545" i="1"/>
  <c r="D545" i="1"/>
  <c r="C545" i="1"/>
  <c r="AF544" i="1"/>
  <c r="AE544" i="1"/>
  <c r="AB544" i="1"/>
  <c r="AA544" i="1"/>
  <c r="Z544" i="1"/>
  <c r="V544" i="1"/>
  <c r="S544" i="1"/>
  <c r="F544" i="1"/>
  <c r="E544" i="1"/>
  <c r="D544" i="1"/>
  <c r="C544" i="1"/>
  <c r="AF543" i="1"/>
  <c r="AE543" i="1"/>
  <c r="AB543" i="1"/>
  <c r="AA543" i="1"/>
  <c r="Z543" i="1"/>
  <c r="V543" i="1"/>
  <c r="S543" i="1"/>
  <c r="F543" i="1"/>
  <c r="E543" i="1"/>
  <c r="D543" i="1"/>
  <c r="C543" i="1"/>
  <c r="AF542" i="1"/>
  <c r="AE542" i="1"/>
  <c r="AB542" i="1"/>
  <c r="AA542" i="1"/>
  <c r="Z542" i="1"/>
  <c r="V542" i="1"/>
  <c r="S542" i="1"/>
  <c r="F542" i="1"/>
  <c r="E542" i="1"/>
  <c r="D542" i="1"/>
  <c r="C542" i="1"/>
  <c r="AF541" i="1"/>
  <c r="AE541" i="1"/>
  <c r="AB541" i="1"/>
  <c r="V541" i="1"/>
  <c r="S541" i="1"/>
  <c r="F541" i="1"/>
  <c r="E541" i="1"/>
  <c r="D541" i="1"/>
  <c r="C541" i="1"/>
  <c r="AF540" i="1"/>
  <c r="AE540" i="1"/>
  <c r="AB540" i="1"/>
  <c r="V540" i="1"/>
  <c r="S540" i="1"/>
  <c r="F540" i="1"/>
  <c r="E540" i="1"/>
  <c r="D540" i="1"/>
  <c r="C540" i="1"/>
  <c r="AF539" i="1"/>
  <c r="AE539" i="1"/>
  <c r="AB539" i="1"/>
  <c r="V539" i="1"/>
  <c r="S539" i="1"/>
  <c r="F539" i="1"/>
  <c r="E539" i="1"/>
  <c r="D539" i="1"/>
  <c r="C539" i="1"/>
  <c r="AF538" i="1"/>
  <c r="AE538" i="1"/>
  <c r="AB538" i="1"/>
  <c r="V538" i="1"/>
  <c r="S538" i="1"/>
  <c r="F538" i="1"/>
  <c r="E538" i="1"/>
  <c r="D538" i="1"/>
  <c r="C538" i="1"/>
  <c r="AF537" i="1"/>
  <c r="AE537" i="1"/>
  <c r="AB537" i="1"/>
  <c r="AA537" i="1"/>
  <c r="V537" i="1"/>
  <c r="S537" i="1"/>
  <c r="F537" i="1"/>
  <c r="E537" i="1"/>
  <c r="D537" i="1"/>
  <c r="C537" i="1"/>
  <c r="AF536" i="1"/>
  <c r="AE536" i="1"/>
  <c r="AB536" i="1"/>
  <c r="V536" i="1"/>
  <c r="AA536" i="1" s="1"/>
  <c r="S536" i="1"/>
  <c r="F536" i="1"/>
  <c r="E536" i="1"/>
  <c r="D536" i="1"/>
  <c r="C536" i="1"/>
  <c r="AF535" i="1"/>
  <c r="AE535" i="1"/>
  <c r="AB535" i="1"/>
  <c r="V535" i="1"/>
  <c r="AA535" i="1" s="1"/>
  <c r="S535" i="1"/>
  <c r="F535" i="1"/>
  <c r="E535" i="1"/>
  <c r="D535" i="1"/>
  <c r="C535" i="1"/>
  <c r="AF534" i="1"/>
  <c r="AE534" i="1"/>
  <c r="AB534" i="1"/>
  <c r="V534" i="1"/>
  <c r="AA534" i="1" s="1"/>
  <c r="S534" i="1"/>
  <c r="F534" i="1"/>
  <c r="E534" i="1"/>
  <c r="D534" i="1"/>
  <c r="C534" i="1"/>
  <c r="AF533" i="1"/>
  <c r="AE533" i="1"/>
  <c r="AB533" i="1"/>
  <c r="V533" i="1"/>
  <c r="S533" i="1"/>
  <c r="F533" i="1"/>
  <c r="E533" i="1"/>
  <c r="D533" i="1"/>
  <c r="C533" i="1"/>
  <c r="AF532" i="1"/>
  <c r="AE532" i="1"/>
  <c r="AB532" i="1"/>
  <c r="Z532" i="1"/>
  <c r="V532" i="1"/>
  <c r="AA532" i="1" s="1"/>
  <c r="S532" i="1"/>
  <c r="F532" i="1"/>
  <c r="E532" i="1"/>
  <c r="D532" i="1"/>
  <c r="C532" i="1"/>
  <c r="AF531" i="1"/>
  <c r="AE531" i="1"/>
  <c r="AB531" i="1"/>
  <c r="AA531" i="1"/>
  <c r="Z531" i="1"/>
  <c r="V531" i="1"/>
  <c r="S531" i="1"/>
  <c r="F531" i="1"/>
  <c r="E531" i="1"/>
  <c r="D531" i="1"/>
  <c r="C531" i="1"/>
  <c r="AF530" i="1"/>
  <c r="AE530" i="1"/>
  <c r="AB530" i="1"/>
  <c r="Z530" i="1"/>
  <c r="Y530" i="1"/>
  <c r="X530" i="1"/>
  <c r="V530" i="1"/>
  <c r="S530" i="1"/>
  <c r="W530" i="1" s="1"/>
  <c r="F530" i="1"/>
  <c r="E530" i="1"/>
  <c r="D530" i="1"/>
  <c r="C530" i="1"/>
  <c r="AF529" i="1"/>
  <c r="AE529" i="1"/>
  <c r="AB529" i="1"/>
  <c r="Z529" i="1"/>
  <c r="Y529" i="1"/>
  <c r="X529" i="1"/>
  <c r="V529" i="1"/>
  <c r="S529" i="1"/>
  <c r="W529" i="1" s="1"/>
  <c r="F529" i="1"/>
  <c r="E529" i="1"/>
  <c r="D529" i="1"/>
  <c r="C529" i="1"/>
  <c r="AF528" i="1"/>
  <c r="AE528" i="1"/>
  <c r="AB528" i="1"/>
  <c r="Z528" i="1"/>
  <c r="Y528" i="1"/>
  <c r="X528" i="1"/>
  <c r="V528" i="1"/>
  <c r="S528" i="1"/>
  <c r="W528" i="1" s="1"/>
  <c r="F528" i="1"/>
  <c r="E528" i="1"/>
  <c r="D528" i="1"/>
  <c r="C528" i="1"/>
  <c r="AF527" i="1"/>
  <c r="AE527" i="1"/>
  <c r="AB527" i="1"/>
  <c r="Z527" i="1"/>
  <c r="Y527" i="1"/>
  <c r="X527" i="1"/>
  <c r="W527" i="1"/>
  <c r="V527" i="1"/>
  <c r="S527" i="1"/>
  <c r="F527" i="1"/>
  <c r="E527" i="1"/>
  <c r="D527" i="1"/>
  <c r="C527" i="1"/>
  <c r="AF526" i="1"/>
  <c r="AE526" i="1"/>
  <c r="AB526" i="1"/>
  <c r="Z526" i="1"/>
  <c r="Y526" i="1"/>
  <c r="X526" i="1"/>
  <c r="W526" i="1"/>
  <c r="V526" i="1"/>
  <c r="S526" i="1"/>
  <c r="F526" i="1"/>
  <c r="E526" i="1"/>
  <c r="D526" i="1"/>
  <c r="C526" i="1"/>
  <c r="AF525" i="1"/>
  <c r="AE525" i="1"/>
  <c r="AB525" i="1"/>
  <c r="Z525" i="1"/>
  <c r="Y525" i="1"/>
  <c r="X525" i="1"/>
  <c r="W525" i="1"/>
  <c r="V525" i="1"/>
  <c r="S525" i="1"/>
  <c r="F525" i="1"/>
  <c r="E525" i="1"/>
  <c r="D525" i="1"/>
  <c r="C525" i="1"/>
  <c r="AF524" i="1"/>
  <c r="AE524" i="1"/>
  <c r="AB524" i="1"/>
  <c r="Z524" i="1"/>
  <c r="Y524" i="1"/>
  <c r="X524" i="1"/>
  <c r="W524" i="1"/>
  <c r="V524" i="1"/>
  <c r="S524" i="1"/>
  <c r="F524" i="1"/>
  <c r="E524" i="1"/>
  <c r="D524" i="1"/>
  <c r="C524" i="1"/>
  <c r="AF523" i="1"/>
  <c r="AE523" i="1"/>
  <c r="AB523" i="1"/>
  <c r="Z523" i="1"/>
  <c r="Y523" i="1"/>
  <c r="X523" i="1"/>
  <c r="W523" i="1"/>
  <c r="V523" i="1"/>
  <c r="S523" i="1"/>
  <c r="F523" i="1"/>
  <c r="E523" i="1"/>
  <c r="D523" i="1"/>
  <c r="C523" i="1"/>
  <c r="AF522" i="1"/>
  <c r="AE522" i="1"/>
  <c r="AB522" i="1"/>
  <c r="Z522" i="1"/>
  <c r="Y522" i="1"/>
  <c r="X522" i="1"/>
  <c r="W522" i="1"/>
  <c r="V522" i="1"/>
  <c r="S522" i="1"/>
  <c r="F522" i="1"/>
  <c r="E522" i="1"/>
  <c r="D522" i="1"/>
  <c r="C522" i="1"/>
  <c r="AF521" i="1"/>
  <c r="AE521" i="1"/>
  <c r="AB521" i="1"/>
  <c r="Z521" i="1"/>
  <c r="Y521" i="1"/>
  <c r="X521" i="1"/>
  <c r="W521" i="1"/>
  <c r="V521" i="1"/>
  <c r="AA521" i="1" s="1"/>
  <c r="S521" i="1"/>
  <c r="F521" i="1"/>
  <c r="E521" i="1"/>
  <c r="D521" i="1"/>
  <c r="C521" i="1"/>
  <c r="AF520" i="1"/>
  <c r="AE520" i="1"/>
  <c r="AB520" i="1"/>
  <c r="Z520" i="1"/>
  <c r="Y520" i="1"/>
  <c r="X520" i="1"/>
  <c r="W520" i="1"/>
  <c r="V520" i="1"/>
  <c r="AA520" i="1" s="1"/>
  <c r="S520" i="1"/>
  <c r="F520" i="1"/>
  <c r="E520" i="1"/>
  <c r="D520" i="1"/>
  <c r="C520" i="1"/>
  <c r="AF519" i="1"/>
  <c r="AE519" i="1"/>
  <c r="AB519" i="1"/>
  <c r="Z519" i="1"/>
  <c r="Y519" i="1"/>
  <c r="X519" i="1"/>
  <c r="W519" i="1"/>
  <c r="V519" i="1"/>
  <c r="AA519" i="1" s="1"/>
  <c r="S519" i="1"/>
  <c r="F519" i="1"/>
  <c r="E519" i="1"/>
  <c r="D519" i="1"/>
  <c r="C519" i="1"/>
  <c r="AF518" i="1"/>
  <c r="AE518" i="1"/>
  <c r="AB518" i="1"/>
  <c r="Z518" i="1"/>
  <c r="Y518" i="1"/>
  <c r="X518" i="1"/>
  <c r="W518" i="1"/>
  <c r="V518" i="1"/>
  <c r="AA518" i="1" s="1"/>
  <c r="S518" i="1"/>
  <c r="F518" i="1"/>
  <c r="E518" i="1"/>
  <c r="D518" i="1"/>
  <c r="C518" i="1"/>
  <c r="AF517" i="1"/>
  <c r="AE517" i="1"/>
  <c r="AB517" i="1"/>
  <c r="Z517" i="1"/>
  <c r="Y517" i="1"/>
  <c r="X517" i="1"/>
  <c r="W517" i="1"/>
  <c r="V517" i="1"/>
  <c r="AA517" i="1" s="1"/>
  <c r="S517" i="1"/>
  <c r="F517" i="1"/>
  <c r="E517" i="1"/>
  <c r="D517" i="1"/>
  <c r="C517" i="1"/>
  <c r="AF516" i="1"/>
  <c r="AE516" i="1"/>
  <c r="AB516" i="1"/>
  <c r="Z516" i="1"/>
  <c r="Y516" i="1"/>
  <c r="X516" i="1"/>
  <c r="W516" i="1"/>
  <c r="V516" i="1"/>
  <c r="AA516" i="1" s="1"/>
  <c r="S516" i="1"/>
  <c r="F516" i="1"/>
  <c r="E516" i="1"/>
  <c r="D516" i="1"/>
  <c r="C516" i="1"/>
  <c r="AF515" i="1"/>
  <c r="AE515" i="1"/>
  <c r="AB515" i="1"/>
  <c r="Z515" i="1"/>
  <c r="Y515" i="1"/>
  <c r="X515" i="1"/>
  <c r="W515" i="1"/>
  <c r="V515" i="1"/>
  <c r="AA515" i="1" s="1"/>
  <c r="S515" i="1"/>
  <c r="F515" i="1"/>
  <c r="E515" i="1"/>
  <c r="D515" i="1"/>
  <c r="C515" i="1"/>
  <c r="AF514" i="1"/>
  <c r="AE514" i="1"/>
  <c r="AB514" i="1"/>
  <c r="Z514" i="1"/>
  <c r="Y514" i="1"/>
  <c r="X514" i="1"/>
  <c r="W514" i="1"/>
  <c r="V514" i="1"/>
  <c r="AA514" i="1" s="1"/>
  <c r="S514" i="1"/>
  <c r="F514" i="1"/>
  <c r="E514" i="1"/>
  <c r="D514" i="1"/>
  <c r="C514" i="1"/>
  <c r="AF513" i="1"/>
  <c r="AE513" i="1"/>
  <c r="AB513" i="1"/>
  <c r="Z513" i="1"/>
  <c r="Y513" i="1"/>
  <c r="X513" i="1"/>
  <c r="W513" i="1"/>
  <c r="V513" i="1"/>
  <c r="AA513" i="1" s="1"/>
  <c r="S513" i="1"/>
  <c r="F513" i="1"/>
  <c r="E513" i="1"/>
  <c r="D513" i="1"/>
  <c r="C513" i="1"/>
  <c r="AF512" i="1"/>
  <c r="AE512" i="1"/>
  <c r="AB512" i="1"/>
  <c r="Z512" i="1"/>
  <c r="Y512" i="1"/>
  <c r="X512" i="1"/>
  <c r="W512" i="1"/>
  <c r="V512" i="1"/>
  <c r="AA512" i="1" s="1"/>
  <c r="S512" i="1"/>
  <c r="F512" i="1"/>
  <c r="E512" i="1"/>
  <c r="D512" i="1"/>
  <c r="C512" i="1"/>
  <c r="AF511" i="1"/>
  <c r="AE511" i="1"/>
  <c r="AB511" i="1"/>
  <c r="Z511" i="1"/>
  <c r="Y511" i="1"/>
  <c r="X511" i="1"/>
  <c r="W511" i="1"/>
  <c r="V511" i="1"/>
  <c r="AA511" i="1" s="1"/>
  <c r="S511" i="1"/>
  <c r="F511" i="1"/>
  <c r="E511" i="1"/>
  <c r="D511" i="1"/>
  <c r="C511" i="1"/>
  <c r="AF510" i="1"/>
  <c r="AE510" i="1"/>
  <c r="AB510" i="1"/>
  <c r="Z510" i="1"/>
  <c r="Y510" i="1"/>
  <c r="X510" i="1"/>
  <c r="W510" i="1"/>
  <c r="V510" i="1"/>
  <c r="AA510" i="1" s="1"/>
  <c r="S510" i="1"/>
  <c r="O510" i="1"/>
  <c r="F510" i="1"/>
  <c r="E510" i="1"/>
  <c r="D510" i="1"/>
  <c r="C510" i="1"/>
  <c r="A510" i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F509" i="1"/>
  <c r="AE509" i="1"/>
  <c r="AB509" i="1"/>
  <c r="Z509" i="1"/>
  <c r="Y509" i="1"/>
  <c r="X509" i="1"/>
  <c r="W509" i="1"/>
  <c r="V509" i="1"/>
  <c r="AA509" i="1" s="1"/>
  <c r="S509" i="1"/>
  <c r="F509" i="1"/>
  <c r="E509" i="1"/>
  <c r="D509" i="1"/>
  <c r="C509" i="1"/>
  <c r="A509" i="1"/>
  <c r="AE508" i="1"/>
  <c r="AB508" i="1"/>
  <c r="Z508" i="1"/>
  <c r="X508" i="1"/>
  <c r="W508" i="1"/>
  <c r="V508" i="1"/>
  <c r="AA508" i="1" s="1"/>
  <c r="S508" i="1"/>
  <c r="Y508" i="1" s="1"/>
  <c r="O508" i="1"/>
  <c r="O514" i="1" s="1"/>
  <c r="F508" i="1"/>
  <c r="E508" i="1"/>
  <c r="D508" i="1"/>
  <c r="C508" i="1"/>
  <c r="BD500" i="1"/>
  <c r="BA500" i="1"/>
  <c r="AX500" i="1"/>
  <c r="AV500" i="1"/>
  <c r="AU500" i="1"/>
  <c r="AL500" i="1"/>
  <c r="AK500" i="1"/>
  <c r="AJ500" i="1"/>
  <c r="AI500" i="1"/>
  <c r="AH500" i="1"/>
  <c r="AF500" i="1"/>
  <c r="AM500" i="1" s="1"/>
  <c r="AE500" i="1"/>
  <c r="T500" i="1"/>
  <c r="S500" i="1"/>
  <c r="O500" i="1"/>
  <c r="N500" i="1"/>
  <c r="M500" i="1"/>
  <c r="BD499" i="1"/>
  <c r="BA499" i="1"/>
  <c r="AX499" i="1"/>
  <c r="AV499" i="1"/>
  <c r="AU499" i="1"/>
  <c r="AL499" i="1"/>
  <c r="AK499" i="1"/>
  <c r="AJ499" i="1"/>
  <c r="AI499" i="1"/>
  <c r="AH499" i="1"/>
  <c r="AF499" i="1"/>
  <c r="AM499" i="1" s="1"/>
  <c r="AE499" i="1"/>
  <c r="T499" i="1"/>
  <c r="S499" i="1"/>
  <c r="O499" i="1"/>
  <c r="N499" i="1"/>
  <c r="M499" i="1"/>
  <c r="BD498" i="1"/>
  <c r="BA498" i="1"/>
  <c r="AX498" i="1"/>
  <c r="AV498" i="1"/>
  <c r="AU498" i="1"/>
  <c r="AL498" i="1"/>
  <c r="AK498" i="1"/>
  <c r="AJ498" i="1"/>
  <c r="AI498" i="1"/>
  <c r="AH498" i="1"/>
  <c r="AF498" i="1"/>
  <c r="AM498" i="1" s="1"/>
  <c r="AE498" i="1"/>
  <c r="T498" i="1"/>
  <c r="S498" i="1"/>
  <c r="O498" i="1"/>
  <c r="N498" i="1"/>
  <c r="M498" i="1"/>
  <c r="BD497" i="1"/>
  <c r="BA497" i="1"/>
  <c r="AX497" i="1"/>
  <c r="AV497" i="1"/>
  <c r="AU497" i="1"/>
  <c r="AL497" i="1"/>
  <c r="AK497" i="1"/>
  <c r="AJ497" i="1"/>
  <c r="AI497" i="1"/>
  <c r="AH497" i="1"/>
  <c r="AF497" i="1"/>
  <c r="AM497" i="1" s="1"/>
  <c r="AE497" i="1"/>
  <c r="T497" i="1"/>
  <c r="S497" i="1"/>
  <c r="O497" i="1"/>
  <c r="N497" i="1"/>
  <c r="M497" i="1"/>
  <c r="BD496" i="1"/>
  <c r="BA496" i="1"/>
  <c r="AX496" i="1"/>
  <c r="AV496" i="1"/>
  <c r="AU496" i="1"/>
  <c r="AL496" i="1"/>
  <c r="AK496" i="1"/>
  <c r="AJ496" i="1"/>
  <c r="AI496" i="1"/>
  <c r="AH496" i="1"/>
  <c r="AF496" i="1"/>
  <c r="AM496" i="1" s="1"/>
  <c r="AE496" i="1"/>
  <c r="T496" i="1"/>
  <c r="S496" i="1"/>
  <c r="O496" i="1"/>
  <c r="N496" i="1"/>
  <c r="M496" i="1"/>
  <c r="BD495" i="1"/>
  <c r="BA495" i="1"/>
  <c r="AV495" i="1"/>
  <c r="AU495" i="1"/>
  <c r="AK495" i="1"/>
  <c r="AJ495" i="1"/>
  <c r="AI495" i="1"/>
  <c r="AH495" i="1"/>
  <c r="AE495" i="1"/>
  <c r="T495" i="1"/>
  <c r="S495" i="1"/>
  <c r="O495" i="1"/>
  <c r="N495" i="1"/>
  <c r="M495" i="1"/>
  <c r="BD494" i="1"/>
  <c r="BA494" i="1"/>
  <c r="AV494" i="1"/>
  <c r="AU494" i="1"/>
  <c r="AK494" i="1"/>
  <c r="AJ494" i="1"/>
  <c r="AI494" i="1"/>
  <c r="AH494" i="1"/>
  <c r="AE494" i="1"/>
  <c r="T494" i="1"/>
  <c r="S494" i="1"/>
  <c r="O494" i="1"/>
  <c r="N494" i="1"/>
  <c r="M494" i="1"/>
  <c r="BD493" i="1"/>
  <c r="BA493" i="1"/>
  <c r="AV493" i="1"/>
  <c r="AU493" i="1"/>
  <c r="AK493" i="1"/>
  <c r="AJ493" i="1"/>
  <c r="AI493" i="1"/>
  <c r="AH493" i="1"/>
  <c r="AE493" i="1"/>
  <c r="T493" i="1"/>
  <c r="S493" i="1"/>
  <c r="O493" i="1"/>
  <c r="N493" i="1"/>
  <c r="M493" i="1"/>
  <c r="BD492" i="1"/>
  <c r="BA492" i="1"/>
  <c r="AV492" i="1"/>
  <c r="AU492" i="1"/>
  <c r="AK492" i="1"/>
  <c r="AJ492" i="1"/>
  <c r="AI492" i="1"/>
  <c r="AH492" i="1"/>
  <c r="AE492" i="1"/>
  <c r="T492" i="1"/>
  <c r="S492" i="1"/>
  <c r="O492" i="1"/>
  <c r="N492" i="1"/>
  <c r="M492" i="1"/>
  <c r="BD491" i="1"/>
  <c r="BA491" i="1"/>
  <c r="AV491" i="1"/>
  <c r="AU491" i="1"/>
  <c r="AK491" i="1"/>
  <c r="AJ491" i="1"/>
  <c r="AI491" i="1"/>
  <c r="AH491" i="1"/>
  <c r="AE491" i="1"/>
  <c r="T491" i="1"/>
  <c r="S491" i="1"/>
  <c r="O491" i="1"/>
  <c r="N491" i="1"/>
  <c r="AX491" i="1" s="1"/>
  <c r="M491" i="1"/>
  <c r="BD490" i="1"/>
  <c r="BA490" i="1"/>
  <c r="AV490" i="1"/>
  <c r="AU490" i="1"/>
  <c r="AK490" i="1"/>
  <c r="AJ490" i="1"/>
  <c r="AI490" i="1"/>
  <c r="AH490" i="1"/>
  <c r="AE490" i="1"/>
  <c r="T490" i="1"/>
  <c r="S490" i="1"/>
  <c r="O490" i="1"/>
  <c r="N490" i="1"/>
  <c r="AX490" i="1" s="1"/>
  <c r="M490" i="1"/>
  <c r="BD489" i="1"/>
  <c r="BA489" i="1"/>
  <c r="AV489" i="1"/>
  <c r="AU489" i="1"/>
  <c r="AK489" i="1"/>
  <c r="AJ489" i="1"/>
  <c r="AI489" i="1"/>
  <c r="AH489" i="1"/>
  <c r="AE489" i="1"/>
  <c r="T489" i="1"/>
  <c r="S489" i="1"/>
  <c r="O489" i="1"/>
  <c r="N489" i="1"/>
  <c r="AX489" i="1" s="1"/>
  <c r="M489" i="1"/>
  <c r="BD488" i="1"/>
  <c r="BA488" i="1"/>
  <c r="AV488" i="1"/>
  <c r="AU488" i="1"/>
  <c r="AK488" i="1"/>
  <c r="AJ488" i="1"/>
  <c r="AI488" i="1"/>
  <c r="AH488" i="1"/>
  <c r="AE488" i="1"/>
  <c r="T488" i="1"/>
  <c r="S488" i="1"/>
  <c r="O488" i="1"/>
  <c r="N488" i="1"/>
  <c r="AX488" i="1" s="1"/>
  <c r="M488" i="1"/>
  <c r="BD487" i="1"/>
  <c r="BA487" i="1"/>
  <c r="AV487" i="1"/>
  <c r="AU487" i="1"/>
  <c r="AK487" i="1"/>
  <c r="AJ487" i="1"/>
  <c r="AI487" i="1"/>
  <c r="AH487" i="1"/>
  <c r="AE487" i="1"/>
  <c r="T487" i="1"/>
  <c r="S487" i="1"/>
  <c r="O487" i="1"/>
  <c r="N487" i="1"/>
  <c r="AX487" i="1" s="1"/>
  <c r="M487" i="1"/>
  <c r="BD486" i="1"/>
  <c r="BA486" i="1"/>
  <c r="AV486" i="1"/>
  <c r="AU486" i="1"/>
  <c r="AK486" i="1"/>
  <c r="AJ486" i="1"/>
  <c r="AI486" i="1"/>
  <c r="AH486" i="1"/>
  <c r="AE486" i="1"/>
  <c r="T486" i="1"/>
  <c r="S486" i="1"/>
  <c r="O486" i="1"/>
  <c r="N486" i="1"/>
  <c r="AX486" i="1" s="1"/>
  <c r="M486" i="1"/>
  <c r="BD485" i="1"/>
  <c r="BA485" i="1"/>
  <c r="AV485" i="1"/>
  <c r="AU485" i="1"/>
  <c r="AK485" i="1"/>
  <c r="AJ485" i="1"/>
  <c r="AI485" i="1"/>
  <c r="AH485" i="1"/>
  <c r="AE485" i="1"/>
  <c r="T485" i="1"/>
  <c r="S485" i="1"/>
  <c r="O485" i="1"/>
  <c r="N485" i="1"/>
  <c r="AX485" i="1" s="1"/>
  <c r="M485" i="1"/>
  <c r="BD484" i="1"/>
  <c r="BA484" i="1"/>
  <c r="AV484" i="1"/>
  <c r="AU484" i="1"/>
  <c r="AK484" i="1"/>
  <c r="AJ484" i="1"/>
  <c r="AI484" i="1"/>
  <c r="AH484" i="1"/>
  <c r="AE484" i="1"/>
  <c r="T484" i="1"/>
  <c r="S484" i="1"/>
  <c r="O484" i="1"/>
  <c r="N484" i="1"/>
  <c r="AX484" i="1" s="1"/>
  <c r="M484" i="1"/>
  <c r="BD483" i="1"/>
  <c r="BA483" i="1"/>
  <c r="AV483" i="1"/>
  <c r="AU483" i="1"/>
  <c r="AK483" i="1"/>
  <c r="AJ483" i="1"/>
  <c r="AI483" i="1"/>
  <c r="AH483" i="1"/>
  <c r="AE483" i="1"/>
  <c r="T483" i="1"/>
  <c r="S483" i="1"/>
  <c r="O483" i="1"/>
  <c r="N483" i="1"/>
  <c r="AX483" i="1" s="1"/>
  <c r="M483" i="1"/>
  <c r="BD482" i="1"/>
  <c r="BA482" i="1"/>
  <c r="AV482" i="1"/>
  <c r="AU482" i="1"/>
  <c r="AK482" i="1"/>
  <c r="AJ482" i="1"/>
  <c r="AI482" i="1"/>
  <c r="AH482" i="1"/>
  <c r="AF482" i="1"/>
  <c r="AM482" i="1" s="1"/>
  <c r="AE482" i="1"/>
  <c r="AL482" i="1" s="1"/>
  <c r="T482" i="1"/>
  <c r="S482" i="1"/>
  <c r="O482" i="1"/>
  <c r="N482" i="1"/>
  <c r="AX482" i="1" s="1"/>
  <c r="M482" i="1"/>
  <c r="BD481" i="1"/>
  <c r="BA481" i="1"/>
  <c r="AX481" i="1"/>
  <c r="AV481" i="1"/>
  <c r="AU481" i="1"/>
  <c r="AK481" i="1"/>
  <c r="AJ481" i="1"/>
  <c r="AI481" i="1"/>
  <c r="AH481" i="1"/>
  <c r="AE481" i="1"/>
  <c r="AL481" i="1" s="1"/>
  <c r="T481" i="1"/>
  <c r="S481" i="1"/>
  <c r="O481" i="1"/>
  <c r="N481" i="1"/>
  <c r="M481" i="1"/>
  <c r="BD480" i="1"/>
  <c r="BA480" i="1"/>
  <c r="AX480" i="1"/>
  <c r="AV480" i="1"/>
  <c r="AU480" i="1"/>
  <c r="AL480" i="1"/>
  <c r="AK480" i="1"/>
  <c r="AJ480" i="1"/>
  <c r="AI480" i="1"/>
  <c r="AH480" i="1"/>
  <c r="AF480" i="1"/>
  <c r="AM480" i="1" s="1"/>
  <c r="AE480" i="1"/>
  <c r="T480" i="1"/>
  <c r="S480" i="1"/>
  <c r="O480" i="1"/>
  <c r="N480" i="1"/>
  <c r="M480" i="1"/>
  <c r="BD479" i="1"/>
  <c r="BA479" i="1"/>
  <c r="AV479" i="1"/>
  <c r="AU479" i="1"/>
  <c r="AL479" i="1"/>
  <c r="AK479" i="1"/>
  <c r="AJ479" i="1"/>
  <c r="AI479" i="1"/>
  <c r="AH479" i="1"/>
  <c r="AF479" i="1"/>
  <c r="AM479" i="1" s="1"/>
  <c r="AE479" i="1"/>
  <c r="T479" i="1"/>
  <c r="S479" i="1"/>
  <c r="O479" i="1"/>
  <c r="N479" i="1"/>
  <c r="M479" i="1"/>
  <c r="AX479" i="1" s="1"/>
  <c r="BD478" i="1"/>
  <c r="BA478" i="1"/>
  <c r="AV478" i="1"/>
  <c r="AU478" i="1"/>
  <c r="AL478" i="1"/>
  <c r="AK478" i="1"/>
  <c r="AJ478" i="1"/>
  <c r="AI478" i="1"/>
  <c r="AH478" i="1"/>
  <c r="AE478" i="1"/>
  <c r="AF478" i="1" s="1"/>
  <c r="AM478" i="1" s="1"/>
  <c r="T478" i="1"/>
  <c r="S478" i="1"/>
  <c r="O478" i="1"/>
  <c r="N478" i="1"/>
  <c r="M478" i="1"/>
  <c r="AX478" i="1" s="1"/>
  <c r="BD477" i="1"/>
  <c r="BA477" i="1"/>
  <c r="AX477" i="1"/>
  <c r="AV477" i="1"/>
  <c r="AU477" i="1"/>
  <c r="AL477" i="1"/>
  <c r="AK477" i="1"/>
  <c r="AJ477" i="1"/>
  <c r="AI477" i="1"/>
  <c r="AH477" i="1"/>
  <c r="AF477" i="1"/>
  <c r="AM477" i="1" s="1"/>
  <c r="AE477" i="1"/>
  <c r="T477" i="1"/>
  <c r="S477" i="1"/>
  <c r="O477" i="1"/>
  <c r="N477" i="1"/>
  <c r="M477" i="1"/>
  <c r="BD476" i="1"/>
  <c r="BA476" i="1"/>
  <c r="AX476" i="1"/>
  <c r="AV476" i="1"/>
  <c r="AU476" i="1"/>
  <c r="AK476" i="1"/>
  <c r="AJ476" i="1"/>
  <c r="AI476" i="1"/>
  <c r="AH476" i="1"/>
  <c r="AF476" i="1"/>
  <c r="AM476" i="1" s="1"/>
  <c r="AE476" i="1"/>
  <c r="AL476" i="1" s="1"/>
  <c r="T476" i="1"/>
  <c r="S476" i="1"/>
  <c r="O476" i="1"/>
  <c r="N476" i="1"/>
  <c r="M476" i="1"/>
  <c r="BD475" i="1"/>
  <c r="BA475" i="1"/>
  <c r="AV475" i="1"/>
  <c r="AU475" i="1"/>
  <c r="AL475" i="1"/>
  <c r="AK475" i="1"/>
  <c r="AJ475" i="1"/>
  <c r="AI475" i="1"/>
  <c r="AH475" i="1"/>
  <c r="AF475" i="1"/>
  <c r="AM475" i="1" s="1"/>
  <c r="AE475" i="1"/>
  <c r="T475" i="1"/>
  <c r="S475" i="1"/>
  <c r="O475" i="1"/>
  <c r="N475" i="1"/>
  <c r="M475" i="1"/>
  <c r="AX475" i="1" s="1"/>
  <c r="BD474" i="1"/>
  <c r="BA474" i="1"/>
  <c r="AV474" i="1"/>
  <c r="AU474" i="1"/>
  <c r="AK474" i="1"/>
  <c r="AJ474" i="1"/>
  <c r="AI474" i="1"/>
  <c r="AH474" i="1"/>
  <c r="AE474" i="1"/>
  <c r="T474" i="1"/>
  <c r="S474" i="1"/>
  <c r="O474" i="1"/>
  <c r="N474" i="1"/>
  <c r="AX474" i="1" s="1"/>
  <c r="M474" i="1"/>
  <c r="BD473" i="1"/>
  <c r="BA473" i="1"/>
  <c r="AV473" i="1"/>
  <c r="AU473" i="1"/>
  <c r="AK473" i="1"/>
  <c r="AJ473" i="1"/>
  <c r="AI473" i="1"/>
  <c r="AH473" i="1"/>
  <c r="AE473" i="1"/>
  <c r="T473" i="1"/>
  <c r="S473" i="1"/>
  <c r="O473" i="1"/>
  <c r="N473" i="1"/>
  <c r="AX473" i="1" s="1"/>
  <c r="M473" i="1"/>
  <c r="BD472" i="1"/>
  <c r="BA472" i="1"/>
  <c r="AV472" i="1"/>
  <c r="AU472" i="1"/>
  <c r="AK472" i="1"/>
  <c r="AJ472" i="1"/>
  <c r="AI472" i="1"/>
  <c r="AH472" i="1"/>
  <c r="AE472" i="1"/>
  <c r="T472" i="1"/>
  <c r="S472" i="1"/>
  <c r="O472" i="1"/>
  <c r="N472" i="1"/>
  <c r="AX472" i="1" s="1"/>
  <c r="M472" i="1"/>
  <c r="BD471" i="1"/>
  <c r="BA471" i="1"/>
  <c r="AV471" i="1"/>
  <c r="AU471" i="1"/>
  <c r="AK471" i="1"/>
  <c r="AJ471" i="1"/>
  <c r="AI471" i="1"/>
  <c r="AH471" i="1"/>
  <c r="AE471" i="1"/>
  <c r="T471" i="1"/>
  <c r="S471" i="1"/>
  <c r="O471" i="1"/>
  <c r="N471" i="1"/>
  <c r="AX471" i="1" s="1"/>
  <c r="M471" i="1"/>
  <c r="BD470" i="1"/>
  <c r="BA470" i="1"/>
  <c r="AV470" i="1"/>
  <c r="AU470" i="1"/>
  <c r="AK470" i="1"/>
  <c r="AJ470" i="1"/>
  <c r="AI470" i="1"/>
  <c r="AH470" i="1"/>
  <c r="AE470" i="1"/>
  <c r="T470" i="1"/>
  <c r="S470" i="1"/>
  <c r="O470" i="1"/>
  <c r="N470" i="1"/>
  <c r="AX470" i="1" s="1"/>
  <c r="M470" i="1"/>
  <c r="BD469" i="1"/>
  <c r="BA469" i="1"/>
  <c r="AV469" i="1"/>
  <c r="AU469" i="1"/>
  <c r="AK469" i="1"/>
  <c r="AJ469" i="1"/>
  <c r="AI469" i="1"/>
  <c r="AH469" i="1"/>
  <c r="AE469" i="1"/>
  <c r="T469" i="1"/>
  <c r="S469" i="1"/>
  <c r="O469" i="1"/>
  <c r="N469" i="1"/>
  <c r="AX469" i="1" s="1"/>
  <c r="M469" i="1"/>
  <c r="BD468" i="1"/>
  <c r="BA468" i="1"/>
  <c r="AV468" i="1"/>
  <c r="AU468" i="1"/>
  <c r="AK468" i="1"/>
  <c r="AJ468" i="1"/>
  <c r="AI468" i="1"/>
  <c r="AH468" i="1"/>
  <c r="AE468" i="1"/>
  <c r="T468" i="1"/>
  <c r="S468" i="1"/>
  <c r="O468" i="1"/>
  <c r="N468" i="1"/>
  <c r="AX468" i="1" s="1"/>
  <c r="M468" i="1"/>
  <c r="BD467" i="1"/>
  <c r="BA467" i="1"/>
  <c r="AV467" i="1"/>
  <c r="AU467" i="1"/>
  <c r="AK467" i="1"/>
  <c r="AJ467" i="1"/>
  <c r="AI467" i="1"/>
  <c r="AH467" i="1"/>
  <c r="AE467" i="1"/>
  <c r="T467" i="1"/>
  <c r="S467" i="1"/>
  <c r="O467" i="1"/>
  <c r="N467" i="1"/>
  <c r="AX467" i="1" s="1"/>
  <c r="M467" i="1"/>
  <c r="BD466" i="1"/>
  <c r="BA466" i="1"/>
  <c r="AV466" i="1"/>
  <c r="AU466" i="1"/>
  <c r="AK466" i="1"/>
  <c r="AJ466" i="1"/>
  <c r="AI466" i="1"/>
  <c r="AH466" i="1"/>
  <c r="AE466" i="1"/>
  <c r="T466" i="1"/>
  <c r="S466" i="1"/>
  <c r="O466" i="1"/>
  <c r="N466" i="1"/>
  <c r="AX466" i="1" s="1"/>
  <c r="M466" i="1"/>
  <c r="BD465" i="1"/>
  <c r="BA465" i="1"/>
  <c r="AV465" i="1"/>
  <c r="AU465" i="1"/>
  <c r="AK465" i="1"/>
  <c r="AJ465" i="1"/>
  <c r="AI465" i="1"/>
  <c r="AH465" i="1"/>
  <c r="AE465" i="1"/>
  <c r="T465" i="1"/>
  <c r="S465" i="1"/>
  <c r="O465" i="1"/>
  <c r="N465" i="1"/>
  <c r="AX465" i="1" s="1"/>
  <c r="M465" i="1"/>
  <c r="BD464" i="1"/>
  <c r="BA464" i="1"/>
  <c r="AV464" i="1"/>
  <c r="AU464" i="1"/>
  <c r="AK464" i="1"/>
  <c r="AJ464" i="1"/>
  <c r="AI464" i="1"/>
  <c r="AH464" i="1"/>
  <c r="AE464" i="1"/>
  <c r="T464" i="1"/>
  <c r="S464" i="1"/>
  <c r="O464" i="1"/>
  <c r="N464" i="1"/>
  <c r="AX464" i="1" s="1"/>
  <c r="M464" i="1"/>
  <c r="BD463" i="1"/>
  <c r="BA463" i="1"/>
  <c r="AV463" i="1"/>
  <c r="AU463" i="1"/>
  <c r="AK463" i="1"/>
  <c r="AJ463" i="1"/>
  <c r="AI463" i="1"/>
  <c r="AH463" i="1"/>
  <c r="AE463" i="1"/>
  <c r="T463" i="1"/>
  <c r="S463" i="1"/>
  <c r="O463" i="1"/>
  <c r="N463" i="1"/>
  <c r="AX463" i="1" s="1"/>
  <c r="M463" i="1"/>
  <c r="BD462" i="1"/>
  <c r="BA462" i="1"/>
  <c r="AV462" i="1"/>
  <c r="AU462" i="1"/>
  <c r="AK462" i="1"/>
  <c r="AJ462" i="1"/>
  <c r="AI462" i="1"/>
  <c r="AH462" i="1"/>
  <c r="AE462" i="1"/>
  <c r="T462" i="1"/>
  <c r="S462" i="1"/>
  <c r="O462" i="1"/>
  <c r="N462" i="1"/>
  <c r="AX462" i="1" s="1"/>
  <c r="M462" i="1"/>
  <c r="BD461" i="1"/>
  <c r="BA461" i="1"/>
  <c r="AV461" i="1"/>
  <c r="AU461" i="1"/>
  <c r="AK461" i="1"/>
  <c r="AJ461" i="1"/>
  <c r="AI461" i="1"/>
  <c r="AH461" i="1"/>
  <c r="AE461" i="1"/>
  <c r="T461" i="1"/>
  <c r="S461" i="1"/>
  <c r="O461" i="1"/>
  <c r="N461" i="1"/>
  <c r="AX461" i="1" s="1"/>
  <c r="M461" i="1"/>
  <c r="BD460" i="1"/>
  <c r="BA460" i="1"/>
  <c r="AV460" i="1"/>
  <c r="AU460" i="1"/>
  <c r="AK460" i="1"/>
  <c r="AJ460" i="1"/>
  <c r="AI460" i="1"/>
  <c r="AH460" i="1"/>
  <c r="AE460" i="1"/>
  <c r="W460" i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T460" i="1"/>
  <c r="S460" i="1"/>
  <c r="O460" i="1"/>
  <c r="N460" i="1"/>
  <c r="AX460" i="1" s="1"/>
  <c r="M460" i="1"/>
  <c r="BD459" i="1"/>
  <c r="BA459" i="1"/>
  <c r="AV459" i="1"/>
  <c r="AU459" i="1"/>
  <c r="AK459" i="1"/>
  <c r="AJ459" i="1"/>
  <c r="AI459" i="1"/>
  <c r="AH459" i="1"/>
  <c r="AE459" i="1"/>
  <c r="T459" i="1"/>
  <c r="S459" i="1"/>
  <c r="O459" i="1"/>
  <c r="N459" i="1"/>
  <c r="M459" i="1"/>
  <c r="AX459" i="1" s="1"/>
  <c r="BD458" i="1"/>
  <c r="BA458" i="1"/>
  <c r="AV458" i="1"/>
  <c r="AU458" i="1"/>
  <c r="AL458" i="1"/>
  <c r="AK458" i="1"/>
  <c r="AJ458" i="1"/>
  <c r="AI458" i="1"/>
  <c r="AH458" i="1"/>
  <c r="AF458" i="1"/>
  <c r="AM458" i="1" s="1"/>
  <c r="AE458" i="1"/>
  <c r="T458" i="1"/>
  <c r="S458" i="1"/>
  <c r="O458" i="1"/>
  <c r="N458" i="1"/>
  <c r="M458" i="1"/>
  <c r="AX458" i="1" s="1"/>
  <c r="BD457" i="1"/>
  <c r="BA457" i="1"/>
  <c r="AV457" i="1"/>
  <c r="AU457" i="1"/>
  <c r="AL457" i="1"/>
  <c r="AK457" i="1"/>
  <c r="AJ457" i="1"/>
  <c r="AI457" i="1"/>
  <c r="AH457" i="1"/>
  <c r="AF457" i="1"/>
  <c r="AM457" i="1" s="1"/>
  <c r="AE457" i="1"/>
  <c r="T457" i="1"/>
  <c r="S457" i="1"/>
  <c r="O457" i="1"/>
  <c r="N457" i="1"/>
  <c r="M457" i="1"/>
  <c r="AX457" i="1" s="1"/>
  <c r="BD456" i="1"/>
  <c r="BA456" i="1"/>
  <c r="AV456" i="1"/>
  <c r="AU456" i="1"/>
  <c r="AL456" i="1"/>
  <c r="AK456" i="1"/>
  <c r="AJ456" i="1"/>
  <c r="AI456" i="1"/>
  <c r="AH456" i="1"/>
  <c r="AF456" i="1"/>
  <c r="AM456" i="1" s="1"/>
  <c r="AE456" i="1"/>
  <c r="T456" i="1"/>
  <c r="S456" i="1"/>
  <c r="O456" i="1"/>
  <c r="N456" i="1"/>
  <c r="M456" i="1"/>
  <c r="AX456" i="1" s="1"/>
  <c r="BD455" i="1"/>
  <c r="BA455" i="1"/>
  <c r="AV455" i="1"/>
  <c r="AU455" i="1"/>
  <c r="AL455" i="1"/>
  <c r="AK455" i="1"/>
  <c r="AJ455" i="1"/>
  <c r="AI455" i="1"/>
  <c r="AH455" i="1"/>
  <c r="AF455" i="1"/>
  <c r="AM455" i="1" s="1"/>
  <c r="AE455" i="1"/>
  <c r="T455" i="1"/>
  <c r="S455" i="1"/>
  <c r="O455" i="1"/>
  <c r="N455" i="1"/>
  <c r="M455" i="1"/>
  <c r="AX455" i="1" s="1"/>
  <c r="BD454" i="1"/>
  <c r="BA454" i="1"/>
  <c r="AV454" i="1"/>
  <c r="AU454" i="1"/>
  <c r="AL454" i="1"/>
  <c r="AK454" i="1"/>
  <c r="AJ454" i="1"/>
  <c r="AI454" i="1"/>
  <c r="AH454" i="1"/>
  <c r="AF454" i="1"/>
  <c r="AM454" i="1" s="1"/>
  <c r="AE454" i="1"/>
  <c r="T454" i="1"/>
  <c r="S454" i="1"/>
  <c r="O454" i="1"/>
  <c r="N454" i="1"/>
  <c r="M454" i="1"/>
  <c r="AX454" i="1" s="1"/>
  <c r="BD453" i="1"/>
  <c r="BA453" i="1"/>
  <c r="AV453" i="1"/>
  <c r="AU453" i="1"/>
  <c r="AL453" i="1"/>
  <c r="AK453" i="1"/>
  <c r="AJ453" i="1"/>
  <c r="AI453" i="1"/>
  <c r="AH453" i="1"/>
  <c r="AF453" i="1"/>
  <c r="AM453" i="1" s="1"/>
  <c r="AE453" i="1"/>
  <c r="T453" i="1"/>
  <c r="S453" i="1"/>
  <c r="O453" i="1"/>
  <c r="N453" i="1"/>
  <c r="M453" i="1"/>
  <c r="AX453" i="1" s="1"/>
  <c r="BD452" i="1"/>
  <c r="BA452" i="1"/>
  <c r="AV452" i="1"/>
  <c r="AU452" i="1"/>
  <c r="AL452" i="1"/>
  <c r="AK452" i="1"/>
  <c r="AJ452" i="1"/>
  <c r="AI452" i="1"/>
  <c r="AH452" i="1"/>
  <c r="AF452" i="1"/>
  <c r="AM452" i="1" s="1"/>
  <c r="AE452" i="1"/>
  <c r="T452" i="1"/>
  <c r="S452" i="1"/>
  <c r="O452" i="1"/>
  <c r="N452" i="1"/>
  <c r="M452" i="1"/>
  <c r="AX452" i="1" s="1"/>
  <c r="BD451" i="1"/>
  <c r="BA451" i="1"/>
  <c r="AV451" i="1"/>
  <c r="AU451" i="1"/>
  <c r="AL451" i="1"/>
  <c r="AK451" i="1"/>
  <c r="AJ451" i="1"/>
  <c r="AI451" i="1"/>
  <c r="AH451" i="1"/>
  <c r="AF451" i="1"/>
  <c r="AM451" i="1" s="1"/>
  <c r="AE451" i="1"/>
  <c r="T451" i="1"/>
  <c r="S451" i="1"/>
  <c r="O451" i="1"/>
  <c r="N451" i="1"/>
  <c r="M451" i="1"/>
  <c r="AX451" i="1" s="1"/>
  <c r="BD450" i="1"/>
  <c r="BA450" i="1"/>
  <c r="AV450" i="1"/>
  <c r="AU450" i="1"/>
  <c r="AL450" i="1"/>
  <c r="AK450" i="1"/>
  <c r="AJ450" i="1"/>
  <c r="AI450" i="1"/>
  <c r="AH450" i="1"/>
  <c r="AF450" i="1"/>
  <c r="AM450" i="1" s="1"/>
  <c r="AE450" i="1"/>
  <c r="T450" i="1"/>
  <c r="S450" i="1"/>
  <c r="O450" i="1"/>
  <c r="N450" i="1"/>
  <c r="M450" i="1"/>
  <c r="AX450" i="1" s="1"/>
  <c r="BD449" i="1"/>
  <c r="BA449" i="1"/>
  <c r="AV449" i="1"/>
  <c r="AU449" i="1"/>
  <c r="AL449" i="1"/>
  <c r="AK449" i="1"/>
  <c r="AJ449" i="1"/>
  <c r="AI449" i="1"/>
  <c r="AH449" i="1"/>
  <c r="AF449" i="1"/>
  <c r="AM449" i="1" s="1"/>
  <c r="AE449" i="1"/>
  <c r="T449" i="1"/>
  <c r="S449" i="1"/>
  <c r="O449" i="1"/>
  <c r="N449" i="1"/>
  <c r="M449" i="1"/>
  <c r="AX449" i="1" s="1"/>
  <c r="BD448" i="1"/>
  <c r="BA448" i="1"/>
  <c r="AV448" i="1"/>
  <c r="AU448" i="1"/>
  <c r="AL448" i="1"/>
  <c r="AK448" i="1"/>
  <c r="AJ448" i="1"/>
  <c r="AI448" i="1"/>
  <c r="AH448" i="1"/>
  <c r="AF448" i="1"/>
  <c r="AM448" i="1" s="1"/>
  <c r="AE448" i="1"/>
  <c r="T448" i="1"/>
  <c r="S448" i="1"/>
  <c r="O448" i="1"/>
  <c r="N448" i="1"/>
  <c r="M448" i="1"/>
  <c r="AX448" i="1" s="1"/>
  <c r="BD447" i="1"/>
  <c r="BA447" i="1"/>
  <c r="AV447" i="1"/>
  <c r="AU447" i="1"/>
  <c r="AL447" i="1"/>
  <c r="AK447" i="1"/>
  <c r="AJ447" i="1"/>
  <c r="AI447" i="1"/>
  <c r="AH447" i="1"/>
  <c r="AF447" i="1"/>
  <c r="AM447" i="1" s="1"/>
  <c r="AE447" i="1"/>
  <c r="T447" i="1"/>
  <c r="S447" i="1"/>
  <c r="O447" i="1"/>
  <c r="N447" i="1"/>
  <c r="M447" i="1"/>
  <c r="AX447" i="1" s="1"/>
  <c r="BD446" i="1"/>
  <c r="BA446" i="1"/>
  <c r="AV446" i="1"/>
  <c r="AU446" i="1"/>
  <c r="AL446" i="1"/>
  <c r="AK446" i="1"/>
  <c r="AJ446" i="1"/>
  <c r="AI446" i="1"/>
  <c r="AH446" i="1"/>
  <c r="AE446" i="1"/>
  <c r="AF446" i="1" s="1"/>
  <c r="AM446" i="1" s="1"/>
  <c r="W446" i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T446" i="1"/>
  <c r="S446" i="1"/>
  <c r="O446" i="1"/>
  <c r="N446" i="1"/>
  <c r="M446" i="1"/>
  <c r="AX446" i="1" s="1"/>
  <c r="BD445" i="1"/>
  <c r="BA445" i="1"/>
  <c r="AV445" i="1"/>
  <c r="AU445" i="1"/>
  <c r="AL445" i="1"/>
  <c r="AC570" i="1" s="1"/>
  <c r="AK445" i="1"/>
  <c r="AJ445" i="1"/>
  <c r="AI445" i="1"/>
  <c r="AH445" i="1"/>
  <c r="AE445" i="1"/>
  <c r="AF445" i="1" s="1"/>
  <c r="AM445" i="1" s="1"/>
  <c r="T445" i="1"/>
  <c r="S445" i="1"/>
  <c r="O445" i="1"/>
  <c r="N445" i="1"/>
  <c r="M445" i="1"/>
  <c r="AX445" i="1" s="1"/>
  <c r="BD444" i="1"/>
  <c r="BA444" i="1"/>
  <c r="AX444" i="1"/>
  <c r="AV444" i="1"/>
  <c r="AU444" i="1"/>
  <c r="AK444" i="1"/>
  <c r="AJ444" i="1"/>
  <c r="AI444" i="1"/>
  <c r="AH444" i="1"/>
  <c r="AE444" i="1"/>
  <c r="AF444" i="1" s="1"/>
  <c r="AM444" i="1" s="1"/>
  <c r="T444" i="1"/>
  <c r="S444" i="1"/>
  <c r="O444" i="1"/>
  <c r="N444" i="1"/>
  <c r="M444" i="1"/>
  <c r="BD443" i="1"/>
  <c r="BA443" i="1"/>
  <c r="AV443" i="1"/>
  <c r="AU443" i="1"/>
  <c r="AK443" i="1"/>
  <c r="AJ443" i="1"/>
  <c r="AI443" i="1"/>
  <c r="AH443" i="1"/>
  <c r="AE443" i="1"/>
  <c r="AF443" i="1" s="1"/>
  <c r="AM443" i="1" s="1"/>
  <c r="T443" i="1"/>
  <c r="S443" i="1"/>
  <c r="O443" i="1"/>
  <c r="N443" i="1"/>
  <c r="M443" i="1"/>
  <c r="AX443" i="1" s="1"/>
  <c r="BD442" i="1"/>
  <c r="BA442" i="1"/>
  <c r="AV442" i="1"/>
  <c r="AU442" i="1"/>
  <c r="AK442" i="1"/>
  <c r="AJ442" i="1"/>
  <c r="AI442" i="1"/>
  <c r="AH442" i="1"/>
  <c r="AE442" i="1"/>
  <c r="AF442" i="1" s="1"/>
  <c r="AM442" i="1" s="1"/>
  <c r="X442" i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T442" i="1"/>
  <c r="S442" i="1"/>
  <c r="O442" i="1"/>
  <c r="N442" i="1"/>
  <c r="M442" i="1"/>
  <c r="AX442" i="1" s="1"/>
  <c r="BD441" i="1"/>
  <c r="BA441" i="1"/>
  <c r="AV441" i="1"/>
  <c r="AU441" i="1"/>
  <c r="AM441" i="1"/>
  <c r="AK441" i="1"/>
  <c r="AJ441" i="1"/>
  <c r="AI441" i="1"/>
  <c r="AH441" i="1"/>
  <c r="AE441" i="1"/>
  <c r="AF441" i="1" s="1"/>
  <c r="T441" i="1"/>
  <c r="S441" i="1"/>
  <c r="O441" i="1"/>
  <c r="N441" i="1"/>
  <c r="AX441" i="1" s="1"/>
  <c r="M441" i="1"/>
  <c r="BD440" i="1"/>
  <c r="BA440" i="1"/>
  <c r="AV440" i="1"/>
  <c r="AU440" i="1"/>
  <c r="AK440" i="1"/>
  <c r="AJ440" i="1"/>
  <c r="AI440" i="1"/>
  <c r="AH440" i="1"/>
  <c r="AE440" i="1"/>
  <c r="AF440" i="1" s="1"/>
  <c r="AM440" i="1" s="1"/>
  <c r="T440" i="1"/>
  <c r="S440" i="1"/>
  <c r="O440" i="1"/>
  <c r="N440" i="1"/>
  <c r="M440" i="1"/>
  <c r="AX440" i="1" s="1"/>
  <c r="BD439" i="1"/>
  <c r="BA439" i="1"/>
  <c r="AX439" i="1"/>
  <c r="AV439" i="1"/>
  <c r="AU439" i="1"/>
  <c r="AM439" i="1"/>
  <c r="AL439" i="1"/>
  <c r="AK439" i="1"/>
  <c r="AJ439" i="1"/>
  <c r="AI439" i="1"/>
  <c r="AH439" i="1"/>
  <c r="AE439" i="1"/>
  <c r="AF439" i="1" s="1"/>
  <c r="X439" i="1"/>
  <c r="X440" i="1" s="1"/>
  <c r="X441" i="1" s="1"/>
  <c r="W439" i="1"/>
  <c r="W440" i="1" s="1"/>
  <c r="W441" i="1" s="1"/>
  <c r="W442" i="1" s="1"/>
  <c r="W443" i="1" s="1"/>
  <c r="W444" i="1" s="1"/>
  <c r="T439" i="1"/>
  <c r="S439" i="1"/>
  <c r="O439" i="1"/>
  <c r="N439" i="1"/>
  <c r="M439" i="1"/>
  <c r="BD438" i="1"/>
  <c r="BA438" i="1"/>
  <c r="AV438" i="1"/>
  <c r="AU438" i="1"/>
  <c r="AK438" i="1"/>
  <c r="AJ438" i="1"/>
  <c r="AI438" i="1"/>
  <c r="AH438" i="1"/>
  <c r="AE438" i="1"/>
  <c r="T438" i="1"/>
  <c r="S438" i="1"/>
  <c r="O438" i="1"/>
  <c r="N438" i="1"/>
  <c r="M438" i="1"/>
  <c r="AX438" i="1" s="1"/>
  <c r="BD437" i="1"/>
  <c r="BA437" i="1"/>
  <c r="AV437" i="1"/>
  <c r="AU437" i="1"/>
  <c r="AL437" i="1"/>
  <c r="AK437" i="1"/>
  <c r="AJ437" i="1"/>
  <c r="AI437" i="1"/>
  <c r="AH437" i="1"/>
  <c r="AF437" i="1"/>
  <c r="AM437" i="1" s="1"/>
  <c r="AE437" i="1"/>
  <c r="T437" i="1"/>
  <c r="S437" i="1"/>
  <c r="O437" i="1"/>
  <c r="N437" i="1"/>
  <c r="M437" i="1"/>
  <c r="AX437" i="1" s="1"/>
  <c r="BD436" i="1"/>
  <c r="BA436" i="1"/>
  <c r="AV436" i="1"/>
  <c r="AU436" i="1"/>
  <c r="AL436" i="1"/>
  <c r="AK436" i="1"/>
  <c r="AJ436" i="1"/>
  <c r="AI436" i="1"/>
  <c r="AH436" i="1"/>
  <c r="AE436" i="1"/>
  <c r="AF436" i="1" s="1"/>
  <c r="AM436" i="1" s="1"/>
  <c r="T436" i="1"/>
  <c r="S436" i="1"/>
  <c r="O436" i="1"/>
  <c r="N436" i="1"/>
  <c r="M436" i="1"/>
  <c r="AX436" i="1" s="1"/>
  <c r="BD435" i="1"/>
  <c r="BA435" i="1"/>
  <c r="AV435" i="1"/>
  <c r="AU435" i="1"/>
  <c r="AL435" i="1"/>
  <c r="AK435" i="1"/>
  <c r="AJ435" i="1"/>
  <c r="AI435" i="1"/>
  <c r="AH435" i="1"/>
  <c r="AE435" i="1"/>
  <c r="AF435" i="1" s="1"/>
  <c r="AM435" i="1" s="1"/>
  <c r="T435" i="1"/>
  <c r="S435" i="1"/>
  <c r="O435" i="1"/>
  <c r="N435" i="1"/>
  <c r="M435" i="1"/>
  <c r="AX435" i="1" s="1"/>
  <c r="BD434" i="1"/>
  <c r="BA434" i="1"/>
  <c r="AV434" i="1"/>
  <c r="AU434" i="1"/>
  <c r="AL434" i="1"/>
  <c r="AK434" i="1"/>
  <c r="AJ434" i="1"/>
  <c r="AI434" i="1"/>
  <c r="AH434" i="1"/>
  <c r="AE434" i="1"/>
  <c r="AF434" i="1" s="1"/>
  <c r="AM434" i="1" s="1"/>
  <c r="T434" i="1"/>
  <c r="S434" i="1"/>
  <c r="O434" i="1"/>
  <c r="N434" i="1"/>
  <c r="M434" i="1"/>
  <c r="AX434" i="1" s="1"/>
  <c r="BD433" i="1"/>
  <c r="BA433" i="1"/>
  <c r="AV433" i="1"/>
  <c r="AU433" i="1"/>
  <c r="AL433" i="1"/>
  <c r="AK433" i="1"/>
  <c r="AJ433" i="1"/>
  <c r="AI433" i="1"/>
  <c r="AH433" i="1"/>
  <c r="AE433" i="1"/>
  <c r="AF433" i="1" s="1"/>
  <c r="AM433" i="1" s="1"/>
  <c r="T433" i="1"/>
  <c r="S433" i="1"/>
  <c r="O433" i="1"/>
  <c r="N433" i="1"/>
  <c r="M433" i="1"/>
  <c r="AX433" i="1" s="1"/>
  <c r="BD432" i="1"/>
  <c r="BA432" i="1"/>
  <c r="AV432" i="1"/>
  <c r="AU432" i="1"/>
  <c r="AL432" i="1"/>
  <c r="AK432" i="1"/>
  <c r="AJ432" i="1"/>
  <c r="AI432" i="1"/>
  <c r="AH432" i="1"/>
  <c r="AE432" i="1"/>
  <c r="AF432" i="1" s="1"/>
  <c r="AM432" i="1" s="1"/>
  <c r="T432" i="1"/>
  <c r="S432" i="1"/>
  <c r="O432" i="1"/>
  <c r="N432" i="1"/>
  <c r="M432" i="1"/>
  <c r="AX432" i="1" s="1"/>
  <c r="BD431" i="1"/>
  <c r="BA431" i="1"/>
  <c r="AV431" i="1"/>
  <c r="AU431" i="1"/>
  <c r="AL431" i="1"/>
  <c r="AC568" i="1" s="1"/>
  <c r="AK431" i="1"/>
  <c r="AJ431" i="1"/>
  <c r="AI431" i="1"/>
  <c r="AH431" i="1"/>
  <c r="AF431" i="1"/>
  <c r="AM431" i="1" s="1"/>
  <c r="AE431" i="1"/>
  <c r="T431" i="1"/>
  <c r="S431" i="1"/>
  <c r="O431" i="1"/>
  <c r="N431" i="1"/>
  <c r="M431" i="1"/>
  <c r="AX431" i="1" s="1"/>
  <c r="BD430" i="1"/>
  <c r="BA430" i="1"/>
  <c r="AV430" i="1"/>
  <c r="AU430" i="1"/>
  <c r="AL430" i="1"/>
  <c r="AK430" i="1"/>
  <c r="AJ430" i="1"/>
  <c r="AI430" i="1"/>
  <c r="AH430" i="1"/>
  <c r="AF430" i="1"/>
  <c r="AM430" i="1" s="1"/>
  <c r="AE430" i="1"/>
  <c r="T430" i="1"/>
  <c r="S430" i="1"/>
  <c r="O430" i="1"/>
  <c r="N430" i="1"/>
  <c r="M430" i="1"/>
  <c r="AX430" i="1" s="1"/>
  <c r="BD429" i="1"/>
  <c r="BA429" i="1"/>
  <c r="AV429" i="1"/>
  <c r="AU429" i="1"/>
  <c r="AL429" i="1"/>
  <c r="AK429" i="1"/>
  <c r="AJ429" i="1"/>
  <c r="AI429" i="1"/>
  <c r="AH429" i="1"/>
  <c r="AF429" i="1"/>
  <c r="AM429" i="1" s="1"/>
  <c r="AE429" i="1"/>
  <c r="T429" i="1"/>
  <c r="S429" i="1"/>
  <c r="O429" i="1"/>
  <c r="N429" i="1"/>
  <c r="M429" i="1"/>
  <c r="AX429" i="1" s="1"/>
  <c r="BD428" i="1"/>
  <c r="BA428" i="1"/>
  <c r="AV428" i="1"/>
  <c r="AU428" i="1"/>
  <c r="AL428" i="1"/>
  <c r="AK428" i="1"/>
  <c r="AJ428" i="1"/>
  <c r="AI428" i="1"/>
  <c r="AH428" i="1"/>
  <c r="AF428" i="1"/>
  <c r="AM428" i="1" s="1"/>
  <c r="AE428" i="1"/>
  <c r="T428" i="1"/>
  <c r="S428" i="1"/>
  <c r="O428" i="1"/>
  <c r="N428" i="1"/>
  <c r="M428" i="1"/>
  <c r="AX428" i="1" s="1"/>
  <c r="BD427" i="1"/>
  <c r="BA427" i="1"/>
  <c r="AV427" i="1"/>
  <c r="AU427" i="1"/>
  <c r="AL427" i="1"/>
  <c r="AK427" i="1"/>
  <c r="AJ427" i="1"/>
  <c r="AI427" i="1"/>
  <c r="AH427" i="1"/>
  <c r="AF427" i="1"/>
  <c r="AM427" i="1" s="1"/>
  <c r="AE427" i="1"/>
  <c r="T427" i="1"/>
  <c r="S427" i="1"/>
  <c r="O427" i="1"/>
  <c r="N427" i="1"/>
  <c r="M427" i="1"/>
  <c r="AX427" i="1" s="1"/>
  <c r="BD426" i="1"/>
  <c r="BA426" i="1"/>
  <c r="AV426" i="1"/>
  <c r="AU426" i="1"/>
  <c r="AL426" i="1"/>
  <c r="AK426" i="1"/>
  <c r="AJ426" i="1"/>
  <c r="AI426" i="1"/>
  <c r="AH426" i="1"/>
  <c r="AF426" i="1"/>
  <c r="AM426" i="1" s="1"/>
  <c r="AE426" i="1"/>
  <c r="T426" i="1"/>
  <c r="S426" i="1"/>
  <c r="O426" i="1"/>
  <c r="N426" i="1"/>
  <c r="M426" i="1"/>
  <c r="AX426" i="1" s="1"/>
  <c r="BD425" i="1"/>
  <c r="BA425" i="1"/>
  <c r="AV425" i="1"/>
  <c r="AU425" i="1"/>
  <c r="AL425" i="1"/>
  <c r="AK425" i="1"/>
  <c r="AJ425" i="1"/>
  <c r="AI425" i="1"/>
  <c r="AH425" i="1"/>
  <c r="AF425" i="1"/>
  <c r="AM425" i="1" s="1"/>
  <c r="AE425" i="1"/>
  <c r="X425" i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W425" i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T425" i="1"/>
  <c r="S425" i="1"/>
  <c r="O425" i="1"/>
  <c r="N425" i="1"/>
  <c r="M425" i="1"/>
  <c r="AX425" i="1" s="1"/>
  <c r="BD424" i="1"/>
  <c r="BA424" i="1"/>
  <c r="AV424" i="1"/>
  <c r="AU424" i="1"/>
  <c r="AL424" i="1"/>
  <c r="AC567" i="1" s="1"/>
  <c r="AK424" i="1"/>
  <c r="AJ424" i="1"/>
  <c r="AI424" i="1"/>
  <c r="AH424" i="1"/>
  <c r="AF424" i="1"/>
  <c r="AM424" i="1" s="1"/>
  <c r="AE424" i="1"/>
  <c r="T424" i="1"/>
  <c r="S424" i="1"/>
  <c r="O424" i="1"/>
  <c r="N424" i="1"/>
  <c r="M424" i="1"/>
  <c r="AX424" i="1" s="1"/>
  <c r="BD423" i="1"/>
  <c r="BA423" i="1"/>
  <c r="AV423" i="1"/>
  <c r="AU423" i="1"/>
  <c r="AK423" i="1"/>
  <c r="AJ423" i="1"/>
  <c r="AI423" i="1"/>
  <c r="AH423" i="1"/>
  <c r="AE423" i="1"/>
  <c r="T423" i="1"/>
  <c r="S423" i="1"/>
  <c r="O423" i="1"/>
  <c r="N423" i="1"/>
  <c r="M423" i="1"/>
  <c r="AX423" i="1" s="1"/>
  <c r="BD422" i="1"/>
  <c r="BA422" i="1"/>
  <c r="AV422" i="1"/>
  <c r="AU422" i="1"/>
  <c r="AK422" i="1"/>
  <c r="AJ422" i="1"/>
  <c r="AI422" i="1"/>
  <c r="AH422" i="1"/>
  <c r="AE422" i="1"/>
  <c r="T422" i="1"/>
  <c r="S422" i="1"/>
  <c r="O422" i="1"/>
  <c r="N422" i="1"/>
  <c r="M422" i="1"/>
  <c r="AX422" i="1" s="1"/>
  <c r="BD421" i="1"/>
  <c r="BA421" i="1"/>
  <c r="AV421" i="1"/>
  <c r="AU421" i="1"/>
  <c r="AK421" i="1"/>
  <c r="AJ421" i="1"/>
  <c r="AI421" i="1"/>
  <c r="AH421" i="1"/>
  <c r="AE421" i="1"/>
  <c r="T421" i="1"/>
  <c r="S421" i="1"/>
  <c r="O421" i="1"/>
  <c r="N421" i="1"/>
  <c r="M421" i="1"/>
  <c r="AX421" i="1" s="1"/>
  <c r="BD420" i="1"/>
  <c r="BA420" i="1"/>
  <c r="AV420" i="1"/>
  <c r="AU420" i="1"/>
  <c r="AK420" i="1"/>
  <c r="AJ420" i="1"/>
  <c r="AI420" i="1"/>
  <c r="AH420" i="1"/>
  <c r="AE420" i="1"/>
  <c r="T420" i="1"/>
  <c r="S420" i="1"/>
  <c r="O420" i="1"/>
  <c r="N420" i="1"/>
  <c r="M420" i="1"/>
  <c r="AX420" i="1" s="1"/>
  <c r="BD419" i="1"/>
  <c r="BA419" i="1"/>
  <c r="AV419" i="1"/>
  <c r="AU419" i="1"/>
  <c r="AK419" i="1"/>
  <c r="AJ419" i="1"/>
  <c r="AI419" i="1"/>
  <c r="AH419" i="1"/>
  <c r="AE419" i="1"/>
  <c r="T419" i="1"/>
  <c r="S419" i="1"/>
  <c r="O419" i="1"/>
  <c r="N419" i="1"/>
  <c r="M419" i="1"/>
  <c r="AX419" i="1" s="1"/>
  <c r="BD418" i="1"/>
  <c r="BA418" i="1"/>
  <c r="AV418" i="1"/>
  <c r="AU418" i="1"/>
  <c r="AK418" i="1"/>
  <c r="AJ418" i="1"/>
  <c r="AI418" i="1"/>
  <c r="AH418" i="1"/>
  <c r="AE418" i="1"/>
  <c r="T418" i="1"/>
  <c r="S418" i="1"/>
  <c r="O418" i="1"/>
  <c r="N418" i="1"/>
  <c r="M418" i="1"/>
  <c r="AX418" i="1" s="1"/>
  <c r="BD417" i="1"/>
  <c r="BA417" i="1"/>
  <c r="AV417" i="1"/>
  <c r="AU417" i="1"/>
  <c r="AK417" i="1"/>
  <c r="AJ417" i="1"/>
  <c r="AI417" i="1"/>
  <c r="AH417" i="1"/>
  <c r="AE417" i="1"/>
  <c r="T417" i="1"/>
  <c r="S417" i="1"/>
  <c r="O417" i="1"/>
  <c r="N417" i="1"/>
  <c r="M417" i="1"/>
  <c r="AX417" i="1" s="1"/>
  <c r="BD416" i="1"/>
  <c r="BA416" i="1"/>
  <c r="AV416" i="1"/>
  <c r="AU416" i="1"/>
  <c r="AK416" i="1"/>
  <c r="AJ416" i="1"/>
  <c r="AI416" i="1"/>
  <c r="AH416" i="1"/>
  <c r="AE416" i="1"/>
  <c r="T416" i="1"/>
  <c r="S416" i="1"/>
  <c r="O416" i="1"/>
  <c r="N416" i="1"/>
  <c r="M416" i="1"/>
  <c r="AX416" i="1" s="1"/>
  <c r="BD415" i="1"/>
  <c r="BA415" i="1"/>
  <c r="AV415" i="1"/>
  <c r="AU415" i="1"/>
  <c r="AK415" i="1"/>
  <c r="AJ415" i="1"/>
  <c r="AI415" i="1"/>
  <c r="AH415" i="1"/>
  <c r="AE415" i="1"/>
  <c r="T415" i="1"/>
  <c r="S415" i="1"/>
  <c r="O415" i="1"/>
  <c r="N415" i="1"/>
  <c r="AX415" i="1" s="1"/>
  <c r="M415" i="1"/>
  <c r="BD414" i="1"/>
  <c r="BA414" i="1"/>
  <c r="AV414" i="1"/>
  <c r="AU414" i="1"/>
  <c r="AK414" i="1"/>
  <c r="AJ414" i="1"/>
  <c r="AI414" i="1"/>
  <c r="AH414" i="1"/>
  <c r="AE414" i="1"/>
  <c r="AL414" i="1" s="1"/>
  <c r="T414" i="1"/>
  <c r="S414" i="1"/>
  <c r="O414" i="1"/>
  <c r="N414" i="1"/>
  <c r="AX414" i="1" s="1"/>
  <c r="M414" i="1"/>
  <c r="BD413" i="1"/>
  <c r="BA413" i="1"/>
  <c r="AV413" i="1"/>
  <c r="AU413" i="1"/>
  <c r="AK413" i="1"/>
  <c r="AJ413" i="1"/>
  <c r="AI413" i="1"/>
  <c r="AH413" i="1"/>
  <c r="AE413" i="1"/>
  <c r="AL413" i="1" s="1"/>
  <c r="T413" i="1"/>
  <c r="S413" i="1"/>
  <c r="O413" i="1"/>
  <c r="N413" i="1"/>
  <c r="AX413" i="1" s="1"/>
  <c r="M413" i="1"/>
  <c r="BD412" i="1"/>
  <c r="BA412" i="1"/>
  <c r="AV412" i="1"/>
  <c r="AU412" i="1"/>
  <c r="AK412" i="1"/>
  <c r="AJ412" i="1"/>
  <c r="AI412" i="1"/>
  <c r="AH412" i="1"/>
  <c r="AE412" i="1"/>
  <c r="AL412" i="1" s="1"/>
  <c r="T412" i="1"/>
  <c r="S412" i="1"/>
  <c r="O412" i="1"/>
  <c r="N412" i="1"/>
  <c r="AX412" i="1" s="1"/>
  <c r="M412" i="1"/>
  <c r="BD411" i="1"/>
  <c r="BA411" i="1"/>
  <c r="AV411" i="1"/>
  <c r="AU411" i="1"/>
  <c r="AK411" i="1"/>
  <c r="AJ411" i="1"/>
  <c r="AI411" i="1"/>
  <c r="AH411" i="1"/>
  <c r="AE411" i="1"/>
  <c r="AL411" i="1" s="1"/>
  <c r="X411" i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W411" i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T411" i="1"/>
  <c r="S411" i="1"/>
  <c r="O411" i="1"/>
  <c r="N411" i="1"/>
  <c r="AX411" i="1" s="1"/>
  <c r="M411" i="1"/>
  <c r="BD410" i="1"/>
  <c r="BA410" i="1"/>
  <c r="AV410" i="1"/>
  <c r="AU410" i="1"/>
  <c r="AK410" i="1"/>
  <c r="AJ410" i="1"/>
  <c r="AI410" i="1"/>
  <c r="AH410" i="1"/>
  <c r="AE410" i="1"/>
  <c r="AL410" i="1" s="1"/>
  <c r="T410" i="1"/>
  <c r="S410" i="1"/>
  <c r="O410" i="1"/>
  <c r="N410" i="1"/>
  <c r="M410" i="1"/>
  <c r="AX410" i="1" s="1"/>
  <c r="BD409" i="1"/>
  <c r="BA409" i="1"/>
  <c r="AV409" i="1"/>
  <c r="AU409" i="1"/>
  <c r="AM409" i="1"/>
  <c r="AL409" i="1"/>
  <c r="AK409" i="1"/>
  <c r="AJ409" i="1"/>
  <c r="AI409" i="1"/>
  <c r="AH409" i="1"/>
  <c r="AE409" i="1"/>
  <c r="AF409" i="1" s="1"/>
  <c r="T409" i="1"/>
  <c r="S409" i="1"/>
  <c r="O409" i="1"/>
  <c r="N409" i="1"/>
  <c r="M409" i="1"/>
  <c r="BD408" i="1"/>
  <c r="BA408" i="1"/>
  <c r="AX408" i="1"/>
  <c r="AV408" i="1"/>
  <c r="AU408" i="1"/>
  <c r="AM408" i="1"/>
  <c r="AL408" i="1"/>
  <c r="AK408" i="1"/>
  <c r="AJ408" i="1"/>
  <c r="AI408" i="1"/>
  <c r="AH408" i="1"/>
  <c r="AE408" i="1"/>
  <c r="AF408" i="1" s="1"/>
  <c r="T408" i="1"/>
  <c r="S408" i="1"/>
  <c r="O408" i="1"/>
  <c r="N408" i="1"/>
  <c r="M408" i="1"/>
  <c r="BD407" i="1"/>
  <c r="BA407" i="1"/>
  <c r="AX407" i="1"/>
  <c r="AV407" i="1"/>
  <c r="AU407" i="1"/>
  <c r="AM407" i="1"/>
  <c r="AL407" i="1"/>
  <c r="AK407" i="1"/>
  <c r="AJ407" i="1"/>
  <c r="AI407" i="1"/>
  <c r="AH407" i="1"/>
  <c r="AE407" i="1"/>
  <c r="AF407" i="1" s="1"/>
  <c r="T407" i="1"/>
  <c r="S407" i="1"/>
  <c r="O407" i="1"/>
  <c r="N407" i="1"/>
  <c r="M407" i="1"/>
  <c r="BD406" i="1"/>
  <c r="BA406" i="1"/>
  <c r="AX406" i="1"/>
  <c r="AV406" i="1"/>
  <c r="AU406" i="1"/>
  <c r="AL406" i="1"/>
  <c r="AK406" i="1"/>
  <c r="AJ406" i="1"/>
  <c r="AI406" i="1"/>
  <c r="AH406" i="1"/>
  <c r="AF406" i="1"/>
  <c r="AM406" i="1" s="1"/>
  <c r="AE406" i="1"/>
  <c r="T406" i="1"/>
  <c r="S406" i="1"/>
  <c r="O406" i="1"/>
  <c r="N406" i="1"/>
  <c r="M406" i="1"/>
  <c r="BD405" i="1"/>
  <c r="BA405" i="1"/>
  <c r="AX405" i="1"/>
  <c r="AV405" i="1"/>
  <c r="AU405" i="1"/>
  <c r="AL405" i="1"/>
  <c r="AK405" i="1"/>
  <c r="AJ405" i="1"/>
  <c r="AI405" i="1"/>
  <c r="AH405" i="1"/>
  <c r="AF405" i="1"/>
  <c r="AM405" i="1" s="1"/>
  <c r="AE405" i="1"/>
  <c r="T405" i="1"/>
  <c r="S405" i="1"/>
  <c r="O405" i="1"/>
  <c r="N405" i="1"/>
  <c r="M405" i="1"/>
  <c r="BD404" i="1"/>
  <c r="BA404" i="1"/>
  <c r="AX404" i="1"/>
  <c r="AV404" i="1"/>
  <c r="AU404" i="1"/>
  <c r="AL404" i="1"/>
  <c r="AK404" i="1"/>
  <c r="AJ404" i="1"/>
  <c r="AI404" i="1"/>
  <c r="AH404" i="1"/>
  <c r="AF404" i="1"/>
  <c r="AM404" i="1" s="1"/>
  <c r="AE404" i="1"/>
  <c r="W404" i="1"/>
  <c r="W405" i="1" s="1"/>
  <c r="W406" i="1" s="1"/>
  <c r="W407" i="1" s="1"/>
  <c r="W408" i="1" s="1"/>
  <c r="W409" i="1" s="1"/>
  <c r="T404" i="1"/>
  <c r="S404" i="1"/>
  <c r="O404" i="1"/>
  <c r="N404" i="1"/>
  <c r="M404" i="1"/>
  <c r="BD403" i="1"/>
  <c r="BA403" i="1"/>
  <c r="AX403" i="1"/>
  <c r="AV403" i="1"/>
  <c r="AU403" i="1"/>
  <c r="AL403" i="1"/>
  <c r="AC564" i="1" s="1"/>
  <c r="AK403" i="1"/>
  <c r="AJ403" i="1"/>
  <c r="AI403" i="1"/>
  <c r="AH403" i="1"/>
  <c r="AF403" i="1"/>
  <c r="AM403" i="1" s="1"/>
  <c r="AE403" i="1"/>
  <c r="T403" i="1"/>
  <c r="S403" i="1"/>
  <c r="O403" i="1"/>
  <c r="N403" i="1"/>
  <c r="M403" i="1"/>
  <c r="BD402" i="1"/>
  <c r="BA402" i="1"/>
  <c r="AV402" i="1"/>
  <c r="AU402" i="1"/>
  <c r="AK402" i="1"/>
  <c r="AJ402" i="1"/>
  <c r="AI402" i="1"/>
  <c r="AH402" i="1"/>
  <c r="AE402" i="1"/>
  <c r="AF402" i="1" s="1"/>
  <c r="AM402" i="1" s="1"/>
  <c r="T402" i="1"/>
  <c r="S402" i="1"/>
  <c r="O402" i="1"/>
  <c r="N402" i="1"/>
  <c r="AX402" i="1" s="1"/>
  <c r="M402" i="1"/>
  <c r="BD401" i="1"/>
  <c r="BA401" i="1"/>
  <c r="AV401" i="1"/>
  <c r="AU401" i="1"/>
  <c r="AK401" i="1"/>
  <c r="AJ401" i="1"/>
  <c r="AI401" i="1"/>
  <c r="AH401" i="1"/>
  <c r="AE401" i="1"/>
  <c r="AF401" i="1" s="1"/>
  <c r="AM401" i="1" s="1"/>
  <c r="T401" i="1"/>
  <c r="S401" i="1"/>
  <c r="O401" i="1"/>
  <c r="N401" i="1"/>
  <c r="AX401" i="1" s="1"/>
  <c r="M401" i="1"/>
  <c r="BD400" i="1"/>
  <c r="BA400" i="1"/>
  <c r="AV400" i="1"/>
  <c r="AU400" i="1"/>
  <c r="AK400" i="1"/>
  <c r="AJ400" i="1"/>
  <c r="AI400" i="1"/>
  <c r="AH400" i="1"/>
  <c r="AE400" i="1"/>
  <c r="AF400" i="1" s="1"/>
  <c r="AM400" i="1" s="1"/>
  <c r="T400" i="1"/>
  <c r="S400" i="1"/>
  <c r="O400" i="1"/>
  <c r="N400" i="1"/>
  <c r="AX400" i="1" s="1"/>
  <c r="M400" i="1"/>
  <c r="BD399" i="1"/>
  <c r="BA399" i="1"/>
  <c r="AV399" i="1"/>
  <c r="AU399" i="1"/>
  <c r="AK399" i="1"/>
  <c r="AJ399" i="1"/>
  <c r="AI399" i="1"/>
  <c r="AH399" i="1"/>
  <c r="AE399" i="1"/>
  <c r="AF399" i="1" s="1"/>
  <c r="AM399" i="1" s="1"/>
  <c r="T399" i="1"/>
  <c r="S399" i="1"/>
  <c r="O399" i="1"/>
  <c r="N399" i="1"/>
  <c r="AX399" i="1" s="1"/>
  <c r="M399" i="1"/>
  <c r="BD398" i="1"/>
  <c r="BA398" i="1"/>
  <c r="AV398" i="1"/>
  <c r="AU398" i="1"/>
  <c r="AK398" i="1"/>
  <c r="AJ398" i="1"/>
  <c r="AI398" i="1"/>
  <c r="AH398" i="1"/>
  <c r="AE398" i="1"/>
  <c r="AF398" i="1" s="1"/>
  <c r="AM398" i="1" s="1"/>
  <c r="T398" i="1"/>
  <c r="S398" i="1"/>
  <c r="O398" i="1"/>
  <c r="N398" i="1"/>
  <c r="AX398" i="1" s="1"/>
  <c r="M398" i="1"/>
  <c r="BD397" i="1"/>
  <c r="BA397" i="1"/>
  <c r="AV397" i="1"/>
  <c r="AU397" i="1"/>
  <c r="AK397" i="1"/>
  <c r="AJ397" i="1"/>
  <c r="AI397" i="1"/>
  <c r="AH397" i="1"/>
  <c r="AE397" i="1"/>
  <c r="AF397" i="1" s="1"/>
  <c r="AM397" i="1" s="1"/>
  <c r="X397" i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T397" i="1"/>
  <c r="S397" i="1"/>
  <c r="O397" i="1"/>
  <c r="N397" i="1"/>
  <c r="AX397" i="1" s="1"/>
  <c r="M397" i="1"/>
  <c r="BD396" i="1"/>
  <c r="BA396" i="1"/>
  <c r="AV396" i="1"/>
  <c r="AU396" i="1"/>
  <c r="AK396" i="1"/>
  <c r="AJ396" i="1"/>
  <c r="AI396" i="1"/>
  <c r="AH396" i="1"/>
  <c r="AE396" i="1"/>
  <c r="AF396" i="1" s="1"/>
  <c r="AM396" i="1" s="1"/>
  <c r="AD563" i="1" s="1"/>
  <c r="T396" i="1"/>
  <c r="S396" i="1"/>
  <c r="O396" i="1"/>
  <c r="N396" i="1"/>
  <c r="M396" i="1"/>
  <c r="AX396" i="1" s="1"/>
  <c r="BD395" i="1"/>
  <c r="BA395" i="1"/>
  <c r="AV395" i="1"/>
  <c r="AU395" i="1"/>
  <c r="AL395" i="1"/>
  <c r="AK395" i="1"/>
  <c r="AJ395" i="1"/>
  <c r="AI395" i="1"/>
  <c r="AH395" i="1"/>
  <c r="AF395" i="1"/>
  <c r="AM395" i="1" s="1"/>
  <c r="AE395" i="1"/>
  <c r="T395" i="1"/>
  <c r="S395" i="1"/>
  <c r="O395" i="1"/>
  <c r="N395" i="1"/>
  <c r="M395" i="1"/>
  <c r="AX395" i="1" s="1"/>
  <c r="BD394" i="1"/>
  <c r="BA394" i="1"/>
  <c r="AV394" i="1"/>
  <c r="AU394" i="1"/>
  <c r="AL394" i="1"/>
  <c r="AK394" i="1"/>
  <c r="AJ394" i="1"/>
  <c r="AI394" i="1"/>
  <c r="AH394" i="1"/>
  <c r="AF394" i="1"/>
  <c r="AM394" i="1" s="1"/>
  <c r="AE394" i="1"/>
  <c r="T394" i="1"/>
  <c r="S394" i="1"/>
  <c r="O394" i="1"/>
  <c r="N394" i="1"/>
  <c r="M394" i="1"/>
  <c r="AX394" i="1" s="1"/>
  <c r="BD393" i="1"/>
  <c r="BA393" i="1"/>
  <c r="AV393" i="1"/>
  <c r="AU393" i="1"/>
  <c r="AL393" i="1"/>
  <c r="AK393" i="1"/>
  <c r="AJ393" i="1"/>
  <c r="AI393" i="1"/>
  <c r="AH393" i="1"/>
  <c r="AF393" i="1"/>
  <c r="AM393" i="1" s="1"/>
  <c r="AE393" i="1"/>
  <c r="T393" i="1"/>
  <c r="S393" i="1"/>
  <c r="O393" i="1"/>
  <c r="N393" i="1"/>
  <c r="M393" i="1"/>
  <c r="AX393" i="1" s="1"/>
  <c r="BD392" i="1"/>
  <c r="BA392" i="1"/>
  <c r="AV392" i="1"/>
  <c r="AU392" i="1"/>
  <c r="AL392" i="1"/>
  <c r="AK392" i="1"/>
  <c r="AJ392" i="1"/>
  <c r="AI392" i="1"/>
  <c r="AH392" i="1"/>
  <c r="AF392" i="1"/>
  <c r="AM392" i="1" s="1"/>
  <c r="AE392" i="1"/>
  <c r="T392" i="1"/>
  <c r="S392" i="1"/>
  <c r="O392" i="1"/>
  <c r="N392" i="1"/>
  <c r="M392" i="1"/>
  <c r="AX392" i="1" s="1"/>
  <c r="BD391" i="1"/>
  <c r="BA391" i="1"/>
  <c r="AV391" i="1"/>
  <c r="AU391" i="1"/>
  <c r="AL391" i="1"/>
  <c r="AK391" i="1"/>
  <c r="AJ391" i="1"/>
  <c r="AI391" i="1"/>
  <c r="AH391" i="1"/>
  <c r="AF391" i="1"/>
  <c r="AM391" i="1" s="1"/>
  <c r="AE391" i="1"/>
  <c r="T391" i="1"/>
  <c r="S391" i="1"/>
  <c r="O391" i="1"/>
  <c r="N391" i="1"/>
  <c r="M391" i="1"/>
  <c r="AX391" i="1" s="1"/>
  <c r="BD390" i="1"/>
  <c r="BA390" i="1"/>
  <c r="AV390" i="1"/>
  <c r="AU390" i="1"/>
  <c r="AL390" i="1"/>
  <c r="AK390" i="1"/>
  <c r="AJ390" i="1"/>
  <c r="AI390" i="1"/>
  <c r="AH390" i="1"/>
  <c r="AF390" i="1"/>
  <c r="AM390" i="1" s="1"/>
  <c r="AE390" i="1"/>
  <c r="X390" i="1"/>
  <c r="X391" i="1" s="1"/>
  <c r="X392" i="1" s="1"/>
  <c r="X393" i="1" s="1"/>
  <c r="X394" i="1" s="1"/>
  <c r="X395" i="1" s="1"/>
  <c r="W390" i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T390" i="1"/>
  <c r="S390" i="1"/>
  <c r="O390" i="1"/>
  <c r="N390" i="1"/>
  <c r="M390" i="1"/>
  <c r="AX390" i="1" s="1"/>
  <c r="BD389" i="1"/>
  <c r="BA389" i="1"/>
  <c r="AV389" i="1"/>
  <c r="AU389" i="1"/>
  <c r="AL389" i="1"/>
  <c r="AC562" i="1" s="1"/>
  <c r="AK389" i="1"/>
  <c r="AJ389" i="1"/>
  <c r="AI389" i="1"/>
  <c r="AH389" i="1"/>
  <c r="AF389" i="1"/>
  <c r="AM389" i="1" s="1"/>
  <c r="AE389" i="1"/>
  <c r="T389" i="1"/>
  <c r="S389" i="1"/>
  <c r="O389" i="1"/>
  <c r="N389" i="1"/>
  <c r="M389" i="1"/>
  <c r="AX389" i="1" s="1"/>
  <c r="BD388" i="1"/>
  <c r="BA388" i="1"/>
  <c r="AV388" i="1"/>
  <c r="AU388" i="1"/>
  <c r="AL388" i="1"/>
  <c r="AK388" i="1"/>
  <c r="AJ388" i="1"/>
  <c r="AI388" i="1"/>
  <c r="AH388" i="1"/>
  <c r="AE388" i="1"/>
  <c r="AF388" i="1" s="1"/>
  <c r="AM388" i="1" s="1"/>
  <c r="T388" i="1"/>
  <c r="S388" i="1"/>
  <c r="O388" i="1"/>
  <c r="N388" i="1"/>
  <c r="M388" i="1"/>
  <c r="AX388" i="1" s="1"/>
  <c r="BD387" i="1"/>
  <c r="BA387" i="1"/>
  <c r="AV387" i="1"/>
  <c r="AU387" i="1"/>
  <c r="AL387" i="1"/>
  <c r="AK387" i="1"/>
  <c r="AJ387" i="1"/>
  <c r="AI387" i="1"/>
  <c r="AH387" i="1"/>
  <c r="AE387" i="1"/>
  <c r="AF387" i="1" s="1"/>
  <c r="AM387" i="1" s="1"/>
  <c r="T387" i="1"/>
  <c r="S387" i="1"/>
  <c r="O387" i="1"/>
  <c r="N387" i="1"/>
  <c r="M387" i="1"/>
  <c r="AX387" i="1" s="1"/>
  <c r="BD386" i="1"/>
  <c r="BA386" i="1"/>
  <c r="AV386" i="1"/>
  <c r="AU386" i="1"/>
  <c r="AL386" i="1"/>
  <c r="AK386" i="1"/>
  <c r="AJ386" i="1"/>
  <c r="AI386" i="1"/>
  <c r="AH386" i="1"/>
  <c r="AE386" i="1"/>
  <c r="AF386" i="1" s="1"/>
  <c r="AM386" i="1" s="1"/>
  <c r="T386" i="1"/>
  <c r="S386" i="1"/>
  <c r="O386" i="1"/>
  <c r="N386" i="1"/>
  <c r="M386" i="1"/>
  <c r="AX386" i="1" s="1"/>
  <c r="BD385" i="1"/>
  <c r="BA385" i="1"/>
  <c r="AV385" i="1"/>
  <c r="AU385" i="1"/>
  <c r="AL385" i="1"/>
  <c r="AK385" i="1"/>
  <c r="AJ385" i="1"/>
  <c r="AI385" i="1"/>
  <c r="AH385" i="1"/>
  <c r="AE385" i="1"/>
  <c r="AF385" i="1" s="1"/>
  <c r="AM385" i="1" s="1"/>
  <c r="T385" i="1"/>
  <c r="S385" i="1"/>
  <c r="O385" i="1"/>
  <c r="N385" i="1"/>
  <c r="M385" i="1"/>
  <c r="AX385" i="1" s="1"/>
  <c r="BD384" i="1"/>
  <c r="BA384" i="1"/>
  <c r="AV384" i="1"/>
  <c r="AU384" i="1"/>
  <c r="AL384" i="1"/>
  <c r="AK384" i="1"/>
  <c r="AJ384" i="1"/>
  <c r="AI384" i="1"/>
  <c r="AH384" i="1"/>
  <c r="AE384" i="1"/>
  <c r="AF384" i="1" s="1"/>
  <c r="AM384" i="1" s="1"/>
  <c r="T384" i="1"/>
  <c r="S384" i="1"/>
  <c r="O384" i="1"/>
  <c r="N384" i="1"/>
  <c r="M384" i="1"/>
  <c r="AX384" i="1" s="1"/>
  <c r="BD383" i="1"/>
  <c r="BA383" i="1"/>
  <c r="AV383" i="1"/>
  <c r="AU383" i="1"/>
  <c r="AL383" i="1"/>
  <c r="AK383" i="1"/>
  <c r="AJ383" i="1"/>
  <c r="AI383" i="1"/>
  <c r="AH383" i="1"/>
  <c r="AE383" i="1"/>
  <c r="AF383" i="1" s="1"/>
  <c r="AM383" i="1" s="1"/>
  <c r="X383" i="1"/>
  <c r="X384" i="1" s="1"/>
  <c r="X385" i="1" s="1"/>
  <c r="X386" i="1" s="1"/>
  <c r="X387" i="1" s="1"/>
  <c r="X388" i="1" s="1"/>
  <c r="W383" i="1"/>
  <c r="W384" i="1" s="1"/>
  <c r="W385" i="1" s="1"/>
  <c r="W386" i="1" s="1"/>
  <c r="W387" i="1" s="1"/>
  <c r="W388" i="1" s="1"/>
  <c r="T383" i="1"/>
  <c r="S383" i="1"/>
  <c r="O383" i="1"/>
  <c r="N383" i="1"/>
  <c r="M383" i="1"/>
  <c r="AX383" i="1" s="1"/>
  <c r="BD382" i="1"/>
  <c r="BA382" i="1"/>
  <c r="AV382" i="1"/>
  <c r="AU382" i="1"/>
  <c r="AL382" i="1"/>
  <c r="AK382" i="1"/>
  <c r="AJ382" i="1"/>
  <c r="AI382" i="1"/>
  <c r="AH382" i="1"/>
  <c r="AE382" i="1"/>
  <c r="AF382" i="1" s="1"/>
  <c r="AM382" i="1" s="1"/>
  <c r="AD561" i="1" s="1"/>
  <c r="T382" i="1"/>
  <c r="S382" i="1"/>
  <c r="O382" i="1"/>
  <c r="N382" i="1"/>
  <c r="M382" i="1"/>
  <c r="AX382" i="1" s="1"/>
  <c r="BD381" i="1"/>
  <c r="BA381" i="1"/>
  <c r="AV381" i="1"/>
  <c r="AU381" i="1"/>
  <c r="AK381" i="1"/>
  <c r="AJ381" i="1"/>
  <c r="AI381" i="1"/>
  <c r="AH381" i="1"/>
  <c r="AE381" i="1"/>
  <c r="AF381" i="1" s="1"/>
  <c r="AM381" i="1" s="1"/>
  <c r="T381" i="1"/>
  <c r="S381" i="1"/>
  <c r="O381" i="1"/>
  <c r="N381" i="1"/>
  <c r="M381" i="1"/>
  <c r="AX381" i="1" s="1"/>
  <c r="BD380" i="1"/>
  <c r="BA380" i="1"/>
  <c r="AV380" i="1"/>
  <c r="AU380" i="1"/>
  <c r="AK380" i="1"/>
  <c r="AJ380" i="1"/>
  <c r="AI380" i="1"/>
  <c r="AH380" i="1"/>
  <c r="AE380" i="1"/>
  <c r="AF380" i="1" s="1"/>
  <c r="AM380" i="1" s="1"/>
  <c r="T380" i="1"/>
  <c r="S380" i="1"/>
  <c r="O380" i="1"/>
  <c r="N380" i="1"/>
  <c r="M380" i="1"/>
  <c r="AX380" i="1" s="1"/>
  <c r="BD379" i="1"/>
  <c r="BA379" i="1"/>
  <c r="AV379" i="1"/>
  <c r="AU379" i="1"/>
  <c r="AK379" i="1"/>
  <c r="AJ379" i="1"/>
  <c r="AI379" i="1"/>
  <c r="AH379" i="1"/>
  <c r="AE379" i="1"/>
  <c r="AF379" i="1" s="1"/>
  <c r="AM379" i="1" s="1"/>
  <c r="T379" i="1"/>
  <c r="S379" i="1"/>
  <c r="O379" i="1"/>
  <c r="N379" i="1"/>
  <c r="M379" i="1"/>
  <c r="AX379" i="1" s="1"/>
  <c r="BD378" i="1"/>
  <c r="BA378" i="1"/>
  <c r="AV378" i="1"/>
  <c r="AU378" i="1"/>
  <c r="AK378" i="1"/>
  <c r="AJ378" i="1"/>
  <c r="AI378" i="1"/>
  <c r="AH378" i="1"/>
  <c r="AE378" i="1"/>
  <c r="AF378" i="1" s="1"/>
  <c r="AM378" i="1" s="1"/>
  <c r="T378" i="1"/>
  <c r="S378" i="1"/>
  <c r="O378" i="1"/>
  <c r="N378" i="1"/>
  <c r="M378" i="1"/>
  <c r="AX378" i="1" s="1"/>
  <c r="BD377" i="1"/>
  <c r="BA377" i="1"/>
  <c r="AV377" i="1"/>
  <c r="AU377" i="1"/>
  <c r="AK377" i="1"/>
  <c r="AJ377" i="1"/>
  <c r="AI377" i="1"/>
  <c r="AH377" i="1"/>
  <c r="AE377" i="1"/>
  <c r="AF377" i="1" s="1"/>
  <c r="AM377" i="1" s="1"/>
  <c r="T377" i="1"/>
  <c r="S377" i="1"/>
  <c r="O377" i="1"/>
  <c r="N377" i="1"/>
  <c r="M377" i="1"/>
  <c r="AX377" i="1" s="1"/>
  <c r="BD376" i="1"/>
  <c r="BA376" i="1"/>
  <c r="AV376" i="1"/>
  <c r="AU376" i="1"/>
  <c r="AK376" i="1"/>
  <c r="AJ376" i="1"/>
  <c r="AI376" i="1"/>
  <c r="AH376" i="1"/>
  <c r="AE376" i="1"/>
  <c r="AF376" i="1" s="1"/>
  <c r="AM376" i="1" s="1"/>
  <c r="W376" i="1"/>
  <c r="W377" i="1" s="1"/>
  <c r="W378" i="1" s="1"/>
  <c r="W379" i="1" s="1"/>
  <c r="W380" i="1" s="1"/>
  <c r="W381" i="1" s="1"/>
  <c r="T376" i="1"/>
  <c r="S376" i="1"/>
  <c r="O376" i="1"/>
  <c r="N376" i="1"/>
  <c r="M376" i="1"/>
  <c r="AX376" i="1" s="1"/>
  <c r="BD375" i="1"/>
  <c r="BA375" i="1"/>
  <c r="AV375" i="1"/>
  <c r="AU375" i="1"/>
  <c r="AK375" i="1"/>
  <c r="AJ375" i="1"/>
  <c r="AI375" i="1"/>
  <c r="AH375" i="1"/>
  <c r="AE375" i="1"/>
  <c r="AF375" i="1" s="1"/>
  <c r="AM375" i="1" s="1"/>
  <c r="T375" i="1"/>
  <c r="S375" i="1"/>
  <c r="O375" i="1"/>
  <c r="N375" i="1"/>
  <c r="M375" i="1"/>
  <c r="AX375" i="1" s="1"/>
  <c r="BD374" i="1"/>
  <c r="BA374" i="1"/>
  <c r="AX374" i="1"/>
  <c r="AV374" i="1"/>
  <c r="AU374" i="1"/>
  <c r="AL374" i="1"/>
  <c r="AK374" i="1"/>
  <c r="AJ374" i="1"/>
  <c r="AI374" i="1"/>
  <c r="AH374" i="1"/>
  <c r="AE374" i="1"/>
  <c r="AF374" i="1" s="1"/>
  <c r="AM374" i="1" s="1"/>
  <c r="T374" i="1"/>
  <c r="S374" i="1"/>
  <c r="O374" i="1"/>
  <c r="N374" i="1"/>
  <c r="M374" i="1"/>
  <c r="BD373" i="1"/>
  <c r="BA373" i="1"/>
  <c r="AX373" i="1"/>
  <c r="AV373" i="1"/>
  <c r="AU373" i="1"/>
  <c r="AL373" i="1"/>
  <c r="AK373" i="1"/>
  <c r="AJ373" i="1"/>
  <c r="AI373" i="1"/>
  <c r="AH373" i="1"/>
  <c r="AE373" i="1"/>
  <c r="AF373" i="1" s="1"/>
  <c r="AM373" i="1" s="1"/>
  <c r="T373" i="1"/>
  <c r="S373" i="1"/>
  <c r="O373" i="1"/>
  <c r="N373" i="1"/>
  <c r="M373" i="1"/>
  <c r="BD372" i="1"/>
  <c r="BA372" i="1"/>
  <c r="AX372" i="1"/>
  <c r="AV372" i="1"/>
  <c r="AU372" i="1"/>
  <c r="AL372" i="1"/>
  <c r="AK372" i="1"/>
  <c r="AJ372" i="1"/>
  <c r="AI372" i="1"/>
  <c r="AH372" i="1"/>
  <c r="AE372" i="1"/>
  <c r="AF372" i="1" s="1"/>
  <c r="AM372" i="1" s="1"/>
  <c r="T372" i="1"/>
  <c r="S372" i="1"/>
  <c r="O372" i="1"/>
  <c r="N372" i="1"/>
  <c r="M372" i="1"/>
  <c r="BD371" i="1"/>
  <c r="BA371" i="1"/>
  <c r="AX371" i="1"/>
  <c r="AV371" i="1"/>
  <c r="AU371" i="1"/>
  <c r="AL371" i="1"/>
  <c r="AK371" i="1"/>
  <c r="AJ371" i="1"/>
  <c r="AI371" i="1"/>
  <c r="AH371" i="1"/>
  <c r="AE371" i="1"/>
  <c r="AF371" i="1" s="1"/>
  <c r="AM371" i="1" s="1"/>
  <c r="T371" i="1"/>
  <c r="S371" i="1"/>
  <c r="O371" i="1"/>
  <c r="N371" i="1"/>
  <c r="M371" i="1"/>
  <c r="BD370" i="1"/>
  <c r="BA370" i="1"/>
  <c r="AX370" i="1"/>
  <c r="AV370" i="1"/>
  <c r="AU370" i="1"/>
  <c r="AL370" i="1"/>
  <c r="AK370" i="1"/>
  <c r="AJ370" i="1"/>
  <c r="AI370" i="1"/>
  <c r="AH370" i="1"/>
  <c r="AE370" i="1"/>
  <c r="AF370" i="1" s="1"/>
  <c r="AM370" i="1" s="1"/>
  <c r="T370" i="1"/>
  <c r="S370" i="1"/>
  <c r="O370" i="1"/>
  <c r="N370" i="1"/>
  <c r="M370" i="1"/>
  <c r="BD369" i="1"/>
  <c r="BA369" i="1"/>
  <c r="AX369" i="1"/>
  <c r="AV369" i="1"/>
  <c r="AU369" i="1"/>
  <c r="AL369" i="1"/>
  <c r="AK369" i="1"/>
  <c r="AJ369" i="1"/>
  <c r="AI369" i="1"/>
  <c r="AH369" i="1"/>
  <c r="AE369" i="1"/>
  <c r="AF369" i="1" s="1"/>
  <c r="AM369" i="1" s="1"/>
  <c r="X369" i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T369" i="1"/>
  <c r="S369" i="1"/>
  <c r="O369" i="1"/>
  <c r="N369" i="1"/>
  <c r="M369" i="1"/>
  <c r="BD368" i="1"/>
  <c r="BA368" i="1"/>
  <c r="AX368" i="1"/>
  <c r="AV368" i="1"/>
  <c r="AU368" i="1"/>
  <c r="AL368" i="1"/>
  <c r="AC559" i="1" s="1"/>
  <c r="AK368" i="1"/>
  <c r="AJ368" i="1"/>
  <c r="AI368" i="1"/>
  <c r="AH368" i="1"/>
  <c r="AE368" i="1"/>
  <c r="AF368" i="1" s="1"/>
  <c r="AM368" i="1" s="1"/>
  <c r="AD559" i="1" s="1"/>
  <c r="T368" i="1"/>
  <c r="S368" i="1"/>
  <c r="O368" i="1"/>
  <c r="N368" i="1"/>
  <c r="M368" i="1"/>
  <c r="BD367" i="1"/>
  <c r="BA367" i="1"/>
  <c r="AX367" i="1"/>
  <c r="AV367" i="1"/>
  <c r="AU367" i="1"/>
  <c r="AL367" i="1"/>
  <c r="AK367" i="1"/>
  <c r="AJ367" i="1"/>
  <c r="AI367" i="1"/>
  <c r="AH367" i="1"/>
  <c r="AF367" i="1"/>
  <c r="AM367" i="1" s="1"/>
  <c r="AE367" i="1"/>
  <c r="T367" i="1"/>
  <c r="S367" i="1"/>
  <c r="O367" i="1"/>
  <c r="N367" i="1"/>
  <c r="M367" i="1"/>
  <c r="BD366" i="1"/>
  <c r="BA366" i="1"/>
  <c r="AX366" i="1"/>
  <c r="AV366" i="1"/>
  <c r="AU366" i="1"/>
  <c r="AL366" i="1"/>
  <c r="AK366" i="1"/>
  <c r="AJ366" i="1"/>
  <c r="AI366" i="1"/>
  <c r="AH366" i="1"/>
  <c r="AF366" i="1"/>
  <c r="AM366" i="1" s="1"/>
  <c r="AE366" i="1"/>
  <c r="T366" i="1"/>
  <c r="S366" i="1"/>
  <c r="O366" i="1"/>
  <c r="N366" i="1"/>
  <c r="M366" i="1"/>
  <c r="BD365" i="1"/>
  <c r="BA365" i="1"/>
  <c r="AX365" i="1"/>
  <c r="AV365" i="1"/>
  <c r="AU365" i="1"/>
  <c r="AL365" i="1"/>
  <c r="AK365" i="1"/>
  <c r="AJ365" i="1"/>
  <c r="AI365" i="1"/>
  <c r="AH365" i="1"/>
  <c r="AF365" i="1"/>
  <c r="AM365" i="1" s="1"/>
  <c r="AE365" i="1"/>
  <c r="T365" i="1"/>
  <c r="S365" i="1"/>
  <c r="O365" i="1"/>
  <c r="N365" i="1"/>
  <c r="M365" i="1"/>
  <c r="BD364" i="1"/>
  <c r="BA364" i="1"/>
  <c r="AX364" i="1"/>
  <c r="AV364" i="1"/>
  <c r="AU364" i="1"/>
  <c r="AL364" i="1"/>
  <c r="AK364" i="1"/>
  <c r="AJ364" i="1"/>
  <c r="AI364" i="1"/>
  <c r="AH364" i="1"/>
  <c r="AF364" i="1"/>
  <c r="AM364" i="1" s="1"/>
  <c r="AE364" i="1"/>
  <c r="T364" i="1"/>
  <c r="S364" i="1"/>
  <c r="O364" i="1"/>
  <c r="N364" i="1"/>
  <c r="M364" i="1"/>
  <c r="BD363" i="1"/>
  <c r="BA363" i="1"/>
  <c r="AX363" i="1"/>
  <c r="AV363" i="1"/>
  <c r="AU363" i="1"/>
  <c r="AL363" i="1"/>
  <c r="AK363" i="1"/>
  <c r="AJ363" i="1"/>
  <c r="AI363" i="1"/>
  <c r="AH363" i="1"/>
  <c r="AF363" i="1"/>
  <c r="AM363" i="1" s="1"/>
  <c r="AE363" i="1"/>
  <c r="T363" i="1"/>
  <c r="S363" i="1"/>
  <c r="O363" i="1"/>
  <c r="N363" i="1"/>
  <c r="M363" i="1"/>
  <c r="BD362" i="1"/>
  <c r="BA362" i="1"/>
  <c r="AX362" i="1"/>
  <c r="AV362" i="1"/>
  <c r="AU362" i="1"/>
  <c r="AL362" i="1"/>
  <c r="AK362" i="1"/>
  <c r="AJ362" i="1"/>
  <c r="AI362" i="1"/>
  <c r="AH362" i="1"/>
  <c r="AF362" i="1"/>
  <c r="AM362" i="1" s="1"/>
  <c r="AE362" i="1"/>
  <c r="W362" i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T362" i="1"/>
  <c r="S362" i="1"/>
  <c r="O362" i="1"/>
  <c r="N362" i="1"/>
  <c r="M362" i="1"/>
  <c r="BD361" i="1"/>
  <c r="BA361" i="1"/>
  <c r="AX361" i="1"/>
  <c r="AV361" i="1"/>
  <c r="AU361" i="1"/>
  <c r="AL361" i="1"/>
  <c r="AC558" i="1" s="1"/>
  <c r="AK361" i="1"/>
  <c r="AJ361" i="1"/>
  <c r="AI361" i="1"/>
  <c r="AH361" i="1"/>
  <c r="AF361" i="1"/>
  <c r="AM361" i="1" s="1"/>
  <c r="AE361" i="1"/>
  <c r="T361" i="1"/>
  <c r="S361" i="1"/>
  <c r="O361" i="1"/>
  <c r="N361" i="1"/>
  <c r="M361" i="1"/>
  <c r="BD360" i="1"/>
  <c r="BA360" i="1"/>
  <c r="AV360" i="1"/>
  <c r="AU360" i="1"/>
  <c r="AK360" i="1"/>
  <c r="AJ360" i="1"/>
  <c r="AI360" i="1"/>
  <c r="AH360" i="1"/>
  <c r="AE360" i="1"/>
  <c r="AF360" i="1" s="1"/>
  <c r="AM360" i="1" s="1"/>
  <c r="T360" i="1"/>
  <c r="S360" i="1"/>
  <c r="O360" i="1"/>
  <c r="N360" i="1"/>
  <c r="AX360" i="1" s="1"/>
  <c r="M360" i="1"/>
  <c r="BD359" i="1"/>
  <c r="BA359" i="1"/>
  <c r="AV359" i="1"/>
  <c r="AU359" i="1"/>
  <c r="AK359" i="1"/>
  <c r="AJ359" i="1"/>
  <c r="AI359" i="1"/>
  <c r="AH359" i="1"/>
  <c r="AE359" i="1"/>
  <c r="AF359" i="1" s="1"/>
  <c r="AM359" i="1" s="1"/>
  <c r="T359" i="1"/>
  <c r="S359" i="1"/>
  <c r="O359" i="1"/>
  <c r="N359" i="1"/>
  <c r="AX359" i="1" s="1"/>
  <c r="M359" i="1"/>
  <c r="BD358" i="1"/>
  <c r="BA358" i="1"/>
  <c r="AV358" i="1"/>
  <c r="AU358" i="1"/>
  <c r="AK358" i="1"/>
  <c r="AJ358" i="1"/>
  <c r="AI358" i="1"/>
  <c r="AH358" i="1"/>
  <c r="AE358" i="1"/>
  <c r="T358" i="1"/>
  <c r="S358" i="1"/>
  <c r="O358" i="1"/>
  <c r="N358" i="1"/>
  <c r="AX358" i="1" s="1"/>
  <c r="M358" i="1"/>
  <c r="BD357" i="1"/>
  <c r="BA357" i="1"/>
  <c r="AV357" i="1"/>
  <c r="AU357" i="1"/>
  <c r="AK357" i="1"/>
  <c r="AJ357" i="1"/>
  <c r="AI357" i="1"/>
  <c r="AH357" i="1"/>
  <c r="AE357" i="1"/>
  <c r="T357" i="1"/>
  <c r="S357" i="1"/>
  <c r="O357" i="1"/>
  <c r="N357" i="1"/>
  <c r="AX357" i="1" s="1"/>
  <c r="M357" i="1"/>
  <c r="BD356" i="1"/>
  <c r="BA356" i="1"/>
  <c r="AV356" i="1"/>
  <c r="AU356" i="1"/>
  <c r="AK356" i="1"/>
  <c r="AJ356" i="1"/>
  <c r="AI356" i="1"/>
  <c r="AH356" i="1"/>
  <c r="AE356" i="1"/>
  <c r="T356" i="1"/>
  <c r="S356" i="1"/>
  <c r="O356" i="1"/>
  <c r="N356" i="1"/>
  <c r="AX356" i="1" s="1"/>
  <c r="M356" i="1"/>
  <c r="BD355" i="1"/>
  <c r="BA355" i="1"/>
  <c r="AX355" i="1"/>
  <c r="AV355" i="1"/>
  <c r="AU355" i="1"/>
  <c r="AK355" i="1"/>
  <c r="AJ355" i="1"/>
  <c r="AI355" i="1"/>
  <c r="AH355" i="1"/>
  <c r="AE355" i="1"/>
  <c r="X355" i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W355" i="1"/>
  <c r="W356" i="1" s="1"/>
  <c r="W357" i="1" s="1"/>
  <c r="W358" i="1" s="1"/>
  <c r="W359" i="1" s="1"/>
  <c r="W360" i="1" s="1"/>
  <c r="T355" i="1"/>
  <c r="S355" i="1"/>
  <c r="O355" i="1"/>
  <c r="N355" i="1"/>
  <c r="M355" i="1"/>
  <c r="BD354" i="1"/>
  <c r="BA354" i="1"/>
  <c r="AV354" i="1"/>
  <c r="AU354" i="1"/>
  <c r="AK354" i="1"/>
  <c r="AJ354" i="1"/>
  <c r="AI354" i="1"/>
  <c r="AH354" i="1"/>
  <c r="AE354" i="1"/>
  <c r="T354" i="1"/>
  <c r="S354" i="1"/>
  <c r="O354" i="1"/>
  <c r="N354" i="1"/>
  <c r="AX354" i="1" s="1"/>
  <c r="M354" i="1"/>
  <c r="BD353" i="1"/>
  <c r="BA353" i="1"/>
  <c r="AV353" i="1"/>
  <c r="AU353" i="1"/>
  <c r="AK353" i="1"/>
  <c r="AJ353" i="1"/>
  <c r="AI353" i="1"/>
  <c r="AH353" i="1"/>
  <c r="AF353" i="1"/>
  <c r="AM353" i="1" s="1"/>
  <c r="AE353" i="1"/>
  <c r="AL353" i="1" s="1"/>
  <c r="T353" i="1"/>
  <c r="S353" i="1"/>
  <c r="O353" i="1"/>
  <c r="N353" i="1"/>
  <c r="AX353" i="1" s="1"/>
  <c r="M353" i="1"/>
  <c r="BD352" i="1"/>
  <c r="BA352" i="1"/>
  <c r="AX352" i="1"/>
  <c r="AV352" i="1"/>
  <c r="AU352" i="1"/>
  <c r="AK352" i="1"/>
  <c r="AJ352" i="1"/>
  <c r="AI352" i="1"/>
  <c r="AH352" i="1"/>
  <c r="AE352" i="1"/>
  <c r="AL352" i="1" s="1"/>
  <c r="W352" i="1"/>
  <c r="W353" i="1" s="1"/>
  <c r="T352" i="1"/>
  <c r="S352" i="1"/>
  <c r="O352" i="1"/>
  <c r="N352" i="1"/>
  <c r="M352" i="1"/>
  <c r="BD351" i="1"/>
  <c r="BA351" i="1"/>
  <c r="AV351" i="1"/>
  <c r="AU351" i="1"/>
  <c r="AK351" i="1"/>
  <c r="AJ351" i="1"/>
  <c r="AI351" i="1"/>
  <c r="AH351" i="1"/>
  <c r="AF351" i="1"/>
  <c r="AM351" i="1" s="1"/>
  <c r="AE351" i="1"/>
  <c r="AL351" i="1" s="1"/>
  <c r="T351" i="1"/>
  <c r="S351" i="1"/>
  <c r="O351" i="1"/>
  <c r="N351" i="1"/>
  <c r="AX351" i="1" s="1"/>
  <c r="M351" i="1"/>
  <c r="BD350" i="1"/>
  <c r="BA350" i="1"/>
  <c r="AX350" i="1"/>
  <c r="AV350" i="1"/>
  <c r="AU350" i="1"/>
  <c r="AM350" i="1"/>
  <c r="AK350" i="1"/>
  <c r="AJ350" i="1"/>
  <c r="AI350" i="1"/>
  <c r="AH350" i="1"/>
  <c r="AF350" i="1"/>
  <c r="AE350" i="1"/>
  <c r="AL350" i="1" s="1"/>
  <c r="T350" i="1"/>
  <c r="S350" i="1"/>
  <c r="O350" i="1"/>
  <c r="N350" i="1"/>
  <c r="M350" i="1"/>
  <c r="BD349" i="1"/>
  <c r="BA349" i="1"/>
  <c r="AV349" i="1"/>
  <c r="AU349" i="1"/>
  <c r="AK349" i="1"/>
  <c r="AJ349" i="1"/>
  <c r="AI349" i="1"/>
  <c r="AH349" i="1"/>
  <c r="AE349" i="1"/>
  <c r="W349" i="1"/>
  <c r="W350" i="1" s="1"/>
  <c r="W351" i="1" s="1"/>
  <c r="T349" i="1"/>
  <c r="S349" i="1"/>
  <c r="O349" i="1"/>
  <c r="N349" i="1"/>
  <c r="AX349" i="1" s="1"/>
  <c r="M349" i="1"/>
  <c r="BD348" i="1"/>
  <c r="BA348" i="1"/>
  <c r="AV348" i="1"/>
  <c r="AU348" i="1"/>
  <c r="AK348" i="1"/>
  <c r="AJ348" i="1"/>
  <c r="AI348" i="1"/>
  <c r="AH348" i="1"/>
  <c r="AF348" i="1"/>
  <c r="AM348" i="1" s="1"/>
  <c r="AE348" i="1"/>
  <c r="AL348" i="1" s="1"/>
  <c r="W348" i="1"/>
  <c r="T348" i="1"/>
  <c r="S348" i="1"/>
  <c r="O348" i="1"/>
  <c r="N348" i="1"/>
  <c r="AX348" i="1" s="1"/>
  <c r="M348" i="1"/>
  <c r="BD347" i="1"/>
  <c r="BA347" i="1"/>
  <c r="AV347" i="1"/>
  <c r="AU347" i="1"/>
  <c r="AK347" i="1"/>
  <c r="AJ347" i="1"/>
  <c r="AI347" i="1"/>
  <c r="AH347" i="1"/>
  <c r="AE347" i="1"/>
  <c r="AL347" i="1" s="1"/>
  <c r="T347" i="1"/>
  <c r="S347" i="1"/>
  <c r="O347" i="1"/>
  <c r="N347" i="1"/>
  <c r="AX347" i="1" s="1"/>
  <c r="M347" i="1"/>
  <c r="BD346" i="1"/>
  <c r="BA346" i="1"/>
  <c r="AV346" i="1"/>
  <c r="AU346" i="1"/>
  <c r="AK346" i="1"/>
  <c r="AJ346" i="1"/>
  <c r="AI346" i="1"/>
  <c r="AH346" i="1"/>
  <c r="AE346" i="1"/>
  <c r="AF346" i="1" s="1"/>
  <c r="AM346" i="1" s="1"/>
  <c r="T346" i="1"/>
  <c r="S346" i="1"/>
  <c r="O346" i="1"/>
  <c r="N346" i="1"/>
  <c r="M346" i="1"/>
  <c r="AX346" i="1" s="1"/>
  <c r="BD345" i="1"/>
  <c r="BA345" i="1"/>
  <c r="AV345" i="1"/>
  <c r="AU345" i="1"/>
  <c r="AK345" i="1"/>
  <c r="AJ345" i="1"/>
  <c r="AI345" i="1"/>
  <c r="AH345" i="1"/>
  <c r="AF345" i="1"/>
  <c r="AM345" i="1" s="1"/>
  <c r="AE345" i="1"/>
  <c r="AL345" i="1" s="1"/>
  <c r="T345" i="1"/>
  <c r="S345" i="1"/>
  <c r="O345" i="1"/>
  <c r="N345" i="1"/>
  <c r="M345" i="1"/>
  <c r="BD344" i="1"/>
  <c r="BA344" i="1"/>
  <c r="AV344" i="1"/>
  <c r="AU344" i="1"/>
  <c r="AK344" i="1"/>
  <c r="AJ344" i="1"/>
  <c r="AI344" i="1"/>
  <c r="AH344" i="1"/>
  <c r="AE344" i="1"/>
  <c r="AF344" i="1" s="1"/>
  <c r="AM344" i="1" s="1"/>
  <c r="T344" i="1"/>
  <c r="S344" i="1"/>
  <c r="O344" i="1"/>
  <c r="N344" i="1"/>
  <c r="M344" i="1"/>
  <c r="AX344" i="1" s="1"/>
  <c r="BD343" i="1"/>
  <c r="BA343" i="1"/>
  <c r="AV343" i="1"/>
  <c r="AU343" i="1"/>
  <c r="AL343" i="1"/>
  <c r="AK343" i="1"/>
  <c r="AJ343" i="1"/>
  <c r="AI343" i="1"/>
  <c r="AH343" i="1"/>
  <c r="AE343" i="1"/>
  <c r="AF343" i="1" s="1"/>
  <c r="AM343" i="1" s="1"/>
  <c r="T343" i="1"/>
  <c r="S343" i="1"/>
  <c r="O343" i="1"/>
  <c r="N343" i="1"/>
  <c r="M343" i="1"/>
  <c r="AX343" i="1" s="1"/>
  <c r="BD342" i="1"/>
  <c r="BA342" i="1"/>
  <c r="AV342" i="1"/>
  <c r="AU342" i="1"/>
  <c r="AL342" i="1"/>
  <c r="AK342" i="1"/>
  <c r="AJ342" i="1"/>
  <c r="AI342" i="1"/>
  <c r="AH342" i="1"/>
  <c r="AE342" i="1"/>
  <c r="AF342" i="1" s="1"/>
  <c r="AM342" i="1" s="1"/>
  <c r="W342" i="1"/>
  <c r="W343" i="1" s="1"/>
  <c r="W344" i="1" s="1"/>
  <c r="W345" i="1" s="1"/>
  <c r="W346" i="1" s="1"/>
  <c r="T342" i="1"/>
  <c r="S342" i="1"/>
  <c r="O342" i="1"/>
  <c r="N342" i="1"/>
  <c r="M342" i="1"/>
  <c r="AX342" i="1" s="1"/>
  <c r="BD341" i="1"/>
  <c r="BA341" i="1"/>
  <c r="AV341" i="1"/>
  <c r="AU341" i="1"/>
  <c r="AL341" i="1"/>
  <c r="AK341" i="1"/>
  <c r="AJ341" i="1"/>
  <c r="AI341" i="1"/>
  <c r="AH341" i="1"/>
  <c r="AE341" i="1"/>
  <c r="AF341" i="1" s="1"/>
  <c r="AM341" i="1" s="1"/>
  <c r="X341" i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W341" i="1"/>
  <c r="T341" i="1"/>
  <c r="S341" i="1"/>
  <c r="O341" i="1"/>
  <c r="N341" i="1"/>
  <c r="M341" i="1"/>
  <c r="AX341" i="1" s="1"/>
  <c r="BD340" i="1"/>
  <c r="BA340" i="1"/>
  <c r="AX340" i="1"/>
  <c r="AV340" i="1"/>
  <c r="AU340" i="1"/>
  <c r="AL340" i="1"/>
  <c r="AK340" i="1"/>
  <c r="AJ340" i="1"/>
  <c r="AI340" i="1"/>
  <c r="AH340" i="1"/>
  <c r="AE340" i="1"/>
  <c r="AF340" i="1" s="1"/>
  <c r="AM340" i="1" s="1"/>
  <c r="T340" i="1"/>
  <c r="S340" i="1"/>
  <c r="O340" i="1"/>
  <c r="N340" i="1"/>
  <c r="M340" i="1"/>
  <c r="BD339" i="1"/>
  <c r="BA339" i="1"/>
  <c r="AX339" i="1"/>
  <c r="AV339" i="1"/>
  <c r="AU339" i="1"/>
  <c r="AL339" i="1"/>
  <c r="AK339" i="1"/>
  <c r="AJ339" i="1"/>
  <c r="AI339" i="1"/>
  <c r="AH339" i="1"/>
  <c r="AF339" i="1"/>
  <c r="AM339" i="1" s="1"/>
  <c r="AE339" i="1"/>
  <c r="T339" i="1"/>
  <c r="S339" i="1"/>
  <c r="O339" i="1"/>
  <c r="N339" i="1"/>
  <c r="M339" i="1"/>
  <c r="BD338" i="1"/>
  <c r="BA338" i="1"/>
  <c r="AX338" i="1"/>
  <c r="AV338" i="1"/>
  <c r="AU338" i="1"/>
  <c r="AL338" i="1"/>
  <c r="AK338" i="1"/>
  <c r="AJ338" i="1"/>
  <c r="AI338" i="1"/>
  <c r="AH338" i="1"/>
  <c r="AF338" i="1"/>
  <c r="AM338" i="1" s="1"/>
  <c r="AE338" i="1"/>
  <c r="T338" i="1"/>
  <c r="S338" i="1"/>
  <c r="O338" i="1"/>
  <c r="N338" i="1"/>
  <c r="M338" i="1"/>
  <c r="BD337" i="1"/>
  <c r="BA337" i="1"/>
  <c r="AX337" i="1"/>
  <c r="AV337" i="1"/>
  <c r="AU337" i="1"/>
  <c r="AL337" i="1"/>
  <c r="AK337" i="1"/>
  <c r="AJ337" i="1"/>
  <c r="AI337" i="1"/>
  <c r="AH337" i="1"/>
  <c r="AF337" i="1"/>
  <c r="AM337" i="1" s="1"/>
  <c r="AE337" i="1"/>
  <c r="T337" i="1"/>
  <c r="S337" i="1"/>
  <c r="O337" i="1"/>
  <c r="N337" i="1"/>
  <c r="M337" i="1"/>
  <c r="BD336" i="1"/>
  <c r="BA336" i="1"/>
  <c r="AX336" i="1"/>
  <c r="AV336" i="1"/>
  <c r="AU336" i="1"/>
  <c r="AL336" i="1"/>
  <c r="AK336" i="1"/>
  <c r="AJ336" i="1"/>
  <c r="AI336" i="1"/>
  <c r="AH336" i="1"/>
  <c r="AF336" i="1"/>
  <c r="AM336" i="1" s="1"/>
  <c r="AE336" i="1"/>
  <c r="T336" i="1"/>
  <c r="S336" i="1"/>
  <c r="O336" i="1"/>
  <c r="N336" i="1"/>
  <c r="M336" i="1"/>
  <c r="BD335" i="1"/>
  <c r="BA335" i="1"/>
  <c r="AX335" i="1"/>
  <c r="AV335" i="1"/>
  <c r="AU335" i="1"/>
  <c r="AL335" i="1"/>
  <c r="AK335" i="1"/>
  <c r="AJ335" i="1"/>
  <c r="AI335" i="1"/>
  <c r="AH335" i="1"/>
  <c r="AF335" i="1"/>
  <c r="AM335" i="1" s="1"/>
  <c r="AE335" i="1"/>
  <c r="T335" i="1"/>
  <c r="S335" i="1"/>
  <c r="O335" i="1"/>
  <c r="N335" i="1"/>
  <c r="M335" i="1"/>
  <c r="BD334" i="1"/>
  <c r="BA334" i="1"/>
  <c r="AX334" i="1"/>
  <c r="AV334" i="1"/>
  <c r="AU334" i="1"/>
  <c r="AL334" i="1"/>
  <c r="AK334" i="1"/>
  <c r="AJ334" i="1"/>
  <c r="AI334" i="1"/>
  <c r="AH334" i="1"/>
  <c r="AF334" i="1"/>
  <c r="AM334" i="1" s="1"/>
  <c r="AE334" i="1"/>
  <c r="W334" i="1"/>
  <c r="W335" i="1" s="1"/>
  <c r="W336" i="1" s="1"/>
  <c r="W337" i="1" s="1"/>
  <c r="W338" i="1" s="1"/>
  <c r="W339" i="1" s="1"/>
  <c r="T334" i="1"/>
  <c r="S334" i="1"/>
  <c r="O334" i="1"/>
  <c r="N334" i="1"/>
  <c r="M334" i="1"/>
  <c r="BD333" i="1"/>
  <c r="BA333" i="1"/>
  <c r="AX333" i="1"/>
  <c r="AV333" i="1"/>
  <c r="AU333" i="1"/>
  <c r="AL333" i="1"/>
  <c r="AC554" i="1" s="1"/>
  <c r="AK333" i="1"/>
  <c r="AJ333" i="1"/>
  <c r="AI333" i="1"/>
  <c r="AH333" i="1"/>
  <c r="AF333" i="1"/>
  <c r="AM333" i="1" s="1"/>
  <c r="AE333" i="1"/>
  <c r="T333" i="1"/>
  <c r="S333" i="1"/>
  <c r="O333" i="1"/>
  <c r="N333" i="1"/>
  <c r="M333" i="1"/>
  <c r="BD332" i="1"/>
  <c r="BA332" i="1"/>
  <c r="AX332" i="1"/>
  <c r="AV332" i="1"/>
  <c r="AU332" i="1"/>
  <c r="AK332" i="1"/>
  <c r="AJ332" i="1"/>
  <c r="AI332" i="1"/>
  <c r="AH332" i="1"/>
  <c r="AF332" i="1"/>
  <c r="AM332" i="1" s="1"/>
  <c r="AE332" i="1"/>
  <c r="AL332" i="1" s="1"/>
  <c r="T332" i="1"/>
  <c r="S332" i="1"/>
  <c r="O332" i="1"/>
  <c r="N332" i="1"/>
  <c r="M332" i="1"/>
  <c r="BD331" i="1"/>
  <c r="BA331" i="1"/>
  <c r="AX331" i="1"/>
  <c r="AV331" i="1"/>
  <c r="AU331" i="1"/>
  <c r="AK331" i="1"/>
  <c r="AJ331" i="1"/>
  <c r="AI331" i="1"/>
  <c r="AH331" i="1"/>
  <c r="AF331" i="1"/>
  <c r="AM331" i="1" s="1"/>
  <c r="AE331" i="1"/>
  <c r="AL331" i="1" s="1"/>
  <c r="T331" i="1"/>
  <c r="S331" i="1"/>
  <c r="O331" i="1"/>
  <c r="N331" i="1"/>
  <c r="M331" i="1"/>
  <c r="BD330" i="1"/>
  <c r="BA330" i="1"/>
  <c r="AX330" i="1"/>
  <c r="AV330" i="1"/>
  <c r="AU330" i="1"/>
  <c r="AK330" i="1"/>
  <c r="AJ330" i="1"/>
  <c r="AI330" i="1"/>
  <c r="AH330" i="1"/>
  <c r="AF330" i="1"/>
  <c r="AM330" i="1" s="1"/>
  <c r="AE330" i="1"/>
  <c r="AL330" i="1" s="1"/>
  <c r="T330" i="1"/>
  <c r="S330" i="1"/>
  <c r="O330" i="1"/>
  <c r="N330" i="1"/>
  <c r="M330" i="1"/>
  <c r="BD329" i="1"/>
  <c r="BA329" i="1"/>
  <c r="AX329" i="1"/>
  <c r="AV329" i="1"/>
  <c r="AU329" i="1"/>
  <c r="AK329" i="1"/>
  <c r="AJ329" i="1"/>
  <c r="AI329" i="1"/>
  <c r="AH329" i="1"/>
  <c r="AF329" i="1"/>
  <c r="AM329" i="1" s="1"/>
  <c r="AE329" i="1"/>
  <c r="AL329" i="1" s="1"/>
  <c r="T329" i="1"/>
  <c r="S329" i="1"/>
  <c r="O329" i="1"/>
  <c r="N329" i="1"/>
  <c r="M329" i="1"/>
  <c r="BD328" i="1"/>
  <c r="BA328" i="1"/>
  <c r="AX328" i="1"/>
  <c r="AV328" i="1"/>
  <c r="AU328" i="1"/>
  <c r="AK328" i="1"/>
  <c r="AJ328" i="1"/>
  <c r="AI328" i="1"/>
  <c r="AH328" i="1"/>
  <c r="AF328" i="1"/>
  <c r="AM328" i="1" s="1"/>
  <c r="AE328" i="1"/>
  <c r="AL328" i="1" s="1"/>
  <c r="T328" i="1"/>
  <c r="S328" i="1"/>
  <c r="O328" i="1"/>
  <c r="N328" i="1"/>
  <c r="M328" i="1"/>
  <c r="BD327" i="1"/>
  <c r="BA327" i="1"/>
  <c r="AX327" i="1"/>
  <c r="AV327" i="1"/>
  <c r="AU327" i="1"/>
  <c r="AK327" i="1"/>
  <c r="AJ327" i="1"/>
  <c r="AI327" i="1"/>
  <c r="AH327" i="1"/>
  <c r="AF327" i="1"/>
  <c r="AM327" i="1" s="1"/>
  <c r="AE327" i="1"/>
  <c r="AL327" i="1" s="1"/>
  <c r="W327" i="1"/>
  <c r="W328" i="1" s="1"/>
  <c r="W329" i="1" s="1"/>
  <c r="W330" i="1" s="1"/>
  <c r="W331" i="1" s="1"/>
  <c r="W332" i="1" s="1"/>
  <c r="T327" i="1"/>
  <c r="S327" i="1"/>
  <c r="O327" i="1"/>
  <c r="N327" i="1"/>
  <c r="M327" i="1"/>
  <c r="BD326" i="1"/>
  <c r="BA326" i="1"/>
  <c r="AX326" i="1"/>
  <c r="AV326" i="1"/>
  <c r="AU326" i="1"/>
  <c r="AK326" i="1"/>
  <c r="AJ326" i="1"/>
  <c r="AI326" i="1"/>
  <c r="AH326" i="1"/>
  <c r="AF326" i="1"/>
  <c r="AM326" i="1" s="1"/>
  <c r="AE326" i="1"/>
  <c r="AL326" i="1" s="1"/>
  <c r="T326" i="1"/>
  <c r="S326" i="1"/>
  <c r="O326" i="1"/>
  <c r="N326" i="1"/>
  <c r="M326" i="1"/>
  <c r="BD325" i="1"/>
  <c r="BA325" i="1"/>
  <c r="AX325" i="1"/>
  <c r="AV325" i="1"/>
  <c r="AU325" i="1"/>
  <c r="AK325" i="1"/>
  <c r="AJ325" i="1"/>
  <c r="AI325" i="1"/>
  <c r="AH325" i="1"/>
  <c r="AF325" i="1"/>
  <c r="AM325" i="1" s="1"/>
  <c r="AE325" i="1"/>
  <c r="AL325" i="1" s="1"/>
  <c r="T325" i="1"/>
  <c r="S325" i="1"/>
  <c r="O325" i="1"/>
  <c r="N325" i="1"/>
  <c r="M325" i="1"/>
  <c r="BD324" i="1"/>
  <c r="BA324" i="1"/>
  <c r="AX324" i="1"/>
  <c r="AV324" i="1"/>
  <c r="AU324" i="1"/>
  <c r="AK324" i="1"/>
  <c r="AJ324" i="1"/>
  <c r="AI324" i="1"/>
  <c r="AH324" i="1"/>
  <c r="AF324" i="1"/>
  <c r="AM324" i="1" s="1"/>
  <c r="AE324" i="1"/>
  <c r="AL324" i="1" s="1"/>
  <c r="T324" i="1"/>
  <c r="S324" i="1"/>
  <c r="O324" i="1"/>
  <c r="N324" i="1"/>
  <c r="M324" i="1"/>
  <c r="BD323" i="1"/>
  <c r="BA323" i="1"/>
  <c r="AX323" i="1"/>
  <c r="AV323" i="1"/>
  <c r="AU323" i="1"/>
  <c r="AK323" i="1"/>
  <c r="AJ323" i="1"/>
  <c r="AI323" i="1"/>
  <c r="AH323" i="1"/>
  <c r="AF323" i="1"/>
  <c r="AM323" i="1" s="1"/>
  <c r="AE323" i="1"/>
  <c r="AL323" i="1" s="1"/>
  <c r="T323" i="1"/>
  <c r="S323" i="1"/>
  <c r="O323" i="1"/>
  <c r="N323" i="1"/>
  <c r="M323" i="1"/>
  <c r="BD322" i="1"/>
  <c r="BA322" i="1"/>
  <c r="AX322" i="1"/>
  <c r="AV322" i="1"/>
  <c r="AU322" i="1"/>
  <c r="AK322" i="1"/>
  <c r="AJ322" i="1"/>
  <c r="AI322" i="1"/>
  <c r="AH322" i="1"/>
  <c r="AF322" i="1"/>
  <c r="AM322" i="1" s="1"/>
  <c r="AE322" i="1"/>
  <c r="AL322" i="1" s="1"/>
  <c r="T322" i="1"/>
  <c r="S322" i="1"/>
  <c r="O322" i="1"/>
  <c r="N322" i="1"/>
  <c r="M322" i="1"/>
  <c r="BD321" i="1"/>
  <c r="BA321" i="1"/>
  <c r="AX321" i="1"/>
  <c r="AV321" i="1"/>
  <c r="AU321" i="1"/>
  <c r="AK321" i="1"/>
  <c r="AJ321" i="1"/>
  <c r="AI321" i="1"/>
  <c r="AH321" i="1"/>
  <c r="AF321" i="1"/>
  <c r="AM321" i="1" s="1"/>
  <c r="AE321" i="1"/>
  <c r="AL321" i="1" s="1"/>
  <c r="T321" i="1"/>
  <c r="S321" i="1"/>
  <c r="O321" i="1"/>
  <c r="N321" i="1"/>
  <c r="M321" i="1"/>
  <c r="BD320" i="1"/>
  <c r="BA320" i="1"/>
  <c r="AX320" i="1"/>
  <c r="AV320" i="1"/>
  <c r="AU320" i="1"/>
  <c r="AK320" i="1"/>
  <c r="AJ320" i="1"/>
  <c r="AI320" i="1"/>
  <c r="AH320" i="1"/>
  <c r="AF320" i="1"/>
  <c r="AM320" i="1" s="1"/>
  <c r="AE320" i="1"/>
  <c r="AL320" i="1" s="1"/>
  <c r="W320" i="1"/>
  <c r="W321" i="1" s="1"/>
  <c r="W322" i="1" s="1"/>
  <c r="W323" i="1" s="1"/>
  <c r="W324" i="1" s="1"/>
  <c r="W325" i="1" s="1"/>
  <c r="T320" i="1"/>
  <c r="S320" i="1"/>
  <c r="O320" i="1"/>
  <c r="N320" i="1"/>
  <c r="M320" i="1"/>
  <c r="BD319" i="1"/>
  <c r="BA319" i="1"/>
  <c r="AX319" i="1"/>
  <c r="AV319" i="1"/>
  <c r="AU319" i="1"/>
  <c r="AK319" i="1"/>
  <c r="AJ319" i="1"/>
  <c r="AI319" i="1"/>
  <c r="AH319" i="1"/>
  <c r="AE319" i="1"/>
  <c r="AF319" i="1" s="1"/>
  <c r="AM319" i="1" s="1"/>
  <c r="AD552" i="1" s="1"/>
  <c r="T319" i="1"/>
  <c r="S319" i="1"/>
  <c r="O319" i="1"/>
  <c r="N319" i="1"/>
  <c r="M319" i="1"/>
  <c r="BD318" i="1"/>
  <c r="BA318" i="1"/>
  <c r="AV318" i="1"/>
  <c r="AU318" i="1"/>
  <c r="AK318" i="1"/>
  <c r="AJ318" i="1"/>
  <c r="AI318" i="1"/>
  <c r="AH318" i="1"/>
  <c r="AF318" i="1"/>
  <c r="AM318" i="1" s="1"/>
  <c r="AE318" i="1"/>
  <c r="AL318" i="1" s="1"/>
  <c r="T318" i="1"/>
  <c r="S318" i="1"/>
  <c r="O318" i="1"/>
  <c r="N318" i="1"/>
  <c r="M318" i="1"/>
  <c r="AX318" i="1" s="1"/>
  <c r="BD317" i="1"/>
  <c r="BA317" i="1"/>
  <c r="AV317" i="1"/>
  <c r="AU317" i="1"/>
  <c r="AK317" i="1"/>
  <c r="AJ317" i="1"/>
  <c r="AI317" i="1"/>
  <c r="AH317" i="1"/>
  <c r="AF317" i="1"/>
  <c r="AM317" i="1" s="1"/>
  <c r="AE317" i="1"/>
  <c r="AL317" i="1" s="1"/>
  <c r="T317" i="1"/>
  <c r="S317" i="1"/>
  <c r="O317" i="1"/>
  <c r="N317" i="1"/>
  <c r="M317" i="1"/>
  <c r="AX317" i="1" s="1"/>
  <c r="BD316" i="1"/>
  <c r="BA316" i="1"/>
  <c r="AV316" i="1"/>
  <c r="AU316" i="1"/>
  <c r="AK316" i="1"/>
  <c r="AJ316" i="1"/>
  <c r="AI316" i="1"/>
  <c r="AH316" i="1"/>
  <c r="AF316" i="1"/>
  <c r="AM316" i="1" s="1"/>
  <c r="AE316" i="1"/>
  <c r="AL316" i="1" s="1"/>
  <c r="T316" i="1"/>
  <c r="S316" i="1"/>
  <c r="O316" i="1"/>
  <c r="N316" i="1"/>
  <c r="M316" i="1"/>
  <c r="AX316" i="1" s="1"/>
  <c r="BD315" i="1"/>
  <c r="BA315" i="1"/>
  <c r="AV315" i="1"/>
  <c r="AU315" i="1"/>
  <c r="AK315" i="1"/>
  <c r="AJ315" i="1"/>
  <c r="AI315" i="1"/>
  <c r="AH315" i="1"/>
  <c r="AF315" i="1"/>
  <c r="AM315" i="1" s="1"/>
  <c r="AE315" i="1"/>
  <c r="AL315" i="1" s="1"/>
  <c r="T315" i="1"/>
  <c r="S315" i="1"/>
  <c r="O315" i="1"/>
  <c r="N315" i="1"/>
  <c r="M315" i="1"/>
  <c r="AX315" i="1" s="1"/>
  <c r="BD314" i="1"/>
  <c r="BA314" i="1"/>
  <c r="AV314" i="1"/>
  <c r="AU314" i="1"/>
  <c r="AK314" i="1"/>
  <c r="AJ314" i="1"/>
  <c r="AI314" i="1"/>
  <c r="AH314" i="1"/>
  <c r="AF314" i="1"/>
  <c r="AM314" i="1" s="1"/>
  <c r="AE314" i="1"/>
  <c r="AL314" i="1" s="1"/>
  <c r="T314" i="1"/>
  <c r="S314" i="1"/>
  <c r="O314" i="1"/>
  <c r="N314" i="1"/>
  <c r="M314" i="1"/>
  <c r="AX314" i="1" s="1"/>
  <c r="BD313" i="1"/>
  <c r="BA313" i="1"/>
  <c r="AV313" i="1"/>
  <c r="AU313" i="1"/>
  <c r="AK313" i="1"/>
  <c r="AJ313" i="1"/>
  <c r="AI313" i="1"/>
  <c r="AH313" i="1"/>
  <c r="AF313" i="1"/>
  <c r="AM313" i="1" s="1"/>
  <c r="AE313" i="1"/>
  <c r="AL313" i="1" s="1"/>
  <c r="X313" i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W313" i="1"/>
  <c r="W314" i="1" s="1"/>
  <c r="W315" i="1" s="1"/>
  <c r="W316" i="1" s="1"/>
  <c r="W317" i="1" s="1"/>
  <c r="W318" i="1" s="1"/>
  <c r="T313" i="1"/>
  <c r="S313" i="1"/>
  <c r="O313" i="1"/>
  <c r="N313" i="1"/>
  <c r="M313" i="1"/>
  <c r="AX313" i="1" s="1"/>
  <c r="BD312" i="1"/>
  <c r="BA312" i="1"/>
  <c r="AV312" i="1"/>
  <c r="AU312" i="1"/>
  <c r="AK312" i="1"/>
  <c r="AJ312" i="1"/>
  <c r="AI312" i="1"/>
  <c r="AH312" i="1"/>
  <c r="AF312" i="1"/>
  <c r="AM312" i="1" s="1"/>
  <c r="AD551" i="1" s="1"/>
  <c r="AE312" i="1"/>
  <c r="AL312" i="1" s="1"/>
  <c r="AC551" i="1" s="1"/>
  <c r="T312" i="1"/>
  <c r="S312" i="1"/>
  <c r="O312" i="1"/>
  <c r="N312" i="1"/>
  <c r="M312" i="1"/>
  <c r="BD311" i="1"/>
  <c r="BA311" i="1"/>
  <c r="AV311" i="1"/>
  <c r="AU311" i="1"/>
  <c r="AK311" i="1"/>
  <c r="AJ311" i="1"/>
  <c r="AI311" i="1"/>
  <c r="AH311" i="1"/>
  <c r="AE311" i="1"/>
  <c r="AF311" i="1" s="1"/>
  <c r="AM311" i="1" s="1"/>
  <c r="T311" i="1"/>
  <c r="S311" i="1"/>
  <c r="O311" i="1"/>
  <c r="N311" i="1"/>
  <c r="M311" i="1"/>
  <c r="AX311" i="1" s="1"/>
  <c r="BD310" i="1"/>
  <c r="BA310" i="1"/>
  <c r="AV310" i="1"/>
  <c r="AU310" i="1"/>
  <c r="AM310" i="1"/>
  <c r="AL310" i="1"/>
  <c r="AK310" i="1"/>
  <c r="AJ310" i="1"/>
  <c r="AI310" i="1"/>
  <c r="AH310" i="1"/>
  <c r="AE310" i="1"/>
  <c r="AF310" i="1" s="1"/>
  <c r="T310" i="1"/>
  <c r="S310" i="1"/>
  <c r="O310" i="1"/>
  <c r="N310" i="1"/>
  <c r="M310" i="1"/>
  <c r="BD309" i="1"/>
  <c r="BA309" i="1"/>
  <c r="AV309" i="1"/>
  <c r="AU309" i="1"/>
  <c r="AK309" i="1"/>
  <c r="AJ309" i="1"/>
  <c r="AI309" i="1"/>
  <c r="AH309" i="1"/>
  <c r="AE309" i="1"/>
  <c r="AF309" i="1" s="1"/>
  <c r="AM309" i="1" s="1"/>
  <c r="T309" i="1"/>
  <c r="S309" i="1"/>
  <c r="O309" i="1"/>
  <c r="N309" i="1"/>
  <c r="M309" i="1"/>
  <c r="AX309" i="1" s="1"/>
  <c r="BD308" i="1"/>
  <c r="BA308" i="1"/>
  <c r="AV308" i="1"/>
  <c r="AU308" i="1"/>
  <c r="AL308" i="1"/>
  <c r="AK308" i="1"/>
  <c r="AJ308" i="1"/>
  <c r="AI308" i="1"/>
  <c r="AH308" i="1"/>
  <c r="AE308" i="1"/>
  <c r="AF308" i="1" s="1"/>
  <c r="AM308" i="1" s="1"/>
  <c r="T308" i="1"/>
  <c r="S308" i="1"/>
  <c r="O308" i="1"/>
  <c r="N308" i="1"/>
  <c r="M308" i="1"/>
  <c r="BD307" i="1"/>
  <c r="BA307" i="1"/>
  <c r="AV307" i="1"/>
  <c r="AU307" i="1"/>
  <c r="AM307" i="1"/>
  <c r="AK307" i="1"/>
  <c r="AJ307" i="1"/>
  <c r="AI307" i="1"/>
  <c r="AH307" i="1"/>
  <c r="AE307" i="1"/>
  <c r="AF307" i="1" s="1"/>
  <c r="T307" i="1"/>
  <c r="S307" i="1"/>
  <c r="O307" i="1"/>
  <c r="N307" i="1"/>
  <c r="M307" i="1"/>
  <c r="AX307" i="1" s="1"/>
  <c r="BD306" i="1"/>
  <c r="BA306" i="1"/>
  <c r="AV306" i="1"/>
  <c r="AU306" i="1"/>
  <c r="AL306" i="1"/>
  <c r="AK306" i="1"/>
  <c r="AJ306" i="1"/>
  <c r="AI306" i="1"/>
  <c r="AH306" i="1"/>
  <c r="AE306" i="1"/>
  <c r="AF306" i="1" s="1"/>
  <c r="AM306" i="1" s="1"/>
  <c r="W306" i="1"/>
  <c r="W307" i="1" s="1"/>
  <c r="W308" i="1" s="1"/>
  <c r="W309" i="1" s="1"/>
  <c r="W310" i="1" s="1"/>
  <c r="W311" i="1" s="1"/>
  <c r="T306" i="1"/>
  <c r="S306" i="1"/>
  <c r="O306" i="1"/>
  <c r="N306" i="1"/>
  <c r="M306" i="1"/>
  <c r="AX306" i="1" s="1"/>
  <c r="BD305" i="1"/>
  <c r="BA305" i="1"/>
  <c r="AV305" i="1"/>
  <c r="AU305" i="1"/>
  <c r="AM305" i="1"/>
  <c r="AL305" i="1"/>
  <c r="AK305" i="1"/>
  <c r="AJ305" i="1"/>
  <c r="AI305" i="1"/>
  <c r="AH305" i="1"/>
  <c r="AE305" i="1"/>
  <c r="AF305" i="1" s="1"/>
  <c r="T305" i="1"/>
  <c r="S305" i="1"/>
  <c r="O305" i="1"/>
  <c r="N305" i="1"/>
  <c r="M305" i="1"/>
  <c r="AX305" i="1" s="1"/>
  <c r="BD304" i="1"/>
  <c r="BA304" i="1"/>
  <c r="AV304" i="1"/>
  <c r="AU304" i="1"/>
  <c r="AL304" i="1"/>
  <c r="AK304" i="1"/>
  <c r="AJ304" i="1"/>
  <c r="AI304" i="1"/>
  <c r="AH304" i="1"/>
  <c r="AE304" i="1"/>
  <c r="AF304" i="1" s="1"/>
  <c r="AM304" i="1" s="1"/>
  <c r="T304" i="1"/>
  <c r="S304" i="1"/>
  <c r="O304" i="1"/>
  <c r="N304" i="1"/>
  <c r="M304" i="1"/>
  <c r="AX304" i="1" s="1"/>
  <c r="BD303" i="1"/>
  <c r="BA303" i="1"/>
  <c r="AV303" i="1"/>
  <c r="AU303" i="1"/>
  <c r="AL303" i="1"/>
  <c r="AK303" i="1"/>
  <c r="AJ303" i="1"/>
  <c r="AI303" i="1"/>
  <c r="AH303" i="1"/>
  <c r="AE303" i="1"/>
  <c r="AF303" i="1" s="1"/>
  <c r="AM303" i="1" s="1"/>
  <c r="T303" i="1"/>
  <c r="S303" i="1"/>
  <c r="O303" i="1"/>
  <c r="N303" i="1"/>
  <c r="M303" i="1"/>
  <c r="AX303" i="1" s="1"/>
  <c r="BD302" i="1"/>
  <c r="BA302" i="1"/>
  <c r="AV302" i="1"/>
  <c r="AU302" i="1"/>
  <c r="AL302" i="1"/>
  <c r="AK302" i="1"/>
  <c r="AJ302" i="1"/>
  <c r="AI302" i="1"/>
  <c r="AH302" i="1"/>
  <c r="AE302" i="1"/>
  <c r="AF302" i="1" s="1"/>
  <c r="AM302" i="1" s="1"/>
  <c r="T302" i="1"/>
  <c r="S302" i="1"/>
  <c r="O302" i="1"/>
  <c r="N302" i="1"/>
  <c r="M302" i="1"/>
  <c r="AX302" i="1" s="1"/>
  <c r="BD301" i="1"/>
  <c r="BA301" i="1"/>
  <c r="AV301" i="1"/>
  <c r="AU301" i="1"/>
  <c r="AL301" i="1"/>
  <c r="AK301" i="1"/>
  <c r="AJ301" i="1"/>
  <c r="AI301" i="1"/>
  <c r="AH301" i="1"/>
  <c r="AE301" i="1"/>
  <c r="AF301" i="1" s="1"/>
  <c r="AM301" i="1" s="1"/>
  <c r="T301" i="1"/>
  <c r="S301" i="1"/>
  <c r="O301" i="1"/>
  <c r="N301" i="1"/>
  <c r="M301" i="1"/>
  <c r="AX301" i="1" s="1"/>
  <c r="BD300" i="1"/>
  <c r="BA300" i="1"/>
  <c r="AV300" i="1"/>
  <c r="AU300" i="1"/>
  <c r="AL300" i="1"/>
  <c r="AK300" i="1"/>
  <c r="AJ300" i="1"/>
  <c r="AI300" i="1"/>
  <c r="AH300" i="1"/>
  <c r="AE300" i="1"/>
  <c r="AF300" i="1" s="1"/>
  <c r="AM300" i="1" s="1"/>
  <c r="T300" i="1"/>
  <c r="S300" i="1"/>
  <c r="O300" i="1"/>
  <c r="N300" i="1"/>
  <c r="M300" i="1"/>
  <c r="BD299" i="1"/>
  <c r="BA299" i="1"/>
  <c r="AV299" i="1"/>
  <c r="AU299" i="1"/>
  <c r="AK299" i="1"/>
  <c r="AJ299" i="1"/>
  <c r="AI299" i="1"/>
  <c r="AH299" i="1"/>
  <c r="AE299" i="1"/>
  <c r="AF299" i="1" s="1"/>
  <c r="AM299" i="1" s="1"/>
  <c r="W299" i="1"/>
  <c r="W300" i="1" s="1"/>
  <c r="W301" i="1" s="1"/>
  <c r="W302" i="1" s="1"/>
  <c r="W303" i="1" s="1"/>
  <c r="W304" i="1" s="1"/>
  <c r="T299" i="1"/>
  <c r="S299" i="1"/>
  <c r="O299" i="1"/>
  <c r="N299" i="1"/>
  <c r="M299" i="1"/>
  <c r="BD298" i="1"/>
  <c r="BA298" i="1"/>
  <c r="AV298" i="1"/>
  <c r="AU298" i="1"/>
  <c r="AM298" i="1"/>
  <c r="AL298" i="1"/>
  <c r="AK298" i="1"/>
  <c r="AJ298" i="1"/>
  <c r="AI298" i="1"/>
  <c r="AH298" i="1"/>
  <c r="AE298" i="1"/>
  <c r="AF298" i="1" s="1"/>
  <c r="T298" i="1"/>
  <c r="S298" i="1"/>
  <c r="O298" i="1"/>
  <c r="N298" i="1"/>
  <c r="M298" i="1"/>
  <c r="AX298" i="1" s="1"/>
  <c r="BD297" i="1"/>
  <c r="BA297" i="1"/>
  <c r="AV297" i="1"/>
  <c r="AU297" i="1"/>
  <c r="AL297" i="1"/>
  <c r="AK297" i="1"/>
  <c r="AJ297" i="1"/>
  <c r="AI297" i="1"/>
  <c r="AH297" i="1"/>
  <c r="AE297" i="1"/>
  <c r="AF297" i="1" s="1"/>
  <c r="AM297" i="1" s="1"/>
  <c r="T297" i="1"/>
  <c r="S297" i="1"/>
  <c r="O297" i="1"/>
  <c r="N297" i="1"/>
  <c r="M297" i="1"/>
  <c r="AX297" i="1" s="1"/>
  <c r="BD296" i="1"/>
  <c r="BA296" i="1"/>
  <c r="AV296" i="1"/>
  <c r="AU296" i="1"/>
  <c r="AL296" i="1"/>
  <c r="AK296" i="1"/>
  <c r="AJ296" i="1"/>
  <c r="AI296" i="1"/>
  <c r="AH296" i="1"/>
  <c r="AE296" i="1"/>
  <c r="AF296" i="1" s="1"/>
  <c r="AM296" i="1" s="1"/>
  <c r="T296" i="1"/>
  <c r="S296" i="1"/>
  <c r="O296" i="1"/>
  <c r="N296" i="1"/>
  <c r="M296" i="1"/>
  <c r="AX296" i="1" s="1"/>
  <c r="BD295" i="1"/>
  <c r="BA295" i="1"/>
  <c r="AX295" i="1"/>
  <c r="AV295" i="1"/>
  <c r="AU295" i="1"/>
  <c r="AL295" i="1"/>
  <c r="AK295" i="1"/>
  <c r="AJ295" i="1"/>
  <c r="AI295" i="1"/>
  <c r="AH295" i="1"/>
  <c r="AE295" i="1"/>
  <c r="AF295" i="1" s="1"/>
  <c r="AM295" i="1" s="1"/>
  <c r="T295" i="1"/>
  <c r="S295" i="1"/>
  <c r="O295" i="1"/>
  <c r="N295" i="1"/>
  <c r="M295" i="1"/>
  <c r="BD294" i="1"/>
  <c r="BA294" i="1"/>
  <c r="AX294" i="1"/>
  <c r="AV294" i="1"/>
  <c r="AU294" i="1"/>
  <c r="AM294" i="1"/>
  <c r="AK294" i="1"/>
  <c r="AJ294" i="1"/>
  <c r="AI294" i="1"/>
  <c r="AH294" i="1"/>
  <c r="AE294" i="1"/>
  <c r="AF294" i="1" s="1"/>
  <c r="T294" i="1"/>
  <c r="S294" i="1"/>
  <c r="O294" i="1"/>
  <c r="N294" i="1"/>
  <c r="M294" i="1"/>
  <c r="BD293" i="1"/>
  <c r="BA293" i="1"/>
  <c r="AX293" i="1"/>
  <c r="AV293" i="1"/>
  <c r="AU293" i="1"/>
  <c r="AM293" i="1"/>
  <c r="AK293" i="1"/>
  <c r="AJ293" i="1"/>
  <c r="AI293" i="1"/>
  <c r="AH293" i="1"/>
  <c r="AE293" i="1"/>
  <c r="AF293" i="1" s="1"/>
  <c r="W293" i="1"/>
  <c r="W294" i="1" s="1"/>
  <c r="W295" i="1" s="1"/>
  <c r="W296" i="1" s="1"/>
  <c r="W297" i="1" s="1"/>
  <c r="T293" i="1"/>
  <c r="S293" i="1"/>
  <c r="O293" i="1"/>
  <c r="N293" i="1"/>
  <c r="M293" i="1"/>
  <c r="BD292" i="1"/>
  <c r="BA292" i="1"/>
  <c r="AX292" i="1"/>
  <c r="AV292" i="1"/>
  <c r="AU292" i="1"/>
  <c r="AM292" i="1"/>
  <c r="AK292" i="1"/>
  <c r="AJ292" i="1"/>
  <c r="AI292" i="1"/>
  <c r="AH292" i="1"/>
  <c r="AE292" i="1"/>
  <c r="AF292" i="1" s="1"/>
  <c r="X292" i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W292" i="1"/>
  <c r="T292" i="1"/>
  <c r="S292" i="1"/>
  <c r="O292" i="1"/>
  <c r="N292" i="1"/>
  <c r="M292" i="1"/>
  <c r="BD291" i="1"/>
  <c r="BA291" i="1"/>
  <c r="AX291" i="1"/>
  <c r="AV291" i="1"/>
  <c r="AU291" i="1"/>
  <c r="AM291" i="1"/>
  <c r="AK291" i="1"/>
  <c r="AJ291" i="1"/>
  <c r="AI291" i="1"/>
  <c r="AH291" i="1"/>
  <c r="AE291" i="1"/>
  <c r="AF291" i="1" s="1"/>
  <c r="T291" i="1"/>
  <c r="S291" i="1"/>
  <c r="O291" i="1"/>
  <c r="N291" i="1"/>
  <c r="M291" i="1"/>
  <c r="BD290" i="1"/>
  <c r="BA290" i="1"/>
  <c r="AX290" i="1"/>
  <c r="AV290" i="1"/>
  <c r="AU290" i="1"/>
  <c r="AK290" i="1"/>
  <c r="AJ290" i="1"/>
  <c r="AI290" i="1"/>
  <c r="AH290" i="1"/>
  <c r="AF290" i="1"/>
  <c r="AM290" i="1" s="1"/>
  <c r="AE290" i="1"/>
  <c r="AL290" i="1" s="1"/>
  <c r="T290" i="1"/>
  <c r="S290" i="1"/>
  <c r="O290" i="1"/>
  <c r="N290" i="1"/>
  <c r="M290" i="1"/>
  <c r="BD289" i="1"/>
  <c r="BA289" i="1"/>
  <c r="AX289" i="1"/>
  <c r="AV289" i="1"/>
  <c r="AU289" i="1"/>
  <c r="AK289" i="1"/>
  <c r="AJ289" i="1"/>
  <c r="AI289" i="1"/>
  <c r="AH289" i="1"/>
  <c r="AF289" i="1"/>
  <c r="AM289" i="1" s="1"/>
  <c r="AE289" i="1"/>
  <c r="AL289" i="1" s="1"/>
  <c r="T289" i="1"/>
  <c r="S289" i="1"/>
  <c r="O289" i="1"/>
  <c r="N289" i="1"/>
  <c r="M289" i="1"/>
  <c r="BD288" i="1"/>
  <c r="BA288" i="1"/>
  <c r="AX288" i="1"/>
  <c r="AV288" i="1"/>
  <c r="AU288" i="1"/>
  <c r="AK288" i="1"/>
  <c r="AJ288" i="1"/>
  <c r="AI288" i="1"/>
  <c r="AH288" i="1"/>
  <c r="AF288" i="1"/>
  <c r="AM288" i="1" s="1"/>
  <c r="AE288" i="1"/>
  <c r="AL288" i="1" s="1"/>
  <c r="T288" i="1"/>
  <c r="S288" i="1"/>
  <c r="O288" i="1"/>
  <c r="N288" i="1"/>
  <c r="M288" i="1"/>
  <c r="BD287" i="1"/>
  <c r="BA287" i="1"/>
  <c r="AX287" i="1"/>
  <c r="AV287" i="1"/>
  <c r="AU287" i="1"/>
  <c r="AK287" i="1"/>
  <c r="AJ287" i="1"/>
  <c r="AI287" i="1"/>
  <c r="AH287" i="1"/>
  <c r="AF287" i="1"/>
  <c r="AM287" i="1" s="1"/>
  <c r="AE287" i="1"/>
  <c r="AL287" i="1" s="1"/>
  <c r="T287" i="1"/>
  <c r="S287" i="1"/>
  <c r="O287" i="1"/>
  <c r="N287" i="1"/>
  <c r="M287" i="1"/>
  <c r="BD286" i="1"/>
  <c r="BA286" i="1"/>
  <c r="AX286" i="1"/>
  <c r="AV286" i="1"/>
  <c r="AU286" i="1"/>
  <c r="AK286" i="1"/>
  <c r="AJ286" i="1"/>
  <c r="AI286" i="1"/>
  <c r="AH286" i="1"/>
  <c r="AF286" i="1"/>
  <c r="AM286" i="1" s="1"/>
  <c r="AE286" i="1"/>
  <c r="AL286" i="1" s="1"/>
  <c r="T286" i="1"/>
  <c r="S286" i="1"/>
  <c r="O286" i="1"/>
  <c r="N286" i="1"/>
  <c r="M286" i="1"/>
  <c r="BD285" i="1"/>
  <c r="BA285" i="1"/>
  <c r="AV285" i="1"/>
  <c r="AU285" i="1"/>
  <c r="AK285" i="1"/>
  <c r="AJ285" i="1"/>
  <c r="AI285" i="1"/>
  <c r="AH285" i="1"/>
  <c r="AF285" i="1"/>
  <c r="AM285" i="1" s="1"/>
  <c r="AE285" i="1"/>
  <c r="AL285" i="1" s="1"/>
  <c r="W285" i="1"/>
  <c r="W286" i="1" s="1"/>
  <c r="W287" i="1" s="1"/>
  <c r="W288" i="1" s="1"/>
  <c r="W289" i="1" s="1"/>
  <c r="W290" i="1" s="1"/>
  <c r="T285" i="1"/>
  <c r="S285" i="1"/>
  <c r="O285" i="1"/>
  <c r="N285" i="1"/>
  <c r="AX285" i="1" s="1"/>
  <c r="M285" i="1"/>
  <c r="BD284" i="1"/>
  <c r="BA284" i="1"/>
  <c r="AV284" i="1"/>
  <c r="AU284" i="1"/>
  <c r="AK284" i="1"/>
  <c r="AJ284" i="1"/>
  <c r="AI284" i="1"/>
  <c r="AH284" i="1"/>
  <c r="AE284" i="1"/>
  <c r="AL284" i="1" s="1"/>
  <c r="T284" i="1"/>
  <c r="S284" i="1"/>
  <c r="O284" i="1"/>
  <c r="N284" i="1"/>
  <c r="AX284" i="1" s="1"/>
  <c r="M284" i="1"/>
  <c r="BD283" i="1"/>
  <c r="BA283" i="1"/>
  <c r="AV283" i="1"/>
  <c r="AU283" i="1"/>
  <c r="AL283" i="1"/>
  <c r="AK283" i="1"/>
  <c r="AJ283" i="1"/>
  <c r="AI283" i="1"/>
  <c r="AH283" i="1"/>
  <c r="AF283" i="1"/>
  <c r="AM283" i="1" s="1"/>
  <c r="AE283" i="1"/>
  <c r="X283" i="1"/>
  <c r="X284" i="1" s="1"/>
  <c r="X285" i="1" s="1"/>
  <c r="X286" i="1" s="1"/>
  <c r="X287" i="1" s="1"/>
  <c r="X288" i="1" s="1"/>
  <c r="X289" i="1" s="1"/>
  <c r="X290" i="1" s="1"/>
  <c r="T283" i="1"/>
  <c r="S283" i="1"/>
  <c r="O283" i="1"/>
  <c r="N283" i="1"/>
  <c r="M283" i="1"/>
  <c r="AX283" i="1" s="1"/>
  <c r="BD282" i="1"/>
  <c r="BA282" i="1"/>
  <c r="AV282" i="1"/>
  <c r="AU282" i="1"/>
  <c r="AL282" i="1"/>
  <c r="AK282" i="1"/>
  <c r="AJ282" i="1"/>
  <c r="AI282" i="1"/>
  <c r="AH282" i="1"/>
  <c r="AF282" i="1"/>
  <c r="AM282" i="1" s="1"/>
  <c r="AE282" i="1"/>
  <c r="T282" i="1"/>
  <c r="S282" i="1"/>
  <c r="O282" i="1"/>
  <c r="N282" i="1"/>
  <c r="AX282" i="1" s="1"/>
  <c r="M282" i="1"/>
  <c r="BD281" i="1"/>
  <c r="BA281" i="1"/>
  <c r="AV281" i="1"/>
  <c r="AU281" i="1"/>
  <c r="AK281" i="1"/>
  <c r="AJ281" i="1"/>
  <c r="AI281" i="1"/>
  <c r="AH281" i="1"/>
  <c r="AE281" i="1"/>
  <c r="T281" i="1"/>
  <c r="S281" i="1"/>
  <c r="O281" i="1"/>
  <c r="N281" i="1"/>
  <c r="AX281" i="1" s="1"/>
  <c r="M281" i="1"/>
  <c r="BD280" i="1"/>
  <c r="BA280" i="1"/>
  <c r="AV280" i="1"/>
  <c r="AU280" i="1"/>
  <c r="AK280" i="1"/>
  <c r="AJ280" i="1"/>
  <c r="AI280" i="1"/>
  <c r="AH280" i="1"/>
  <c r="AE280" i="1"/>
  <c r="T280" i="1"/>
  <c r="S280" i="1"/>
  <c r="O280" i="1"/>
  <c r="N280" i="1"/>
  <c r="AX280" i="1" s="1"/>
  <c r="M280" i="1"/>
  <c r="BD279" i="1"/>
  <c r="BA279" i="1"/>
  <c r="AX279" i="1"/>
  <c r="AV279" i="1"/>
  <c r="AU279" i="1"/>
  <c r="AK279" i="1"/>
  <c r="AJ279" i="1"/>
  <c r="AI279" i="1"/>
  <c r="AH279" i="1"/>
  <c r="AE279" i="1"/>
  <c r="T279" i="1"/>
  <c r="S279" i="1"/>
  <c r="O279" i="1"/>
  <c r="N279" i="1"/>
  <c r="M279" i="1"/>
  <c r="BD278" i="1"/>
  <c r="BA278" i="1"/>
  <c r="AV278" i="1"/>
  <c r="AU278" i="1"/>
  <c r="AK278" i="1"/>
  <c r="AJ278" i="1"/>
  <c r="AI278" i="1"/>
  <c r="AH278" i="1"/>
  <c r="AE278" i="1"/>
  <c r="X278" i="1"/>
  <c r="X279" i="1" s="1"/>
  <c r="X280" i="1" s="1"/>
  <c r="X281" i="1" s="1"/>
  <c r="X282" i="1" s="1"/>
  <c r="W278" i="1"/>
  <c r="W279" i="1" s="1"/>
  <c r="W280" i="1" s="1"/>
  <c r="W281" i="1" s="1"/>
  <c r="W282" i="1" s="1"/>
  <c r="W283" i="1" s="1"/>
  <c r="T278" i="1"/>
  <c r="S278" i="1"/>
  <c r="O278" i="1"/>
  <c r="N278" i="1"/>
  <c r="AX278" i="1" s="1"/>
  <c r="M278" i="1"/>
  <c r="BD277" i="1"/>
  <c r="BA277" i="1"/>
  <c r="AX277" i="1"/>
  <c r="AV277" i="1"/>
  <c r="AU277" i="1"/>
  <c r="AK277" i="1"/>
  <c r="AJ277" i="1"/>
  <c r="AI277" i="1"/>
  <c r="AH277" i="1"/>
  <c r="AE277" i="1"/>
  <c r="T277" i="1"/>
  <c r="S277" i="1"/>
  <c r="O277" i="1"/>
  <c r="N277" i="1"/>
  <c r="M277" i="1"/>
  <c r="BD276" i="1"/>
  <c r="BA276" i="1"/>
  <c r="AX276" i="1"/>
  <c r="AV276" i="1"/>
  <c r="AU276" i="1"/>
  <c r="AK276" i="1"/>
  <c r="AJ276" i="1"/>
  <c r="AI276" i="1"/>
  <c r="AH276" i="1"/>
  <c r="AE276" i="1"/>
  <c r="AF276" i="1" s="1"/>
  <c r="AM276" i="1" s="1"/>
  <c r="T276" i="1"/>
  <c r="S276" i="1"/>
  <c r="O276" i="1"/>
  <c r="N276" i="1"/>
  <c r="M276" i="1"/>
  <c r="BD275" i="1"/>
  <c r="BA275" i="1"/>
  <c r="AX275" i="1"/>
  <c r="AV275" i="1"/>
  <c r="AU275" i="1"/>
  <c r="AK275" i="1"/>
  <c r="AJ275" i="1"/>
  <c r="AI275" i="1"/>
  <c r="AH275" i="1"/>
  <c r="AE275" i="1"/>
  <c r="AF275" i="1" s="1"/>
  <c r="AM275" i="1" s="1"/>
  <c r="T275" i="1"/>
  <c r="S275" i="1"/>
  <c r="O275" i="1"/>
  <c r="N275" i="1"/>
  <c r="M275" i="1"/>
  <c r="BD274" i="1"/>
  <c r="BA274" i="1"/>
  <c r="AX274" i="1"/>
  <c r="AV274" i="1"/>
  <c r="AU274" i="1"/>
  <c r="AK274" i="1"/>
  <c r="AJ274" i="1"/>
  <c r="AI274" i="1"/>
  <c r="AH274" i="1"/>
  <c r="AE274" i="1"/>
  <c r="AF274" i="1" s="1"/>
  <c r="AM274" i="1" s="1"/>
  <c r="T274" i="1"/>
  <c r="S274" i="1"/>
  <c r="O274" i="1"/>
  <c r="N274" i="1"/>
  <c r="M274" i="1"/>
  <c r="BD273" i="1"/>
  <c r="BA273" i="1"/>
  <c r="AX273" i="1"/>
  <c r="AV273" i="1"/>
  <c r="AU273" i="1"/>
  <c r="AK273" i="1"/>
  <c r="AJ273" i="1"/>
  <c r="AI273" i="1"/>
  <c r="AH273" i="1"/>
  <c r="AE273" i="1"/>
  <c r="AF273" i="1" s="1"/>
  <c r="AM273" i="1" s="1"/>
  <c r="T273" i="1"/>
  <c r="S273" i="1"/>
  <c r="O273" i="1"/>
  <c r="N273" i="1"/>
  <c r="M273" i="1"/>
  <c r="BD272" i="1"/>
  <c r="BA272" i="1"/>
  <c r="AX272" i="1"/>
  <c r="AV272" i="1"/>
  <c r="AU272" i="1"/>
  <c r="AK272" i="1"/>
  <c r="AJ272" i="1"/>
  <c r="AI272" i="1"/>
  <c r="AH272" i="1"/>
  <c r="AE272" i="1"/>
  <c r="AF272" i="1" s="1"/>
  <c r="AM272" i="1" s="1"/>
  <c r="W272" i="1"/>
  <c r="W273" i="1" s="1"/>
  <c r="W274" i="1" s="1"/>
  <c r="W275" i="1" s="1"/>
  <c r="W276" i="1" s="1"/>
  <c r="T272" i="1"/>
  <c r="S272" i="1"/>
  <c r="O272" i="1"/>
  <c r="N272" i="1"/>
  <c r="M272" i="1"/>
  <c r="BD271" i="1"/>
  <c r="BA271" i="1"/>
  <c r="AX271" i="1"/>
  <c r="AV271" i="1"/>
  <c r="AU271" i="1"/>
  <c r="AK271" i="1"/>
  <c r="AJ271" i="1"/>
  <c r="AI271" i="1"/>
  <c r="AH271" i="1"/>
  <c r="AE271" i="1"/>
  <c r="AF271" i="1" s="1"/>
  <c r="AM271" i="1" s="1"/>
  <c r="W271" i="1"/>
  <c r="T271" i="1"/>
  <c r="S271" i="1"/>
  <c r="O271" i="1"/>
  <c r="N271" i="1"/>
  <c r="M271" i="1"/>
  <c r="BD270" i="1"/>
  <c r="BA270" i="1"/>
  <c r="AX270" i="1"/>
  <c r="AV270" i="1"/>
  <c r="AU270" i="1"/>
  <c r="AK270" i="1"/>
  <c r="AJ270" i="1"/>
  <c r="AI270" i="1"/>
  <c r="AH270" i="1"/>
  <c r="AE270" i="1"/>
  <c r="AF270" i="1" s="1"/>
  <c r="AM270" i="1" s="1"/>
  <c r="T270" i="1"/>
  <c r="S270" i="1"/>
  <c r="O270" i="1"/>
  <c r="N270" i="1"/>
  <c r="M270" i="1"/>
  <c r="BD269" i="1"/>
  <c r="BA269" i="1"/>
  <c r="AV269" i="1"/>
  <c r="AU269" i="1"/>
  <c r="AL269" i="1"/>
  <c r="AK269" i="1"/>
  <c r="AJ269" i="1"/>
  <c r="AI269" i="1"/>
  <c r="AH269" i="1"/>
  <c r="AF269" i="1"/>
  <c r="AM269" i="1" s="1"/>
  <c r="AE269" i="1"/>
  <c r="T269" i="1"/>
  <c r="S269" i="1"/>
  <c r="O269" i="1"/>
  <c r="N269" i="1"/>
  <c r="M269" i="1"/>
  <c r="AX269" i="1" s="1"/>
  <c r="BD268" i="1"/>
  <c r="BA268" i="1"/>
  <c r="AV268" i="1"/>
  <c r="AU268" i="1"/>
  <c r="AL268" i="1"/>
  <c r="AK268" i="1"/>
  <c r="AJ268" i="1"/>
  <c r="AI268" i="1"/>
  <c r="AH268" i="1"/>
  <c r="AF268" i="1"/>
  <c r="AM268" i="1" s="1"/>
  <c r="AE268" i="1"/>
  <c r="T268" i="1"/>
  <c r="S268" i="1"/>
  <c r="O268" i="1"/>
  <c r="N268" i="1"/>
  <c r="M268" i="1"/>
  <c r="AX268" i="1" s="1"/>
  <c r="BD267" i="1"/>
  <c r="BA267" i="1"/>
  <c r="AV267" i="1"/>
  <c r="AU267" i="1"/>
  <c r="AL267" i="1"/>
  <c r="AK267" i="1"/>
  <c r="AJ267" i="1"/>
  <c r="AI267" i="1"/>
  <c r="AH267" i="1"/>
  <c r="AF267" i="1"/>
  <c r="AM267" i="1" s="1"/>
  <c r="AE267" i="1"/>
  <c r="T267" i="1"/>
  <c r="S267" i="1"/>
  <c r="O267" i="1"/>
  <c r="N267" i="1"/>
  <c r="M267" i="1"/>
  <c r="AX267" i="1" s="1"/>
  <c r="BD266" i="1"/>
  <c r="BA266" i="1"/>
  <c r="AV266" i="1"/>
  <c r="AU266" i="1"/>
  <c r="AL266" i="1"/>
  <c r="AK266" i="1"/>
  <c r="AJ266" i="1"/>
  <c r="AI266" i="1"/>
  <c r="AH266" i="1"/>
  <c r="AF266" i="1"/>
  <c r="AM266" i="1" s="1"/>
  <c r="AE266" i="1"/>
  <c r="T266" i="1"/>
  <c r="S266" i="1"/>
  <c r="O266" i="1"/>
  <c r="N266" i="1"/>
  <c r="M266" i="1"/>
  <c r="AX266" i="1" s="1"/>
  <c r="BD265" i="1"/>
  <c r="BA265" i="1"/>
  <c r="AV265" i="1"/>
  <c r="AU265" i="1"/>
  <c r="AL265" i="1"/>
  <c r="AK265" i="1"/>
  <c r="AJ265" i="1"/>
  <c r="AI265" i="1"/>
  <c r="AH265" i="1"/>
  <c r="AF265" i="1"/>
  <c r="AM265" i="1" s="1"/>
  <c r="AE265" i="1"/>
  <c r="T265" i="1"/>
  <c r="S265" i="1"/>
  <c r="O265" i="1"/>
  <c r="N265" i="1"/>
  <c r="M265" i="1"/>
  <c r="AX265" i="1" s="1"/>
  <c r="BD264" i="1"/>
  <c r="BA264" i="1"/>
  <c r="AV264" i="1"/>
  <c r="AU264" i="1"/>
  <c r="AL264" i="1"/>
  <c r="AK264" i="1"/>
  <c r="AJ264" i="1"/>
  <c r="AI264" i="1"/>
  <c r="AH264" i="1"/>
  <c r="AF264" i="1"/>
  <c r="AM264" i="1" s="1"/>
  <c r="AE264" i="1"/>
  <c r="X264" i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W264" i="1"/>
  <c r="W265" i="1" s="1"/>
  <c r="W266" i="1" s="1"/>
  <c r="W267" i="1" s="1"/>
  <c r="W268" i="1" s="1"/>
  <c r="W269" i="1" s="1"/>
  <c r="T264" i="1"/>
  <c r="S264" i="1"/>
  <c r="O264" i="1"/>
  <c r="N264" i="1"/>
  <c r="M264" i="1"/>
  <c r="AX264" i="1" s="1"/>
  <c r="BD263" i="1"/>
  <c r="BA263" i="1"/>
  <c r="AV263" i="1"/>
  <c r="AU263" i="1"/>
  <c r="AL263" i="1"/>
  <c r="AC544" i="1" s="1"/>
  <c r="AK263" i="1"/>
  <c r="AJ263" i="1"/>
  <c r="AI263" i="1"/>
  <c r="AH263" i="1"/>
  <c r="AF263" i="1"/>
  <c r="AM263" i="1" s="1"/>
  <c r="AE263" i="1"/>
  <c r="T263" i="1"/>
  <c r="S263" i="1"/>
  <c r="O263" i="1"/>
  <c r="N263" i="1"/>
  <c r="M263" i="1"/>
  <c r="AX263" i="1" s="1"/>
  <c r="BD262" i="1"/>
  <c r="BA262" i="1"/>
  <c r="AV262" i="1"/>
  <c r="AU262" i="1"/>
  <c r="AL262" i="1"/>
  <c r="AK262" i="1"/>
  <c r="AJ262" i="1"/>
  <c r="AI262" i="1"/>
  <c r="AH262" i="1"/>
  <c r="AF262" i="1"/>
  <c r="AM262" i="1" s="1"/>
  <c r="AE262" i="1"/>
  <c r="T262" i="1"/>
  <c r="S262" i="1"/>
  <c r="O262" i="1"/>
  <c r="N262" i="1"/>
  <c r="M262" i="1"/>
  <c r="AX262" i="1" s="1"/>
  <c r="BD261" i="1"/>
  <c r="BA261" i="1"/>
  <c r="AV261" i="1"/>
  <c r="AU261" i="1"/>
  <c r="AL261" i="1"/>
  <c r="AK261" i="1"/>
  <c r="AJ261" i="1"/>
  <c r="AI261" i="1"/>
  <c r="AH261" i="1"/>
  <c r="AF261" i="1"/>
  <c r="AM261" i="1" s="1"/>
  <c r="AE261" i="1"/>
  <c r="T261" i="1"/>
  <c r="S261" i="1"/>
  <c r="O261" i="1"/>
  <c r="N261" i="1"/>
  <c r="M261" i="1"/>
  <c r="AX261" i="1" s="1"/>
  <c r="BD260" i="1"/>
  <c r="BA260" i="1"/>
  <c r="AV260" i="1"/>
  <c r="AU260" i="1"/>
  <c r="AL260" i="1"/>
  <c r="AK260" i="1"/>
  <c r="AJ260" i="1"/>
  <c r="AI260" i="1"/>
  <c r="AH260" i="1"/>
  <c r="AF260" i="1"/>
  <c r="AM260" i="1" s="1"/>
  <c r="AE260" i="1"/>
  <c r="T260" i="1"/>
  <c r="S260" i="1"/>
  <c r="O260" i="1"/>
  <c r="N260" i="1"/>
  <c r="M260" i="1"/>
  <c r="AX260" i="1" s="1"/>
  <c r="BD259" i="1"/>
  <c r="BA259" i="1"/>
  <c r="AV259" i="1"/>
  <c r="AU259" i="1"/>
  <c r="AL259" i="1"/>
  <c r="AK259" i="1"/>
  <c r="AJ259" i="1"/>
  <c r="AI259" i="1"/>
  <c r="AH259" i="1"/>
  <c r="AF259" i="1"/>
  <c r="AM259" i="1" s="1"/>
  <c r="AE259" i="1"/>
  <c r="T259" i="1"/>
  <c r="S259" i="1"/>
  <c r="O259" i="1"/>
  <c r="N259" i="1"/>
  <c r="M259" i="1"/>
  <c r="AX259" i="1" s="1"/>
  <c r="BD258" i="1"/>
  <c r="BA258" i="1"/>
  <c r="AV258" i="1"/>
  <c r="AU258" i="1"/>
  <c r="AL258" i="1"/>
  <c r="AK258" i="1"/>
  <c r="AJ258" i="1"/>
  <c r="AI258" i="1"/>
  <c r="AH258" i="1"/>
  <c r="AF258" i="1"/>
  <c r="AM258" i="1" s="1"/>
  <c r="AE258" i="1"/>
  <c r="T258" i="1"/>
  <c r="S258" i="1"/>
  <c r="O258" i="1"/>
  <c r="N258" i="1"/>
  <c r="M258" i="1"/>
  <c r="AX258" i="1" s="1"/>
  <c r="BD257" i="1"/>
  <c r="BA257" i="1"/>
  <c r="AV257" i="1"/>
  <c r="AU257" i="1"/>
  <c r="AL257" i="1"/>
  <c r="AK257" i="1"/>
  <c r="AJ257" i="1"/>
  <c r="AI257" i="1"/>
  <c r="AH257" i="1"/>
  <c r="AF257" i="1"/>
  <c r="AM257" i="1" s="1"/>
  <c r="AE257" i="1"/>
  <c r="W257" i="1"/>
  <c r="W258" i="1" s="1"/>
  <c r="W259" i="1" s="1"/>
  <c r="W260" i="1" s="1"/>
  <c r="W261" i="1" s="1"/>
  <c r="W262" i="1" s="1"/>
  <c r="T257" i="1"/>
  <c r="S257" i="1"/>
  <c r="O257" i="1"/>
  <c r="N257" i="1"/>
  <c r="M257" i="1"/>
  <c r="AX257" i="1" s="1"/>
  <c r="BD256" i="1"/>
  <c r="BA256" i="1"/>
  <c r="AV256" i="1"/>
  <c r="AU256" i="1"/>
  <c r="AL256" i="1"/>
  <c r="AK256" i="1"/>
  <c r="AJ256" i="1"/>
  <c r="AI256" i="1"/>
  <c r="AH256" i="1"/>
  <c r="AF256" i="1"/>
  <c r="AM256" i="1" s="1"/>
  <c r="AE256" i="1"/>
  <c r="T256" i="1"/>
  <c r="S256" i="1"/>
  <c r="O256" i="1"/>
  <c r="N256" i="1"/>
  <c r="M256" i="1"/>
  <c r="AX256" i="1" s="1"/>
  <c r="BD255" i="1"/>
  <c r="BA255" i="1"/>
  <c r="AV255" i="1"/>
  <c r="AU255" i="1"/>
  <c r="AK255" i="1"/>
  <c r="AJ255" i="1"/>
  <c r="AI255" i="1"/>
  <c r="AH255" i="1"/>
  <c r="AE255" i="1"/>
  <c r="AF255" i="1" s="1"/>
  <c r="AM255" i="1" s="1"/>
  <c r="T255" i="1"/>
  <c r="S255" i="1"/>
  <c r="O255" i="1"/>
  <c r="N255" i="1"/>
  <c r="M255" i="1"/>
  <c r="AX255" i="1" s="1"/>
  <c r="BD254" i="1"/>
  <c r="BA254" i="1"/>
  <c r="AV254" i="1"/>
  <c r="AU254" i="1"/>
  <c r="AK254" i="1"/>
  <c r="AJ254" i="1"/>
  <c r="AI254" i="1"/>
  <c r="AH254" i="1"/>
  <c r="AE254" i="1"/>
  <c r="AF254" i="1" s="1"/>
  <c r="AM254" i="1" s="1"/>
  <c r="T254" i="1"/>
  <c r="S254" i="1"/>
  <c r="O254" i="1"/>
  <c r="N254" i="1"/>
  <c r="M254" i="1"/>
  <c r="AX254" i="1" s="1"/>
  <c r="BD253" i="1"/>
  <c r="BA253" i="1"/>
  <c r="AV253" i="1"/>
  <c r="AU253" i="1"/>
  <c r="AK253" i="1"/>
  <c r="AJ253" i="1"/>
  <c r="AI253" i="1"/>
  <c r="AH253" i="1"/>
  <c r="AE253" i="1"/>
  <c r="T253" i="1"/>
  <c r="S253" i="1"/>
  <c r="O253" i="1"/>
  <c r="N253" i="1"/>
  <c r="M253" i="1"/>
  <c r="AX253" i="1" s="1"/>
  <c r="BD252" i="1"/>
  <c r="BA252" i="1"/>
  <c r="AV252" i="1"/>
  <c r="AU252" i="1"/>
  <c r="AK252" i="1"/>
  <c r="AJ252" i="1"/>
  <c r="AI252" i="1"/>
  <c r="AH252" i="1"/>
  <c r="AE252" i="1"/>
  <c r="T252" i="1"/>
  <c r="S252" i="1"/>
  <c r="O252" i="1"/>
  <c r="N252" i="1"/>
  <c r="M252" i="1"/>
  <c r="AX252" i="1" s="1"/>
  <c r="BD251" i="1"/>
  <c r="BA251" i="1"/>
  <c r="AV251" i="1"/>
  <c r="AU251" i="1"/>
  <c r="AK251" i="1"/>
  <c r="AJ251" i="1"/>
  <c r="AI251" i="1"/>
  <c r="AH251" i="1"/>
  <c r="AE251" i="1"/>
  <c r="W251" i="1"/>
  <c r="W252" i="1" s="1"/>
  <c r="W253" i="1" s="1"/>
  <c r="W254" i="1" s="1"/>
  <c r="W255" i="1" s="1"/>
  <c r="T251" i="1"/>
  <c r="S251" i="1"/>
  <c r="O251" i="1"/>
  <c r="N251" i="1"/>
  <c r="M251" i="1"/>
  <c r="AX251" i="1" s="1"/>
  <c r="BD250" i="1"/>
  <c r="BA250" i="1"/>
  <c r="AV250" i="1"/>
  <c r="AU250" i="1"/>
  <c r="AK250" i="1"/>
  <c r="AJ250" i="1"/>
  <c r="AI250" i="1"/>
  <c r="AH250" i="1"/>
  <c r="AE250" i="1"/>
  <c r="W250" i="1"/>
  <c r="T250" i="1"/>
  <c r="S250" i="1"/>
  <c r="O250" i="1"/>
  <c r="N250" i="1"/>
  <c r="M250" i="1"/>
  <c r="AX250" i="1" s="1"/>
  <c r="BD249" i="1"/>
  <c r="BA249" i="1"/>
  <c r="AV249" i="1"/>
  <c r="AU249" i="1"/>
  <c r="AK249" i="1"/>
  <c r="AJ249" i="1"/>
  <c r="AI249" i="1"/>
  <c r="AH249" i="1"/>
  <c r="AE249" i="1"/>
  <c r="T249" i="1"/>
  <c r="S249" i="1"/>
  <c r="O249" i="1"/>
  <c r="N249" i="1"/>
  <c r="M249" i="1"/>
  <c r="AX249" i="1" s="1"/>
  <c r="BD248" i="1"/>
  <c r="BA248" i="1"/>
  <c r="AV248" i="1"/>
  <c r="AU248" i="1"/>
  <c r="AL248" i="1"/>
  <c r="AK248" i="1"/>
  <c r="AJ248" i="1"/>
  <c r="AI248" i="1"/>
  <c r="AH248" i="1"/>
  <c r="AF248" i="1"/>
  <c r="AM248" i="1" s="1"/>
  <c r="AE248" i="1"/>
  <c r="T248" i="1"/>
  <c r="S248" i="1"/>
  <c r="O248" i="1"/>
  <c r="N248" i="1"/>
  <c r="M248" i="1"/>
  <c r="AX248" i="1" s="1"/>
  <c r="BD247" i="1"/>
  <c r="BA247" i="1"/>
  <c r="AV247" i="1"/>
  <c r="AU247" i="1"/>
  <c r="AL247" i="1"/>
  <c r="AK247" i="1"/>
  <c r="AJ247" i="1"/>
  <c r="AI247" i="1"/>
  <c r="AH247" i="1"/>
  <c r="AF247" i="1"/>
  <c r="AM247" i="1" s="1"/>
  <c r="AE247" i="1"/>
  <c r="T247" i="1"/>
  <c r="S247" i="1"/>
  <c r="O247" i="1"/>
  <c r="N247" i="1"/>
  <c r="M247" i="1"/>
  <c r="AX247" i="1" s="1"/>
  <c r="BD246" i="1"/>
  <c r="BA246" i="1"/>
  <c r="AV246" i="1"/>
  <c r="AU246" i="1"/>
  <c r="AL246" i="1"/>
  <c r="AK246" i="1"/>
  <c r="AJ246" i="1"/>
  <c r="AI246" i="1"/>
  <c r="AH246" i="1"/>
  <c r="AF246" i="1"/>
  <c r="AM246" i="1" s="1"/>
  <c r="AE246" i="1"/>
  <c r="T246" i="1"/>
  <c r="S246" i="1"/>
  <c r="O246" i="1"/>
  <c r="N246" i="1"/>
  <c r="M246" i="1"/>
  <c r="AX246" i="1" s="1"/>
  <c r="BD245" i="1"/>
  <c r="BA245" i="1"/>
  <c r="AV245" i="1"/>
  <c r="AU245" i="1"/>
  <c r="AL245" i="1"/>
  <c r="AK245" i="1"/>
  <c r="AJ245" i="1"/>
  <c r="AI245" i="1"/>
  <c r="AH245" i="1"/>
  <c r="AF245" i="1"/>
  <c r="AM245" i="1" s="1"/>
  <c r="AE245" i="1"/>
  <c r="W245" i="1"/>
  <c r="W246" i="1" s="1"/>
  <c r="W247" i="1" s="1"/>
  <c r="W248" i="1" s="1"/>
  <c r="T245" i="1"/>
  <c r="S245" i="1"/>
  <c r="O245" i="1"/>
  <c r="N245" i="1"/>
  <c r="M245" i="1"/>
  <c r="AX245" i="1" s="1"/>
  <c r="BD244" i="1"/>
  <c r="BA244" i="1"/>
  <c r="AV244" i="1"/>
  <c r="AU244" i="1"/>
  <c r="AL244" i="1"/>
  <c r="AK244" i="1"/>
  <c r="AJ244" i="1"/>
  <c r="AI244" i="1"/>
  <c r="AH244" i="1"/>
  <c r="AF244" i="1"/>
  <c r="AM244" i="1" s="1"/>
  <c r="AE244" i="1"/>
  <c r="T244" i="1"/>
  <c r="S244" i="1"/>
  <c r="O244" i="1"/>
  <c r="N244" i="1"/>
  <c r="M244" i="1"/>
  <c r="AX244" i="1" s="1"/>
  <c r="BD243" i="1"/>
  <c r="BA243" i="1"/>
  <c r="AX243" i="1"/>
  <c r="AV243" i="1"/>
  <c r="AU243" i="1"/>
  <c r="AL243" i="1"/>
  <c r="AK243" i="1"/>
  <c r="AJ243" i="1"/>
  <c r="AI243" i="1"/>
  <c r="AH243" i="1"/>
  <c r="AF243" i="1"/>
  <c r="AM243" i="1" s="1"/>
  <c r="AE243" i="1"/>
  <c r="W243" i="1"/>
  <c r="W244" i="1" s="1"/>
  <c r="T243" i="1"/>
  <c r="S243" i="1"/>
  <c r="O243" i="1"/>
  <c r="N243" i="1"/>
  <c r="M243" i="1"/>
  <c r="BD242" i="1"/>
  <c r="BA242" i="1"/>
  <c r="AV242" i="1"/>
  <c r="AU242" i="1"/>
  <c r="AL242" i="1"/>
  <c r="AK242" i="1"/>
  <c r="AJ242" i="1"/>
  <c r="AI242" i="1"/>
  <c r="AH242" i="1"/>
  <c r="AF242" i="1"/>
  <c r="AM242" i="1" s="1"/>
  <c r="AD541" i="1" s="1"/>
  <c r="AE242" i="1"/>
  <c r="T242" i="1"/>
  <c r="S242" i="1"/>
  <c r="O242" i="1"/>
  <c r="N242" i="1"/>
  <c r="AX242" i="1" s="1"/>
  <c r="M242" i="1"/>
  <c r="BD241" i="1"/>
  <c r="BA241" i="1"/>
  <c r="AX241" i="1"/>
  <c r="AV241" i="1"/>
  <c r="AU241" i="1"/>
  <c r="AK241" i="1"/>
  <c r="AJ241" i="1"/>
  <c r="AI241" i="1"/>
  <c r="AH241" i="1"/>
  <c r="AE241" i="1"/>
  <c r="T241" i="1"/>
  <c r="S241" i="1"/>
  <c r="O241" i="1"/>
  <c r="N241" i="1"/>
  <c r="M241" i="1"/>
  <c r="BD240" i="1"/>
  <c r="BA240" i="1"/>
  <c r="AX240" i="1"/>
  <c r="AV240" i="1"/>
  <c r="AU240" i="1"/>
  <c r="AK240" i="1"/>
  <c r="AJ240" i="1"/>
  <c r="AI240" i="1"/>
  <c r="AH240" i="1"/>
  <c r="AE240" i="1"/>
  <c r="T240" i="1"/>
  <c r="S240" i="1"/>
  <c r="O240" i="1"/>
  <c r="N240" i="1"/>
  <c r="M240" i="1"/>
  <c r="BD239" i="1"/>
  <c r="BA239" i="1"/>
  <c r="AV239" i="1"/>
  <c r="AU239" i="1"/>
  <c r="AK239" i="1"/>
  <c r="AJ239" i="1"/>
  <c r="AI239" i="1"/>
  <c r="AH239" i="1"/>
  <c r="AE239" i="1"/>
  <c r="T239" i="1"/>
  <c r="S239" i="1"/>
  <c r="O239" i="1"/>
  <c r="N239" i="1"/>
  <c r="AX239" i="1" s="1"/>
  <c r="M239" i="1"/>
  <c r="BD238" i="1"/>
  <c r="BA238" i="1"/>
  <c r="AX238" i="1"/>
  <c r="AV238" i="1"/>
  <c r="AU238" i="1"/>
  <c r="AK238" i="1"/>
  <c r="AJ238" i="1"/>
  <c r="AI238" i="1"/>
  <c r="AH238" i="1"/>
  <c r="AE238" i="1"/>
  <c r="T238" i="1"/>
  <c r="S238" i="1"/>
  <c r="O238" i="1"/>
  <c r="N238" i="1"/>
  <c r="M238" i="1"/>
  <c r="BD237" i="1"/>
  <c r="BA237" i="1"/>
  <c r="AV237" i="1"/>
  <c r="AU237" i="1"/>
  <c r="AK237" i="1"/>
  <c r="AJ237" i="1"/>
  <c r="AI237" i="1"/>
  <c r="AH237" i="1"/>
  <c r="AE237" i="1"/>
  <c r="W237" i="1"/>
  <c r="W238" i="1" s="1"/>
  <c r="W239" i="1" s="1"/>
  <c r="W240" i="1" s="1"/>
  <c r="W241" i="1" s="1"/>
  <c r="T237" i="1"/>
  <c r="S237" i="1"/>
  <c r="O237" i="1"/>
  <c r="N237" i="1"/>
  <c r="AX237" i="1" s="1"/>
  <c r="M237" i="1"/>
  <c r="BD236" i="1"/>
  <c r="BA236" i="1"/>
  <c r="AX236" i="1"/>
  <c r="AV236" i="1"/>
  <c r="AU236" i="1"/>
  <c r="AK236" i="1"/>
  <c r="AJ236" i="1"/>
  <c r="AI236" i="1"/>
  <c r="AH236" i="1"/>
  <c r="AE236" i="1"/>
  <c r="W236" i="1"/>
  <c r="T236" i="1"/>
  <c r="S236" i="1"/>
  <c r="O236" i="1"/>
  <c r="N236" i="1"/>
  <c r="M236" i="1"/>
  <c r="BD235" i="1"/>
  <c r="BA235" i="1"/>
  <c r="AV235" i="1"/>
  <c r="AU235" i="1"/>
  <c r="AK235" i="1"/>
  <c r="AJ235" i="1"/>
  <c r="AI235" i="1"/>
  <c r="AH235" i="1"/>
  <c r="AE235" i="1"/>
  <c r="T235" i="1"/>
  <c r="S235" i="1"/>
  <c r="O235" i="1"/>
  <c r="N235" i="1"/>
  <c r="M235" i="1"/>
  <c r="AX235" i="1" s="1"/>
  <c r="BD234" i="1"/>
  <c r="BA234" i="1"/>
  <c r="AV234" i="1"/>
  <c r="AU234" i="1"/>
  <c r="AL234" i="1"/>
  <c r="AK234" i="1"/>
  <c r="AJ234" i="1"/>
  <c r="AI234" i="1"/>
  <c r="AH234" i="1"/>
  <c r="AF234" i="1"/>
  <c r="AM234" i="1" s="1"/>
  <c r="AE234" i="1"/>
  <c r="T234" i="1"/>
  <c r="S234" i="1"/>
  <c r="O234" i="1"/>
  <c r="N234" i="1"/>
  <c r="M234" i="1"/>
  <c r="AX234" i="1" s="1"/>
  <c r="BD233" i="1"/>
  <c r="BA233" i="1"/>
  <c r="AX233" i="1"/>
  <c r="AV233" i="1"/>
  <c r="AU233" i="1"/>
  <c r="AL233" i="1"/>
  <c r="AK233" i="1"/>
  <c r="AJ233" i="1"/>
  <c r="AI233" i="1"/>
  <c r="AH233" i="1"/>
  <c r="AF233" i="1"/>
  <c r="AM233" i="1" s="1"/>
  <c r="AE233" i="1"/>
  <c r="T233" i="1"/>
  <c r="S233" i="1"/>
  <c r="O233" i="1"/>
  <c r="N233" i="1"/>
  <c r="M233" i="1"/>
  <c r="BD232" i="1"/>
  <c r="BA232" i="1"/>
  <c r="AV232" i="1"/>
  <c r="AU232" i="1"/>
  <c r="AK232" i="1"/>
  <c r="AJ232" i="1"/>
  <c r="AI232" i="1"/>
  <c r="AH232" i="1"/>
  <c r="AF232" i="1"/>
  <c r="AM232" i="1" s="1"/>
  <c r="AE232" i="1"/>
  <c r="AL232" i="1" s="1"/>
  <c r="T232" i="1"/>
  <c r="S232" i="1"/>
  <c r="O232" i="1"/>
  <c r="N232" i="1"/>
  <c r="AX232" i="1" s="1"/>
  <c r="M232" i="1"/>
  <c r="BD231" i="1"/>
  <c r="BA231" i="1"/>
  <c r="AV231" i="1"/>
  <c r="AU231" i="1"/>
  <c r="AK231" i="1"/>
  <c r="AJ231" i="1"/>
  <c r="AI231" i="1"/>
  <c r="AH231" i="1"/>
  <c r="AF231" i="1"/>
  <c r="AM231" i="1" s="1"/>
  <c r="AE231" i="1"/>
  <c r="AL231" i="1" s="1"/>
  <c r="T231" i="1"/>
  <c r="S231" i="1"/>
  <c r="O231" i="1"/>
  <c r="N231" i="1"/>
  <c r="AX231" i="1" s="1"/>
  <c r="M231" i="1"/>
  <c r="BD230" i="1"/>
  <c r="BA230" i="1"/>
  <c r="AV230" i="1"/>
  <c r="AU230" i="1"/>
  <c r="AK230" i="1"/>
  <c r="AJ230" i="1"/>
  <c r="AI230" i="1"/>
  <c r="AH230" i="1"/>
  <c r="AF230" i="1"/>
  <c r="AM230" i="1" s="1"/>
  <c r="AE230" i="1"/>
  <c r="AL230" i="1" s="1"/>
  <c r="T230" i="1"/>
  <c r="S230" i="1"/>
  <c r="O230" i="1"/>
  <c r="N230" i="1"/>
  <c r="AX230" i="1" s="1"/>
  <c r="M230" i="1"/>
  <c r="BD229" i="1"/>
  <c r="BA229" i="1"/>
  <c r="AV229" i="1"/>
  <c r="AU229" i="1"/>
  <c r="AK229" i="1"/>
  <c r="AJ229" i="1"/>
  <c r="AI229" i="1"/>
  <c r="AH229" i="1"/>
  <c r="AF229" i="1"/>
  <c r="AM229" i="1" s="1"/>
  <c r="AE229" i="1"/>
  <c r="AL229" i="1" s="1"/>
  <c r="W229" i="1"/>
  <c r="W230" i="1" s="1"/>
  <c r="W231" i="1" s="1"/>
  <c r="W232" i="1" s="1"/>
  <c r="W233" i="1" s="1"/>
  <c r="W234" i="1" s="1"/>
  <c r="T229" i="1"/>
  <c r="S229" i="1"/>
  <c r="O229" i="1"/>
  <c r="N229" i="1"/>
  <c r="AX229" i="1" s="1"/>
  <c r="M229" i="1"/>
  <c r="BD228" i="1"/>
  <c r="BA228" i="1"/>
  <c r="AV228" i="1"/>
  <c r="AU228" i="1"/>
  <c r="AK228" i="1"/>
  <c r="AJ228" i="1"/>
  <c r="AI228" i="1"/>
  <c r="AH228" i="1"/>
  <c r="AF228" i="1"/>
  <c r="AM228" i="1" s="1"/>
  <c r="AD539" i="1" s="1"/>
  <c r="AE228" i="1"/>
  <c r="AL228" i="1" s="1"/>
  <c r="T228" i="1"/>
  <c r="S228" i="1"/>
  <c r="O228" i="1"/>
  <c r="N228" i="1"/>
  <c r="M228" i="1"/>
  <c r="BD227" i="1"/>
  <c r="BA227" i="1"/>
  <c r="AV227" i="1"/>
  <c r="AU227" i="1"/>
  <c r="AK227" i="1"/>
  <c r="AJ227" i="1"/>
  <c r="AI227" i="1"/>
  <c r="AH227" i="1"/>
  <c r="AE227" i="1"/>
  <c r="AL227" i="1" s="1"/>
  <c r="T227" i="1"/>
  <c r="S227" i="1"/>
  <c r="O227" i="1"/>
  <c r="N227" i="1"/>
  <c r="M227" i="1"/>
  <c r="AX227" i="1" s="1"/>
  <c r="BD226" i="1"/>
  <c r="BA226" i="1"/>
  <c r="AV226" i="1"/>
  <c r="AU226" i="1"/>
  <c r="AK226" i="1"/>
  <c r="AJ226" i="1"/>
  <c r="AI226" i="1"/>
  <c r="AH226" i="1"/>
  <c r="AF226" i="1"/>
  <c r="AM226" i="1" s="1"/>
  <c r="AE226" i="1"/>
  <c r="AL226" i="1" s="1"/>
  <c r="T226" i="1"/>
  <c r="S226" i="1"/>
  <c r="O226" i="1"/>
  <c r="N226" i="1"/>
  <c r="M226" i="1"/>
  <c r="BD225" i="1"/>
  <c r="BA225" i="1"/>
  <c r="AV225" i="1"/>
  <c r="AU225" i="1"/>
  <c r="AK225" i="1"/>
  <c r="AJ225" i="1"/>
  <c r="AI225" i="1"/>
  <c r="AH225" i="1"/>
  <c r="AF225" i="1"/>
  <c r="AM225" i="1" s="1"/>
  <c r="AE225" i="1"/>
  <c r="AL225" i="1" s="1"/>
  <c r="T225" i="1"/>
  <c r="S225" i="1"/>
  <c r="O225" i="1"/>
  <c r="N225" i="1"/>
  <c r="M225" i="1"/>
  <c r="AX225" i="1" s="1"/>
  <c r="BD224" i="1"/>
  <c r="BA224" i="1"/>
  <c r="AV224" i="1"/>
  <c r="AU224" i="1"/>
  <c r="AM224" i="1"/>
  <c r="AK224" i="1"/>
  <c r="AJ224" i="1"/>
  <c r="AI224" i="1"/>
  <c r="AH224" i="1"/>
  <c r="AF224" i="1"/>
  <c r="AE224" i="1"/>
  <c r="AL224" i="1" s="1"/>
  <c r="T224" i="1"/>
  <c r="S224" i="1"/>
  <c r="O224" i="1"/>
  <c r="N224" i="1"/>
  <c r="M224" i="1"/>
  <c r="BD223" i="1"/>
  <c r="BA223" i="1"/>
  <c r="AV223" i="1"/>
  <c r="AU223" i="1"/>
  <c r="AK223" i="1"/>
  <c r="AJ223" i="1"/>
  <c r="AI223" i="1"/>
  <c r="AH223" i="1"/>
  <c r="AE223" i="1"/>
  <c r="AL223" i="1" s="1"/>
  <c r="T223" i="1"/>
  <c r="S223" i="1"/>
  <c r="O223" i="1"/>
  <c r="N223" i="1"/>
  <c r="M223" i="1"/>
  <c r="AX223" i="1" s="1"/>
  <c r="BD222" i="1"/>
  <c r="BA222" i="1"/>
  <c r="AV222" i="1"/>
  <c r="AU222" i="1"/>
  <c r="AK222" i="1"/>
  <c r="AJ222" i="1"/>
  <c r="AI222" i="1"/>
  <c r="AH222" i="1"/>
  <c r="AF222" i="1"/>
  <c r="AM222" i="1" s="1"/>
  <c r="AE222" i="1"/>
  <c r="AL222" i="1" s="1"/>
  <c r="W222" i="1"/>
  <c r="W223" i="1" s="1"/>
  <c r="W224" i="1" s="1"/>
  <c r="W225" i="1" s="1"/>
  <c r="W226" i="1" s="1"/>
  <c r="W227" i="1" s="1"/>
  <c r="T222" i="1"/>
  <c r="S222" i="1"/>
  <c r="O222" i="1"/>
  <c r="N222" i="1"/>
  <c r="M222" i="1"/>
  <c r="AX222" i="1" s="1"/>
  <c r="BD221" i="1"/>
  <c r="BA221" i="1"/>
  <c r="AV221" i="1"/>
  <c r="AU221" i="1"/>
  <c r="AK221" i="1"/>
  <c r="AJ221" i="1"/>
  <c r="AI221" i="1"/>
  <c r="AH221" i="1"/>
  <c r="AE221" i="1"/>
  <c r="AL221" i="1" s="1"/>
  <c r="AC538" i="1" s="1"/>
  <c r="T221" i="1"/>
  <c r="S221" i="1"/>
  <c r="O221" i="1"/>
  <c r="N221" i="1"/>
  <c r="M221" i="1"/>
  <c r="BD220" i="1"/>
  <c r="BA220" i="1"/>
  <c r="AV220" i="1"/>
  <c r="AU220" i="1"/>
  <c r="AM220" i="1"/>
  <c r="AL220" i="1"/>
  <c r="AK220" i="1"/>
  <c r="AJ220" i="1"/>
  <c r="AI220" i="1"/>
  <c r="AH220" i="1"/>
  <c r="AE220" i="1"/>
  <c r="AF220" i="1" s="1"/>
  <c r="T220" i="1"/>
  <c r="S220" i="1"/>
  <c r="O220" i="1"/>
  <c r="N220" i="1"/>
  <c r="M220" i="1"/>
  <c r="AX220" i="1" s="1"/>
  <c r="BD219" i="1"/>
  <c r="BA219" i="1"/>
  <c r="AV219" i="1"/>
  <c r="AU219" i="1"/>
  <c r="AL219" i="1"/>
  <c r="AK219" i="1"/>
  <c r="AJ219" i="1"/>
  <c r="AI219" i="1"/>
  <c r="AH219" i="1"/>
  <c r="AE219" i="1"/>
  <c r="AF219" i="1" s="1"/>
  <c r="AM219" i="1" s="1"/>
  <c r="T219" i="1"/>
  <c r="S219" i="1"/>
  <c r="O219" i="1"/>
  <c r="N219" i="1"/>
  <c r="M219" i="1"/>
  <c r="AX219" i="1" s="1"/>
  <c r="BD218" i="1"/>
  <c r="BA218" i="1"/>
  <c r="AV218" i="1"/>
  <c r="AU218" i="1"/>
  <c r="AK218" i="1"/>
  <c r="AJ218" i="1"/>
  <c r="AI218" i="1"/>
  <c r="AH218" i="1"/>
  <c r="AE218" i="1"/>
  <c r="AF218" i="1" s="1"/>
  <c r="AM218" i="1" s="1"/>
  <c r="T218" i="1"/>
  <c r="S218" i="1"/>
  <c r="O218" i="1"/>
  <c r="N218" i="1"/>
  <c r="M218" i="1"/>
  <c r="BD217" i="1"/>
  <c r="BA217" i="1"/>
  <c r="AV217" i="1"/>
  <c r="AU217" i="1"/>
  <c r="AK217" i="1"/>
  <c r="AJ217" i="1"/>
  <c r="AI217" i="1"/>
  <c r="AH217" i="1"/>
  <c r="AE217" i="1"/>
  <c r="AF217" i="1" s="1"/>
  <c r="AM217" i="1" s="1"/>
  <c r="T217" i="1"/>
  <c r="S217" i="1"/>
  <c r="O217" i="1"/>
  <c r="N217" i="1"/>
  <c r="M217" i="1"/>
  <c r="BD216" i="1"/>
  <c r="BA216" i="1"/>
  <c r="AV216" i="1"/>
  <c r="AU216" i="1"/>
  <c r="AM216" i="1"/>
  <c r="AK216" i="1"/>
  <c r="AJ216" i="1"/>
  <c r="AI216" i="1"/>
  <c r="AH216" i="1"/>
  <c r="AE216" i="1"/>
  <c r="AF216" i="1" s="1"/>
  <c r="T216" i="1"/>
  <c r="S216" i="1"/>
  <c r="O216" i="1"/>
  <c r="N216" i="1"/>
  <c r="M216" i="1"/>
  <c r="AX216" i="1" s="1"/>
  <c r="BD215" i="1"/>
  <c r="BA215" i="1"/>
  <c r="AV215" i="1"/>
  <c r="AU215" i="1"/>
  <c r="AM215" i="1"/>
  <c r="AL215" i="1"/>
  <c r="AK215" i="1"/>
  <c r="AJ215" i="1"/>
  <c r="AI215" i="1"/>
  <c r="AH215" i="1"/>
  <c r="AE215" i="1"/>
  <c r="AF215" i="1" s="1"/>
  <c r="W215" i="1"/>
  <c r="W216" i="1" s="1"/>
  <c r="W217" i="1" s="1"/>
  <c r="W218" i="1" s="1"/>
  <c r="W219" i="1" s="1"/>
  <c r="W220" i="1" s="1"/>
  <c r="T215" i="1"/>
  <c r="S215" i="1"/>
  <c r="O215" i="1"/>
  <c r="N215" i="1"/>
  <c r="M215" i="1"/>
  <c r="AX215" i="1" s="1"/>
  <c r="BD214" i="1"/>
  <c r="BA214" i="1"/>
  <c r="AV214" i="1"/>
  <c r="AU214" i="1"/>
  <c r="AM214" i="1"/>
  <c r="AK214" i="1"/>
  <c r="AJ214" i="1"/>
  <c r="AI214" i="1"/>
  <c r="AH214" i="1"/>
  <c r="AE214" i="1"/>
  <c r="AF214" i="1" s="1"/>
  <c r="T214" i="1"/>
  <c r="S214" i="1"/>
  <c r="O214" i="1"/>
  <c r="N214" i="1"/>
  <c r="M214" i="1"/>
  <c r="AX214" i="1" s="1"/>
  <c r="BD213" i="1"/>
  <c r="BA213" i="1"/>
  <c r="AV213" i="1"/>
  <c r="AU213" i="1"/>
  <c r="AL213" i="1"/>
  <c r="AK213" i="1"/>
  <c r="AJ213" i="1"/>
  <c r="AI213" i="1"/>
  <c r="AH213" i="1"/>
  <c r="AE213" i="1"/>
  <c r="AF213" i="1" s="1"/>
  <c r="AM213" i="1" s="1"/>
  <c r="T213" i="1"/>
  <c r="S213" i="1"/>
  <c r="O213" i="1"/>
  <c r="N213" i="1"/>
  <c r="M213" i="1"/>
  <c r="AX213" i="1" s="1"/>
  <c r="BD212" i="1"/>
  <c r="BA212" i="1"/>
  <c r="AV212" i="1"/>
  <c r="AU212" i="1"/>
  <c r="AL212" i="1"/>
  <c r="AK212" i="1"/>
  <c r="AJ212" i="1"/>
  <c r="AI212" i="1"/>
  <c r="AH212" i="1"/>
  <c r="AE212" i="1"/>
  <c r="AF212" i="1" s="1"/>
  <c r="AM212" i="1" s="1"/>
  <c r="T212" i="1"/>
  <c r="S212" i="1"/>
  <c r="O212" i="1"/>
  <c r="N212" i="1"/>
  <c r="M212" i="1"/>
  <c r="AX212" i="1" s="1"/>
  <c r="BD211" i="1"/>
  <c r="BA211" i="1"/>
  <c r="AV211" i="1"/>
  <c r="AU211" i="1"/>
  <c r="AL211" i="1"/>
  <c r="AK211" i="1"/>
  <c r="AJ211" i="1"/>
  <c r="AI211" i="1"/>
  <c r="AH211" i="1"/>
  <c r="AE211" i="1"/>
  <c r="AF211" i="1" s="1"/>
  <c r="AM211" i="1" s="1"/>
  <c r="T211" i="1"/>
  <c r="S211" i="1"/>
  <c r="O211" i="1"/>
  <c r="N211" i="1"/>
  <c r="M211" i="1"/>
  <c r="AX211" i="1" s="1"/>
  <c r="BD210" i="1"/>
  <c r="BA210" i="1"/>
  <c r="AV210" i="1"/>
  <c r="AU210" i="1"/>
  <c r="AL210" i="1"/>
  <c r="AK210" i="1"/>
  <c r="AJ210" i="1"/>
  <c r="AI210" i="1"/>
  <c r="AH210" i="1"/>
  <c r="AE210" i="1"/>
  <c r="AF210" i="1" s="1"/>
  <c r="AM210" i="1" s="1"/>
  <c r="T210" i="1"/>
  <c r="S210" i="1"/>
  <c r="O210" i="1"/>
  <c r="N210" i="1"/>
  <c r="M210" i="1"/>
  <c r="AX210" i="1" s="1"/>
  <c r="BD209" i="1"/>
  <c r="BA209" i="1"/>
  <c r="AV209" i="1"/>
  <c r="AU209" i="1"/>
  <c r="AL209" i="1"/>
  <c r="AK209" i="1"/>
  <c r="AJ209" i="1"/>
  <c r="AI209" i="1"/>
  <c r="AH209" i="1"/>
  <c r="AE209" i="1"/>
  <c r="AF209" i="1" s="1"/>
  <c r="AM209" i="1" s="1"/>
  <c r="X209" i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T209" i="1"/>
  <c r="S209" i="1"/>
  <c r="O209" i="1"/>
  <c r="N209" i="1"/>
  <c r="M209" i="1"/>
  <c r="AX209" i="1" s="1"/>
  <c r="BD208" i="1"/>
  <c r="BA208" i="1"/>
  <c r="AV208" i="1"/>
  <c r="AU208" i="1"/>
  <c r="AL208" i="1"/>
  <c r="AK208" i="1"/>
  <c r="AJ208" i="1"/>
  <c r="AI208" i="1"/>
  <c r="AH208" i="1"/>
  <c r="AE208" i="1"/>
  <c r="AF208" i="1" s="1"/>
  <c r="AM208" i="1" s="1"/>
  <c r="X208" i="1"/>
  <c r="W208" i="1"/>
  <c r="W209" i="1" s="1"/>
  <c r="W210" i="1" s="1"/>
  <c r="W211" i="1" s="1"/>
  <c r="W212" i="1" s="1"/>
  <c r="W213" i="1" s="1"/>
  <c r="T208" i="1"/>
  <c r="S208" i="1"/>
  <c r="O208" i="1"/>
  <c r="N208" i="1"/>
  <c r="M208" i="1"/>
  <c r="AX208" i="1" s="1"/>
  <c r="BD207" i="1"/>
  <c r="BA207" i="1"/>
  <c r="AX207" i="1"/>
  <c r="AV207" i="1"/>
  <c r="AU207" i="1"/>
  <c r="AL207" i="1"/>
  <c r="AK207" i="1"/>
  <c r="AJ207" i="1"/>
  <c r="AI207" i="1"/>
  <c r="AH207" i="1"/>
  <c r="AE207" i="1"/>
  <c r="AF207" i="1" s="1"/>
  <c r="AM207" i="1" s="1"/>
  <c r="T207" i="1"/>
  <c r="S207" i="1"/>
  <c r="O207" i="1"/>
  <c r="N207" i="1"/>
  <c r="M207" i="1"/>
  <c r="BD206" i="1"/>
  <c r="BA206" i="1"/>
  <c r="AX206" i="1"/>
  <c r="AV206" i="1"/>
  <c r="AU206" i="1"/>
  <c r="AL206" i="1"/>
  <c r="AK206" i="1"/>
  <c r="AJ206" i="1"/>
  <c r="AI206" i="1"/>
  <c r="AH206" i="1"/>
  <c r="AF206" i="1"/>
  <c r="AM206" i="1" s="1"/>
  <c r="AE206" i="1"/>
  <c r="T206" i="1"/>
  <c r="S206" i="1"/>
  <c r="O206" i="1"/>
  <c r="N206" i="1"/>
  <c r="M206" i="1"/>
  <c r="BD205" i="1"/>
  <c r="BA205" i="1"/>
  <c r="AX205" i="1"/>
  <c r="AV205" i="1"/>
  <c r="AU205" i="1"/>
  <c r="AL205" i="1"/>
  <c r="AK205" i="1"/>
  <c r="AJ205" i="1"/>
  <c r="AI205" i="1"/>
  <c r="AH205" i="1"/>
  <c r="AF205" i="1"/>
  <c r="AM205" i="1" s="1"/>
  <c r="AE205" i="1"/>
  <c r="T205" i="1"/>
  <c r="S205" i="1"/>
  <c r="O205" i="1"/>
  <c r="N205" i="1"/>
  <c r="M205" i="1"/>
  <c r="BD204" i="1"/>
  <c r="BA204" i="1"/>
  <c r="AX204" i="1"/>
  <c r="AV204" i="1"/>
  <c r="AU204" i="1"/>
  <c r="AL204" i="1"/>
  <c r="AK204" i="1"/>
  <c r="AJ204" i="1"/>
  <c r="AI204" i="1"/>
  <c r="AH204" i="1"/>
  <c r="AF204" i="1"/>
  <c r="AM204" i="1" s="1"/>
  <c r="AE204" i="1"/>
  <c r="T204" i="1"/>
  <c r="S204" i="1"/>
  <c r="O204" i="1"/>
  <c r="N204" i="1"/>
  <c r="M204" i="1"/>
  <c r="BD203" i="1"/>
  <c r="BA203" i="1"/>
  <c r="AX203" i="1"/>
  <c r="AV203" i="1"/>
  <c r="AU203" i="1"/>
  <c r="AL203" i="1"/>
  <c r="AK203" i="1"/>
  <c r="AJ203" i="1"/>
  <c r="AI203" i="1"/>
  <c r="AH203" i="1"/>
  <c r="AF203" i="1"/>
  <c r="AM203" i="1" s="1"/>
  <c r="AE203" i="1"/>
  <c r="T203" i="1"/>
  <c r="S203" i="1"/>
  <c r="O203" i="1"/>
  <c r="N203" i="1"/>
  <c r="M203" i="1"/>
  <c r="BD202" i="1"/>
  <c r="BA202" i="1"/>
  <c r="AX202" i="1"/>
  <c r="AV202" i="1"/>
  <c r="AU202" i="1"/>
  <c r="AL202" i="1"/>
  <c r="AK202" i="1"/>
  <c r="AJ202" i="1"/>
  <c r="AI202" i="1"/>
  <c r="AH202" i="1"/>
  <c r="AF202" i="1"/>
  <c r="AM202" i="1" s="1"/>
  <c r="AE202" i="1"/>
  <c r="T202" i="1"/>
  <c r="S202" i="1"/>
  <c r="O202" i="1"/>
  <c r="N202" i="1"/>
  <c r="M202" i="1"/>
  <c r="BD201" i="1"/>
  <c r="BA201" i="1"/>
  <c r="AX201" i="1"/>
  <c r="AV201" i="1"/>
  <c r="AU201" i="1"/>
  <c r="AL201" i="1"/>
  <c r="AK201" i="1"/>
  <c r="AJ201" i="1"/>
  <c r="AI201" i="1"/>
  <c r="AH201" i="1"/>
  <c r="AF201" i="1"/>
  <c r="AM201" i="1" s="1"/>
  <c r="AE201" i="1"/>
  <c r="X201" i="1"/>
  <c r="X202" i="1" s="1"/>
  <c r="X203" i="1" s="1"/>
  <c r="X204" i="1" s="1"/>
  <c r="X205" i="1" s="1"/>
  <c r="X206" i="1" s="1"/>
  <c r="W201" i="1"/>
  <c r="W202" i="1" s="1"/>
  <c r="W203" i="1" s="1"/>
  <c r="W204" i="1" s="1"/>
  <c r="W205" i="1" s="1"/>
  <c r="W206" i="1" s="1"/>
  <c r="T201" i="1"/>
  <c r="S201" i="1"/>
  <c r="O201" i="1"/>
  <c r="N201" i="1"/>
  <c r="M201" i="1"/>
  <c r="BD200" i="1"/>
  <c r="BA200" i="1"/>
  <c r="AX200" i="1"/>
  <c r="AV200" i="1"/>
  <c r="AU200" i="1"/>
  <c r="AL200" i="1"/>
  <c r="AC535" i="1" s="1"/>
  <c r="AK200" i="1"/>
  <c r="AJ200" i="1"/>
  <c r="AI200" i="1"/>
  <c r="AH200" i="1"/>
  <c r="AF200" i="1"/>
  <c r="AM200" i="1" s="1"/>
  <c r="AE200" i="1"/>
  <c r="T200" i="1"/>
  <c r="S200" i="1"/>
  <c r="O200" i="1"/>
  <c r="N200" i="1"/>
  <c r="M200" i="1"/>
  <c r="BD199" i="1"/>
  <c r="BA199" i="1"/>
  <c r="AV199" i="1"/>
  <c r="AU199" i="1"/>
  <c r="AK199" i="1"/>
  <c r="AJ199" i="1"/>
  <c r="AI199" i="1"/>
  <c r="AH199" i="1"/>
  <c r="AE199" i="1"/>
  <c r="T199" i="1"/>
  <c r="S199" i="1"/>
  <c r="O199" i="1"/>
  <c r="N199" i="1"/>
  <c r="AX199" i="1" s="1"/>
  <c r="M199" i="1"/>
  <c r="BD198" i="1"/>
  <c r="BA198" i="1"/>
  <c r="AV198" i="1"/>
  <c r="AU198" i="1"/>
  <c r="AK198" i="1"/>
  <c r="AJ198" i="1"/>
  <c r="AI198" i="1"/>
  <c r="AH198" i="1"/>
  <c r="AE198" i="1"/>
  <c r="T198" i="1"/>
  <c r="S198" i="1"/>
  <c r="O198" i="1"/>
  <c r="N198" i="1"/>
  <c r="AX198" i="1" s="1"/>
  <c r="M198" i="1"/>
  <c r="BD197" i="1"/>
  <c r="BA197" i="1"/>
  <c r="AV197" i="1"/>
  <c r="AU197" i="1"/>
  <c r="AK197" i="1"/>
  <c r="AJ197" i="1"/>
  <c r="AI197" i="1"/>
  <c r="AH197" i="1"/>
  <c r="AE197" i="1"/>
  <c r="T197" i="1"/>
  <c r="S197" i="1"/>
  <c r="O197" i="1"/>
  <c r="N197" i="1"/>
  <c r="AX197" i="1" s="1"/>
  <c r="M197" i="1"/>
  <c r="BD196" i="1"/>
  <c r="BA196" i="1"/>
  <c r="AV196" i="1"/>
  <c r="AU196" i="1"/>
  <c r="AK196" i="1"/>
  <c r="AJ196" i="1"/>
  <c r="AI196" i="1"/>
  <c r="AH196" i="1"/>
  <c r="AE196" i="1"/>
  <c r="T196" i="1"/>
  <c r="S196" i="1"/>
  <c r="O196" i="1"/>
  <c r="N196" i="1"/>
  <c r="AX196" i="1" s="1"/>
  <c r="M196" i="1"/>
  <c r="BD195" i="1"/>
  <c r="BA195" i="1"/>
  <c r="AV195" i="1"/>
  <c r="AU195" i="1"/>
  <c r="AK195" i="1"/>
  <c r="AJ195" i="1"/>
  <c r="AI195" i="1"/>
  <c r="AH195" i="1"/>
  <c r="AE195" i="1"/>
  <c r="T195" i="1"/>
  <c r="S195" i="1"/>
  <c r="O195" i="1"/>
  <c r="N195" i="1"/>
  <c r="AX195" i="1" s="1"/>
  <c r="M195" i="1"/>
  <c r="BD194" i="1"/>
  <c r="BA194" i="1"/>
  <c r="AV194" i="1"/>
  <c r="AU194" i="1"/>
  <c r="AK194" i="1"/>
  <c r="AJ194" i="1"/>
  <c r="AI194" i="1"/>
  <c r="AH194" i="1"/>
  <c r="AE194" i="1"/>
  <c r="X194" i="1"/>
  <c r="X195" i="1" s="1"/>
  <c r="X196" i="1" s="1"/>
  <c r="X197" i="1" s="1"/>
  <c r="X198" i="1" s="1"/>
  <c r="X199" i="1" s="1"/>
  <c r="W194" i="1"/>
  <c r="W195" i="1" s="1"/>
  <c r="W196" i="1" s="1"/>
  <c r="W197" i="1" s="1"/>
  <c r="W198" i="1" s="1"/>
  <c r="W199" i="1" s="1"/>
  <c r="T194" i="1"/>
  <c r="S194" i="1"/>
  <c r="O194" i="1"/>
  <c r="N194" i="1"/>
  <c r="AX194" i="1" s="1"/>
  <c r="M194" i="1"/>
  <c r="BD193" i="1"/>
  <c r="BA193" i="1"/>
  <c r="AV193" i="1"/>
  <c r="AU193" i="1"/>
  <c r="AK193" i="1"/>
  <c r="AJ193" i="1"/>
  <c r="AI193" i="1"/>
  <c r="AH193" i="1"/>
  <c r="AE193" i="1"/>
  <c r="T193" i="1"/>
  <c r="S193" i="1"/>
  <c r="O193" i="1"/>
  <c r="N193" i="1"/>
  <c r="AX193" i="1" s="1"/>
  <c r="M193" i="1"/>
  <c r="BD192" i="1"/>
  <c r="BA192" i="1"/>
  <c r="AV192" i="1"/>
  <c r="AU192" i="1"/>
  <c r="AK192" i="1"/>
  <c r="AJ192" i="1"/>
  <c r="AI192" i="1"/>
  <c r="AH192" i="1"/>
  <c r="AE192" i="1"/>
  <c r="AL192" i="1" s="1"/>
  <c r="T192" i="1"/>
  <c r="S192" i="1"/>
  <c r="O192" i="1"/>
  <c r="N192" i="1"/>
  <c r="M192" i="1"/>
  <c r="BD191" i="1"/>
  <c r="BA191" i="1"/>
  <c r="AV191" i="1"/>
  <c r="AU191" i="1"/>
  <c r="AK191" i="1"/>
  <c r="AJ191" i="1"/>
  <c r="AI191" i="1"/>
  <c r="AH191" i="1"/>
  <c r="AF191" i="1"/>
  <c r="AM191" i="1" s="1"/>
  <c r="AE191" i="1"/>
  <c r="AL191" i="1" s="1"/>
  <c r="T191" i="1"/>
  <c r="S191" i="1"/>
  <c r="O191" i="1"/>
  <c r="N191" i="1"/>
  <c r="M191" i="1"/>
  <c r="BD190" i="1"/>
  <c r="BA190" i="1"/>
  <c r="AV190" i="1"/>
  <c r="AU190" i="1"/>
  <c r="AK190" i="1"/>
  <c r="AJ190" i="1"/>
  <c r="AI190" i="1"/>
  <c r="AH190" i="1"/>
  <c r="AE190" i="1"/>
  <c r="AL190" i="1" s="1"/>
  <c r="T190" i="1"/>
  <c r="S190" i="1"/>
  <c r="O190" i="1"/>
  <c r="N190" i="1"/>
  <c r="M190" i="1"/>
  <c r="BD189" i="1"/>
  <c r="BA189" i="1"/>
  <c r="AV189" i="1"/>
  <c r="AU189" i="1"/>
  <c r="AK189" i="1"/>
  <c r="AJ189" i="1"/>
  <c r="AI189" i="1"/>
  <c r="AH189" i="1"/>
  <c r="AF189" i="1"/>
  <c r="AM189" i="1" s="1"/>
  <c r="AE189" i="1"/>
  <c r="AL189" i="1" s="1"/>
  <c r="T189" i="1"/>
  <c r="S189" i="1"/>
  <c r="O189" i="1"/>
  <c r="N189" i="1"/>
  <c r="M189" i="1"/>
  <c r="BD188" i="1"/>
  <c r="BA188" i="1"/>
  <c r="AV188" i="1"/>
  <c r="AU188" i="1"/>
  <c r="AK188" i="1"/>
  <c r="AJ188" i="1"/>
  <c r="AI188" i="1"/>
  <c r="AH188" i="1"/>
  <c r="AE188" i="1"/>
  <c r="AL188" i="1" s="1"/>
  <c r="W188" i="1"/>
  <c r="W189" i="1" s="1"/>
  <c r="W190" i="1" s="1"/>
  <c r="W191" i="1" s="1"/>
  <c r="W192" i="1" s="1"/>
  <c r="T188" i="1"/>
  <c r="S188" i="1"/>
  <c r="O188" i="1"/>
  <c r="N188" i="1"/>
  <c r="M188" i="1"/>
  <c r="BD187" i="1"/>
  <c r="BA187" i="1"/>
  <c r="AV187" i="1"/>
  <c r="AU187" i="1"/>
  <c r="AK187" i="1"/>
  <c r="AJ187" i="1"/>
  <c r="AI187" i="1"/>
  <c r="AH187" i="1"/>
  <c r="AF187" i="1"/>
  <c r="AM187" i="1" s="1"/>
  <c r="AE187" i="1"/>
  <c r="AL187" i="1" s="1"/>
  <c r="X187" i="1"/>
  <c r="X188" i="1" s="1"/>
  <c r="X189" i="1" s="1"/>
  <c r="X190" i="1" s="1"/>
  <c r="X191" i="1" s="1"/>
  <c r="X192" i="1" s="1"/>
  <c r="W187" i="1"/>
  <c r="T187" i="1"/>
  <c r="S187" i="1"/>
  <c r="O187" i="1"/>
  <c r="N187" i="1"/>
  <c r="M187" i="1"/>
  <c r="AX187" i="1" s="1"/>
  <c r="BD186" i="1"/>
  <c r="BA186" i="1"/>
  <c r="AV186" i="1"/>
  <c r="AU186" i="1"/>
  <c r="AK186" i="1"/>
  <c r="AJ186" i="1"/>
  <c r="AI186" i="1"/>
  <c r="AH186" i="1"/>
  <c r="AE186" i="1"/>
  <c r="T186" i="1"/>
  <c r="S186" i="1"/>
  <c r="O186" i="1"/>
  <c r="N186" i="1"/>
  <c r="M186" i="1"/>
  <c r="AX186" i="1" s="1"/>
  <c r="BD185" i="1"/>
  <c r="BA185" i="1"/>
  <c r="AV185" i="1"/>
  <c r="AU185" i="1"/>
  <c r="AL185" i="1"/>
  <c r="AK185" i="1"/>
  <c r="AJ185" i="1"/>
  <c r="AI185" i="1"/>
  <c r="AH185" i="1"/>
  <c r="AE185" i="1"/>
  <c r="AF185" i="1" s="1"/>
  <c r="AM185" i="1" s="1"/>
  <c r="T185" i="1"/>
  <c r="S185" i="1"/>
  <c r="O185" i="1"/>
  <c r="N185" i="1"/>
  <c r="M185" i="1"/>
  <c r="AX185" i="1" s="1"/>
  <c r="BD184" i="1"/>
  <c r="BA184" i="1"/>
  <c r="AV184" i="1"/>
  <c r="AU184" i="1"/>
  <c r="AL184" i="1"/>
  <c r="AK184" i="1"/>
  <c r="AJ184" i="1"/>
  <c r="AI184" i="1"/>
  <c r="AH184" i="1"/>
  <c r="AE184" i="1"/>
  <c r="AF184" i="1" s="1"/>
  <c r="AM184" i="1" s="1"/>
  <c r="T184" i="1"/>
  <c r="S184" i="1"/>
  <c r="O184" i="1"/>
  <c r="N184" i="1"/>
  <c r="M184" i="1"/>
  <c r="AX184" i="1" s="1"/>
  <c r="BD183" i="1"/>
  <c r="BA183" i="1"/>
  <c r="AX183" i="1"/>
  <c r="AV183" i="1"/>
  <c r="AU183" i="1"/>
  <c r="AL183" i="1"/>
  <c r="AK183" i="1"/>
  <c r="AJ183" i="1"/>
  <c r="AI183" i="1"/>
  <c r="AH183" i="1"/>
  <c r="AE183" i="1"/>
  <c r="AF183" i="1" s="1"/>
  <c r="AM183" i="1" s="1"/>
  <c r="T183" i="1"/>
  <c r="S183" i="1"/>
  <c r="O183" i="1"/>
  <c r="N183" i="1"/>
  <c r="M183" i="1"/>
  <c r="BD182" i="1"/>
  <c r="BA182" i="1"/>
  <c r="AV182" i="1"/>
  <c r="AU182" i="1"/>
  <c r="AK182" i="1"/>
  <c r="AJ182" i="1"/>
  <c r="AI182" i="1"/>
  <c r="AH182" i="1"/>
  <c r="AE182" i="1"/>
  <c r="T182" i="1"/>
  <c r="S182" i="1"/>
  <c r="O182" i="1"/>
  <c r="N182" i="1"/>
  <c r="M182" i="1"/>
  <c r="AX182" i="1" s="1"/>
  <c r="BD181" i="1"/>
  <c r="BA181" i="1"/>
  <c r="AV181" i="1"/>
  <c r="AU181" i="1"/>
  <c r="AK181" i="1"/>
  <c r="AJ181" i="1"/>
  <c r="AI181" i="1"/>
  <c r="AH181" i="1"/>
  <c r="AE181" i="1"/>
  <c r="T181" i="1"/>
  <c r="S181" i="1"/>
  <c r="O181" i="1"/>
  <c r="N181" i="1"/>
  <c r="M181" i="1"/>
  <c r="AX181" i="1" s="1"/>
  <c r="BD180" i="1"/>
  <c r="BA180" i="1"/>
  <c r="AV180" i="1"/>
  <c r="AU180" i="1"/>
  <c r="AK180" i="1"/>
  <c r="AJ180" i="1"/>
  <c r="AI180" i="1"/>
  <c r="AH180" i="1"/>
  <c r="AE180" i="1"/>
  <c r="X180" i="1"/>
  <c r="X181" i="1" s="1"/>
  <c r="X182" i="1" s="1"/>
  <c r="X183" i="1" s="1"/>
  <c r="X184" i="1" s="1"/>
  <c r="X185" i="1" s="1"/>
  <c r="W180" i="1"/>
  <c r="W181" i="1" s="1"/>
  <c r="W182" i="1" s="1"/>
  <c r="W183" i="1" s="1"/>
  <c r="W184" i="1" s="1"/>
  <c r="W185" i="1" s="1"/>
  <c r="T180" i="1"/>
  <c r="S180" i="1"/>
  <c r="O180" i="1"/>
  <c r="N180" i="1"/>
  <c r="M180" i="1"/>
  <c r="AX180" i="1" s="1"/>
  <c r="BD179" i="1"/>
  <c r="BA179" i="1"/>
  <c r="AX179" i="1"/>
  <c r="AV179" i="1"/>
  <c r="AU179" i="1"/>
  <c r="AK179" i="1"/>
  <c r="AJ179" i="1"/>
  <c r="AI179" i="1"/>
  <c r="AH179" i="1"/>
  <c r="AE179" i="1"/>
  <c r="T179" i="1"/>
  <c r="S179" i="1"/>
  <c r="O179" i="1"/>
  <c r="N179" i="1"/>
  <c r="M179" i="1"/>
  <c r="BD178" i="1"/>
  <c r="BA178" i="1"/>
  <c r="AX178" i="1"/>
  <c r="AV178" i="1"/>
  <c r="AU178" i="1"/>
  <c r="AL178" i="1"/>
  <c r="AK178" i="1"/>
  <c r="AJ178" i="1"/>
  <c r="AI178" i="1"/>
  <c r="AH178" i="1"/>
  <c r="AE178" i="1"/>
  <c r="AF178" i="1" s="1"/>
  <c r="AM178" i="1" s="1"/>
  <c r="T178" i="1"/>
  <c r="S178" i="1"/>
  <c r="O178" i="1"/>
  <c r="N178" i="1"/>
  <c r="M178" i="1"/>
  <c r="BD177" i="1"/>
  <c r="BA177" i="1"/>
  <c r="AX177" i="1"/>
  <c r="AV177" i="1"/>
  <c r="AU177" i="1"/>
  <c r="AL177" i="1"/>
  <c r="AK177" i="1"/>
  <c r="AJ177" i="1"/>
  <c r="AI177" i="1"/>
  <c r="AH177" i="1"/>
  <c r="AE177" i="1"/>
  <c r="AF177" i="1" s="1"/>
  <c r="AM177" i="1" s="1"/>
  <c r="W177" i="1"/>
  <c r="W178" i="1" s="1"/>
  <c r="T177" i="1"/>
  <c r="S177" i="1"/>
  <c r="O177" i="1"/>
  <c r="N177" i="1"/>
  <c r="M177" i="1"/>
  <c r="BD176" i="1"/>
  <c r="BA176" i="1"/>
  <c r="AX176" i="1"/>
  <c r="AV176" i="1"/>
  <c r="AU176" i="1"/>
  <c r="AL176" i="1"/>
  <c r="AK176" i="1"/>
  <c r="AJ176" i="1"/>
  <c r="AI176" i="1"/>
  <c r="AH176" i="1"/>
  <c r="AE176" i="1"/>
  <c r="AF176" i="1" s="1"/>
  <c r="AM176" i="1" s="1"/>
  <c r="W176" i="1"/>
  <c r="T176" i="1"/>
  <c r="S176" i="1"/>
  <c r="O176" i="1"/>
  <c r="N176" i="1"/>
  <c r="M176" i="1"/>
  <c r="BD175" i="1"/>
  <c r="BA175" i="1"/>
  <c r="AX175" i="1"/>
  <c r="AV175" i="1"/>
  <c r="AU175" i="1"/>
  <c r="AL175" i="1"/>
  <c r="AK175" i="1"/>
  <c r="AJ175" i="1"/>
  <c r="AI175" i="1"/>
  <c r="AH175" i="1"/>
  <c r="AE175" i="1"/>
  <c r="AF175" i="1" s="1"/>
  <c r="AM175" i="1" s="1"/>
  <c r="T175" i="1"/>
  <c r="S175" i="1"/>
  <c r="O175" i="1"/>
  <c r="N175" i="1"/>
  <c r="M175" i="1"/>
  <c r="BD174" i="1"/>
  <c r="BA174" i="1"/>
  <c r="AV174" i="1"/>
  <c r="AU174" i="1"/>
  <c r="AK174" i="1"/>
  <c r="AJ174" i="1"/>
  <c r="AI174" i="1"/>
  <c r="AH174" i="1"/>
  <c r="AE174" i="1"/>
  <c r="T174" i="1"/>
  <c r="S174" i="1"/>
  <c r="O174" i="1"/>
  <c r="N174" i="1"/>
  <c r="AX174" i="1" s="1"/>
  <c r="M174" i="1"/>
  <c r="BD173" i="1"/>
  <c r="BA173" i="1"/>
  <c r="AV173" i="1"/>
  <c r="AU173" i="1"/>
  <c r="AK173" i="1"/>
  <c r="AJ173" i="1"/>
  <c r="AI173" i="1"/>
  <c r="AH173" i="1"/>
  <c r="AE173" i="1"/>
  <c r="AL173" i="1" s="1"/>
  <c r="X173" i="1"/>
  <c r="X174" i="1" s="1"/>
  <c r="X175" i="1" s="1"/>
  <c r="X176" i="1" s="1"/>
  <c r="X177" i="1" s="1"/>
  <c r="X178" i="1" s="1"/>
  <c r="W173" i="1"/>
  <c r="W174" i="1" s="1"/>
  <c r="W175" i="1" s="1"/>
  <c r="T173" i="1"/>
  <c r="S173" i="1"/>
  <c r="O173" i="1"/>
  <c r="N173" i="1"/>
  <c r="AX173" i="1" s="1"/>
  <c r="M173" i="1"/>
  <c r="BD172" i="1"/>
  <c r="BA172" i="1"/>
  <c r="AV172" i="1"/>
  <c r="AU172" i="1"/>
  <c r="AK172" i="1"/>
  <c r="AJ172" i="1"/>
  <c r="AI172" i="1"/>
  <c r="AH172" i="1"/>
  <c r="AF172" i="1"/>
  <c r="AM172" i="1" s="1"/>
  <c r="AE172" i="1"/>
  <c r="AL172" i="1" s="1"/>
  <c r="T172" i="1"/>
  <c r="S172" i="1"/>
  <c r="O172" i="1"/>
  <c r="N172" i="1"/>
  <c r="M172" i="1"/>
  <c r="AX172" i="1" s="1"/>
  <c r="BD171" i="1"/>
  <c r="BA171" i="1"/>
  <c r="AV171" i="1"/>
  <c r="AU171" i="1"/>
  <c r="AL171" i="1"/>
  <c r="AK171" i="1"/>
  <c r="AJ171" i="1"/>
  <c r="AI171" i="1"/>
  <c r="AH171" i="1"/>
  <c r="AE171" i="1"/>
  <c r="AF171" i="1" s="1"/>
  <c r="AM171" i="1" s="1"/>
  <c r="T171" i="1"/>
  <c r="S171" i="1"/>
  <c r="O171" i="1"/>
  <c r="N171" i="1"/>
  <c r="M171" i="1"/>
  <c r="AX171" i="1" s="1"/>
  <c r="BD170" i="1"/>
  <c r="BA170" i="1"/>
  <c r="AV170" i="1"/>
  <c r="AU170" i="1"/>
  <c r="AL170" i="1"/>
  <c r="AK170" i="1"/>
  <c r="AJ170" i="1"/>
  <c r="AI170" i="1"/>
  <c r="AH170" i="1"/>
  <c r="AE170" i="1"/>
  <c r="AF170" i="1" s="1"/>
  <c r="AM170" i="1" s="1"/>
  <c r="T170" i="1"/>
  <c r="S170" i="1"/>
  <c r="O170" i="1"/>
  <c r="N170" i="1"/>
  <c r="M170" i="1"/>
  <c r="AX170" i="1" s="1"/>
  <c r="BD169" i="1"/>
  <c r="BA169" i="1"/>
  <c r="AV169" i="1"/>
  <c r="AU169" i="1"/>
  <c r="AL169" i="1"/>
  <c r="AK169" i="1"/>
  <c r="AJ169" i="1"/>
  <c r="AI169" i="1"/>
  <c r="AH169" i="1"/>
  <c r="AE169" i="1"/>
  <c r="AF169" i="1" s="1"/>
  <c r="AM169" i="1" s="1"/>
  <c r="T169" i="1"/>
  <c r="S169" i="1"/>
  <c r="O169" i="1"/>
  <c r="N169" i="1"/>
  <c r="M169" i="1"/>
  <c r="AX169" i="1" s="1"/>
  <c r="BD168" i="1"/>
  <c r="BA168" i="1"/>
  <c r="AV168" i="1"/>
  <c r="AU168" i="1"/>
  <c r="AL168" i="1"/>
  <c r="AK168" i="1"/>
  <c r="AJ168" i="1"/>
  <c r="AI168" i="1"/>
  <c r="AH168" i="1"/>
  <c r="AE168" i="1"/>
  <c r="AF168" i="1" s="1"/>
  <c r="AM168" i="1" s="1"/>
  <c r="T168" i="1"/>
  <c r="S168" i="1"/>
  <c r="O168" i="1"/>
  <c r="N168" i="1"/>
  <c r="M168" i="1"/>
  <c r="AX168" i="1" s="1"/>
  <c r="BD167" i="1"/>
  <c r="BA167" i="1"/>
  <c r="AX167" i="1"/>
  <c r="AV167" i="1"/>
  <c r="AU167" i="1"/>
  <c r="AL167" i="1"/>
  <c r="AK167" i="1"/>
  <c r="AJ167" i="1"/>
  <c r="AI167" i="1"/>
  <c r="AH167" i="1"/>
  <c r="AF167" i="1"/>
  <c r="AM167" i="1" s="1"/>
  <c r="AE167" i="1"/>
  <c r="X167" i="1"/>
  <c r="X168" i="1" s="1"/>
  <c r="X169" i="1" s="1"/>
  <c r="X170" i="1" s="1"/>
  <c r="X171" i="1" s="1"/>
  <c r="T167" i="1"/>
  <c r="S167" i="1"/>
  <c r="O167" i="1"/>
  <c r="N167" i="1"/>
  <c r="M167" i="1"/>
  <c r="BD166" i="1"/>
  <c r="BA166" i="1"/>
  <c r="AV166" i="1"/>
  <c r="AU166" i="1"/>
  <c r="AL166" i="1"/>
  <c r="AK166" i="1"/>
  <c r="AJ166" i="1"/>
  <c r="AI166" i="1"/>
  <c r="AH166" i="1"/>
  <c r="AF166" i="1"/>
  <c r="AM166" i="1" s="1"/>
  <c r="AE166" i="1"/>
  <c r="X166" i="1"/>
  <c r="W166" i="1"/>
  <c r="W167" i="1" s="1"/>
  <c r="W168" i="1" s="1"/>
  <c r="W169" i="1" s="1"/>
  <c r="W170" i="1" s="1"/>
  <c r="W171" i="1" s="1"/>
  <c r="T166" i="1"/>
  <c r="S166" i="1"/>
  <c r="O166" i="1"/>
  <c r="N166" i="1"/>
  <c r="M166" i="1"/>
  <c r="AX166" i="1" s="1"/>
  <c r="BD165" i="1"/>
  <c r="BA165" i="1"/>
  <c r="AV165" i="1"/>
  <c r="AU165" i="1"/>
  <c r="AL165" i="1"/>
  <c r="AK165" i="1"/>
  <c r="AJ165" i="1"/>
  <c r="AI165" i="1"/>
  <c r="AH165" i="1"/>
  <c r="AF165" i="1"/>
  <c r="AM165" i="1" s="1"/>
  <c r="AE165" i="1"/>
  <c r="T165" i="1"/>
  <c r="S165" i="1"/>
  <c r="O165" i="1"/>
  <c r="N165" i="1"/>
  <c r="M165" i="1"/>
  <c r="AX165" i="1" s="1"/>
  <c r="BD164" i="1"/>
  <c r="BA164" i="1"/>
  <c r="AV164" i="1"/>
  <c r="AU164" i="1"/>
  <c r="AK164" i="1"/>
  <c r="AJ164" i="1"/>
  <c r="AI164" i="1"/>
  <c r="AH164" i="1"/>
  <c r="AE164" i="1"/>
  <c r="T164" i="1"/>
  <c r="S164" i="1"/>
  <c r="O164" i="1"/>
  <c r="N164" i="1"/>
  <c r="M164" i="1"/>
  <c r="AX164" i="1" s="1"/>
  <c r="BD163" i="1"/>
  <c r="BA163" i="1"/>
  <c r="AX163" i="1"/>
  <c r="AV163" i="1"/>
  <c r="AU163" i="1"/>
  <c r="AL163" i="1"/>
  <c r="AK163" i="1"/>
  <c r="AJ163" i="1"/>
  <c r="AI163" i="1"/>
  <c r="AH163" i="1"/>
  <c r="AE163" i="1"/>
  <c r="AF163" i="1" s="1"/>
  <c r="AM163" i="1" s="1"/>
  <c r="T163" i="1"/>
  <c r="S163" i="1"/>
  <c r="O163" i="1"/>
  <c r="N163" i="1"/>
  <c r="M163" i="1"/>
  <c r="BD162" i="1"/>
  <c r="BA162" i="1"/>
  <c r="AV162" i="1"/>
  <c r="AU162" i="1"/>
  <c r="AK162" i="1"/>
  <c r="AJ162" i="1"/>
  <c r="AI162" i="1"/>
  <c r="AH162" i="1"/>
  <c r="AE162" i="1"/>
  <c r="T162" i="1"/>
  <c r="S162" i="1"/>
  <c r="O162" i="1"/>
  <c r="N162" i="1"/>
  <c r="M162" i="1"/>
  <c r="AX162" i="1" s="1"/>
  <c r="BD161" i="1"/>
  <c r="BA161" i="1"/>
  <c r="AX161" i="1"/>
  <c r="AV161" i="1"/>
  <c r="AU161" i="1"/>
  <c r="AL161" i="1"/>
  <c r="AK161" i="1"/>
  <c r="AJ161" i="1"/>
  <c r="AI161" i="1"/>
  <c r="AH161" i="1"/>
  <c r="AE161" i="1"/>
  <c r="AF161" i="1" s="1"/>
  <c r="AM161" i="1" s="1"/>
  <c r="T161" i="1"/>
  <c r="S161" i="1"/>
  <c r="O161" i="1"/>
  <c r="N161" i="1"/>
  <c r="M161" i="1"/>
  <c r="BD160" i="1"/>
  <c r="BA160" i="1"/>
  <c r="AV160" i="1"/>
  <c r="AU160" i="1"/>
  <c r="AK160" i="1"/>
  <c r="AJ160" i="1"/>
  <c r="AI160" i="1"/>
  <c r="AH160" i="1"/>
  <c r="AE160" i="1"/>
  <c r="T160" i="1"/>
  <c r="S160" i="1"/>
  <c r="O160" i="1"/>
  <c r="N160" i="1"/>
  <c r="AX160" i="1" s="1"/>
  <c r="M160" i="1"/>
  <c r="BD159" i="1"/>
  <c r="BA159" i="1"/>
  <c r="AV159" i="1"/>
  <c r="AU159" i="1"/>
  <c r="AM159" i="1"/>
  <c r="AL159" i="1"/>
  <c r="AK159" i="1"/>
  <c r="AJ159" i="1"/>
  <c r="AI159" i="1"/>
  <c r="AH159" i="1"/>
  <c r="AE159" i="1"/>
  <c r="AF159" i="1" s="1"/>
  <c r="X159" i="1"/>
  <c r="X160" i="1" s="1"/>
  <c r="X161" i="1" s="1"/>
  <c r="X162" i="1" s="1"/>
  <c r="X163" i="1" s="1"/>
  <c r="X164" i="1" s="1"/>
  <c r="W159" i="1"/>
  <c r="W160" i="1" s="1"/>
  <c r="W161" i="1" s="1"/>
  <c r="W162" i="1" s="1"/>
  <c r="W163" i="1" s="1"/>
  <c r="W164" i="1" s="1"/>
  <c r="T159" i="1"/>
  <c r="S159" i="1"/>
  <c r="O159" i="1"/>
  <c r="N159" i="1"/>
  <c r="M159" i="1"/>
  <c r="AX159" i="1" s="1"/>
  <c r="BD158" i="1"/>
  <c r="BA158" i="1"/>
  <c r="AV158" i="1"/>
  <c r="AU158" i="1"/>
  <c r="AM158" i="1"/>
  <c r="AK158" i="1"/>
  <c r="AJ158" i="1"/>
  <c r="AI158" i="1"/>
  <c r="AH158" i="1"/>
  <c r="AE158" i="1"/>
  <c r="AF158" i="1" s="1"/>
  <c r="T158" i="1"/>
  <c r="S158" i="1"/>
  <c r="O158" i="1"/>
  <c r="N158" i="1"/>
  <c r="AX158" i="1" s="1"/>
  <c r="M158" i="1"/>
  <c r="BD157" i="1"/>
  <c r="BA157" i="1"/>
  <c r="AV157" i="1"/>
  <c r="AU157" i="1"/>
  <c r="AK157" i="1"/>
  <c r="AJ157" i="1"/>
  <c r="AI157" i="1"/>
  <c r="AH157" i="1"/>
  <c r="AF157" i="1"/>
  <c r="AM157" i="1" s="1"/>
  <c r="AE157" i="1"/>
  <c r="AL157" i="1" s="1"/>
  <c r="T157" i="1"/>
  <c r="S157" i="1"/>
  <c r="O157" i="1"/>
  <c r="N157" i="1"/>
  <c r="AX157" i="1" s="1"/>
  <c r="M157" i="1"/>
  <c r="BD156" i="1"/>
  <c r="BA156" i="1"/>
  <c r="AV156" i="1"/>
  <c r="AU156" i="1"/>
  <c r="AM156" i="1"/>
  <c r="AL156" i="1"/>
  <c r="AK156" i="1"/>
  <c r="AJ156" i="1"/>
  <c r="AI156" i="1"/>
  <c r="AH156" i="1"/>
  <c r="AE156" i="1"/>
  <c r="AF156" i="1" s="1"/>
  <c r="T156" i="1"/>
  <c r="S156" i="1"/>
  <c r="O156" i="1"/>
  <c r="N156" i="1"/>
  <c r="M156" i="1"/>
  <c r="BD155" i="1"/>
  <c r="BA155" i="1"/>
  <c r="AV155" i="1"/>
  <c r="AU155" i="1"/>
  <c r="AM155" i="1"/>
  <c r="AL155" i="1"/>
  <c r="AK155" i="1"/>
  <c r="AJ155" i="1"/>
  <c r="AI155" i="1"/>
  <c r="AH155" i="1"/>
  <c r="AE155" i="1"/>
  <c r="AF155" i="1" s="1"/>
  <c r="T155" i="1"/>
  <c r="S155" i="1"/>
  <c r="O155" i="1"/>
  <c r="N155" i="1"/>
  <c r="M155" i="1"/>
  <c r="AX155" i="1" s="1"/>
  <c r="BD154" i="1"/>
  <c r="BA154" i="1"/>
  <c r="AV154" i="1"/>
  <c r="AU154" i="1"/>
  <c r="AK154" i="1"/>
  <c r="AJ154" i="1"/>
  <c r="AI154" i="1"/>
  <c r="AH154" i="1"/>
  <c r="AE154" i="1"/>
  <c r="AF154" i="1" s="1"/>
  <c r="AM154" i="1" s="1"/>
  <c r="T154" i="1"/>
  <c r="S154" i="1"/>
  <c r="O154" i="1"/>
  <c r="N154" i="1"/>
  <c r="M154" i="1"/>
  <c r="AX154" i="1" s="1"/>
  <c r="BD153" i="1"/>
  <c r="BA153" i="1"/>
  <c r="AV153" i="1"/>
  <c r="AU153" i="1"/>
  <c r="AL153" i="1"/>
  <c r="AK153" i="1"/>
  <c r="AJ153" i="1"/>
  <c r="AI153" i="1"/>
  <c r="AH153" i="1"/>
  <c r="AE153" i="1"/>
  <c r="AF153" i="1" s="1"/>
  <c r="AM153" i="1" s="1"/>
  <c r="T153" i="1"/>
  <c r="S153" i="1"/>
  <c r="O153" i="1"/>
  <c r="N153" i="1"/>
  <c r="M153" i="1"/>
  <c r="AX153" i="1" s="1"/>
  <c r="BD152" i="1"/>
  <c r="BA152" i="1"/>
  <c r="AV152" i="1"/>
  <c r="AU152" i="1"/>
  <c r="AK152" i="1"/>
  <c r="AJ152" i="1"/>
  <c r="AI152" i="1"/>
  <c r="AH152" i="1"/>
  <c r="AE152" i="1"/>
  <c r="X152" i="1"/>
  <c r="X153" i="1" s="1"/>
  <c r="X154" i="1" s="1"/>
  <c r="X155" i="1" s="1"/>
  <c r="X156" i="1" s="1"/>
  <c r="X157" i="1" s="1"/>
  <c r="W152" i="1"/>
  <c r="W153" i="1" s="1"/>
  <c r="W154" i="1" s="1"/>
  <c r="W155" i="1" s="1"/>
  <c r="W156" i="1" s="1"/>
  <c r="W157" i="1" s="1"/>
  <c r="T152" i="1"/>
  <c r="S152" i="1"/>
  <c r="O152" i="1"/>
  <c r="N152" i="1"/>
  <c r="M152" i="1"/>
  <c r="BD151" i="1"/>
  <c r="BA151" i="1"/>
  <c r="AV151" i="1"/>
  <c r="AU151" i="1"/>
  <c r="AM151" i="1"/>
  <c r="AL151" i="1"/>
  <c r="AK151" i="1"/>
  <c r="AJ151" i="1"/>
  <c r="AI151" i="1"/>
  <c r="AH151" i="1"/>
  <c r="AE151" i="1"/>
  <c r="AF151" i="1" s="1"/>
  <c r="T151" i="1"/>
  <c r="S151" i="1"/>
  <c r="O151" i="1"/>
  <c r="N151" i="1"/>
  <c r="AX151" i="1" s="1"/>
  <c r="M151" i="1"/>
  <c r="BD150" i="1"/>
  <c r="BA150" i="1"/>
  <c r="AV150" i="1"/>
  <c r="AU150" i="1"/>
  <c r="AK150" i="1"/>
  <c r="AJ150" i="1"/>
  <c r="AI150" i="1"/>
  <c r="AH150" i="1"/>
  <c r="AE150" i="1"/>
  <c r="AF150" i="1" s="1"/>
  <c r="AM150" i="1" s="1"/>
  <c r="T150" i="1"/>
  <c r="S150" i="1"/>
  <c r="O150" i="1"/>
  <c r="N150" i="1"/>
  <c r="M150" i="1"/>
  <c r="AX150" i="1" s="1"/>
  <c r="BD149" i="1"/>
  <c r="BA149" i="1"/>
  <c r="AV149" i="1"/>
  <c r="AU149" i="1"/>
  <c r="AK149" i="1"/>
  <c r="AJ149" i="1"/>
  <c r="AI149" i="1"/>
  <c r="AH149" i="1"/>
  <c r="AE149" i="1"/>
  <c r="AF149" i="1" s="1"/>
  <c r="AM149" i="1" s="1"/>
  <c r="T149" i="1"/>
  <c r="S149" i="1"/>
  <c r="O149" i="1"/>
  <c r="N149" i="1"/>
  <c r="M149" i="1"/>
  <c r="AX149" i="1" s="1"/>
  <c r="BD148" i="1"/>
  <c r="BA148" i="1"/>
  <c r="AV148" i="1"/>
  <c r="AU148" i="1"/>
  <c r="AK148" i="1"/>
  <c r="AJ148" i="1"/>
  <c r="AI148" i="1"/>
  <c r="AH148" i="1"/>
  <c r="AE148" i="1"/>
  <c r="AF148" i="1" s="1"/>
  <c r="AM148" i="1" s="1"/>
  <c r="T148" i="1"/>
  <c r="S148" i="1"/>
  <c r="O148" i="1"/>
  <c r="N148" i="1"/>
  <c r="M148" i="1"/>
  <c r="AX148" i="1" s="1"/>
  <c r="BD147" i="1"/>
  <c r="BA147" i="1"/>
  <c r="AV147" i="1"/>
  <c r="AU147" i="1"/>
  <c r="AK147" i="1"/>
  <c r="AJ147" i="1"/>
  <c r="AI147" i="1"/>
  <c r="AH147" i="1"/>
  <c r="AE147" i="1"/>
  <c r="AF147" i="1" s="1"/>
  <c r="AM147" i="1" s="1"/>
  <c r="T147" i="1"/>
  <c r="S147" i="1"/>
  <c r="O147" i="1"/>
  <c r="N147" i="1"/>
  <c r="M147" i="1"/>
  <c r="AX147" i="1" s="1"/>
  <c r="BD146" i="1"/>
  <c r="BA146" i="1"/>
  <c r="AV146" i="1"/>
  <c r="AU146" i="1"/>
  <c r="AK146" i="1"/>
  <c r="AJ146" i="1"/>
  <c r="AI146" i="1"/>
  <c r="AH146" i="1"/>
  <c r="AE146" i="1"/>
  <c r="AF146" i="1" s="1"/>
  <c r="AM146" i="1" s="1"/>
  <c r="W146" i="1"/>
  <c r="W147" i="1" s="1"/>
  <c r="W148" i="1" s="1"/>
  <c r="W149" i="1" s="1"/>
  <c r="W150" i="1" s="1"/>
  <c r="T146" i="1"/>
  <c r="S146" i="1"/>
  <c r="O146" i="1"/>
  <c r="N146" i="1"/>
  <c r="M146" i="1"/>
  <c r="AX146" i="1" s="1"/>
  <c r="BD145" i="1"/>
  <c r="BA145" i="1"/>
  <c r="AV145" i="1"/>
  <c r="AU145" i="1"/>
  <c r="AK145" i="1"/>
  <c r="AJ145" i="1"/>
  <c r="AI145" i="1"/>
  <c r="AH145" i="1"/>
  <c r="AE145" i="1"/>
  <c r="AF145" i="1" s="1"/>
  <c r="AM145" i="1" s="1"/>
  <c r="X145" i="1"/>
  <c r="X146" i="1" s="1"/>
  <c r="X147" i="1" s="1"/>
  <c r="X148" i="1" s="1"/>
  <c r="X149" i="1" s="1"/>
  <c r="X150" i="1" s="1"/>
  <c r="W145" i="1"/>
  <c r="T145" i="1"/>
  <c r="S145" i="1"/>
  <c r="O145" i="1"/>
  <c r="N145" i="1"/>
  <c r="M145" i="1"/>
  <c r="AX145" i="1" s="1"/>
  <c r="BD144" i="1"/>
  <c r="BA144" i="1"/>
  <c r="AV144" i="1"/>
  <c r="AU144" i="1"/>
  <c r="AK144" i="1"/>
  <c r="AJ144" i="1"/>
  <c r="AI144" i="1"/>
  <c r="AH144" i="1"/>
  <c r="AE144" i="1"/>
  <c r="AF144" i="1" s="1"/>
  <c r="AM144" i="1" s="1"/>
  <c r="T144" i="1"/>
  <c r="S144" i="1"/>
  <c r="O144" i="1"/>
  <c r="N144" i="1"/>
  <c r="M144" i="1"/>
  <c r="AX144" i="1" s="1"/>
  <c r="BD143" i="1"/>
  <c r="BA143" i="1"/>
  <c r="AX143" i="1"/>
  <c r="AV143" i="1"/>
  <c r="AU143" i="1"/>
  <c r="AK143" i="1"/>
  <c r="AJ143" i="1"/>
  <c r="AI143" i="1"/>
  <c r="AH143" i="1"/>
  <c r="AF143" i="1"/>
  <c r="AM143" i="1" s="1"/>
  <c r="AE143" i="1"/>
  <c r="AL143" i="1" s="1"/>
  <c r="T143" i="1"/>
  <c r="S143" i="1"/>
  <c r="O143" i="1"/>
  <c r="N143" i="1"/>
  <c r="M143" i="1"/>
  <c r="BD142" i="1"/>
  <c r="BA142" i="1"/>
  <c r="AX142" i="1"/>
  <c r="AV142" i="1"/>
  <c r="AU142" i="1"/>
  <c r="AK142" i="1"/>
  <c r="AJ142" i="1"/>
  <c r="AI142" i="1"/>
  <c r="AH142" i="1"/>
  <c r="AF142" i="1"/>
  <c r="AM142" i="1" s="1"/>
  <c r="AE142" i="1"/>
  <c r="AL142" i="1" s="1"/>
  <c r="T142" i="1"/>
  <c r="S142" i="1"/>
  <c r="O142" i="1"/>
  <c r="N142" i="1"/>
  <c r="M142" i="1"/>
  <c r="BD141" i="1"/>
  <c r="BA141" i="1"/>
  <c r="AX141" i="1"/>
  <c r="AV141" i="1"/>
  <c r="AU141" i="1"/>
  <c r="AK141" i="1"/>
  <c r="AJ141" i="1"/>
  <c r="AI141" i="1"/>
  <c r="AH141" i="1"/>
  <c r="AF141" i="1"/>
  <c r="AM141" i="1" s="1"/>
  <c r="AE141" i="1"/>
  <c r="AL141" i="1" s="1"/>
  <c r="T141" i="1"/>
  <c r="S141" i="1"/>
  <c r="O141" i="1"/>
  <c r="N141" i="1"/>
  <c r="M141" i="1"/>
  <c r="BD140" i="1"/>
  <c r="BA140" i="1"/>
  <c r="AX140" i="1"/>
  <c r="AV140" i="1"/>
  <c r="AU140" i="1"/>
  <c r="AK140" i="1"/>
  <c r="AJ140" i="1"/>
  <c r="AI140" i="1"/>
  <c r="AH140" i="1"/>
  <c r="AF140" i="1"/>
  <c r="AM140" i="1" s="1"/>
  <c r="AE140" i="1"/>
  <c r="AL140" i="1" s="1"/>
  <c r="T140" i="1"/>
  <c r="S140" i="1"/>
  <c r="O140" i="1"/>
  <c r="N140" i="1"/>
  <c r="M140" i="1"/>
  <c r="BD139" i="1"/>
  <c r="BA139" i="1"/>
  <c r="AX139" i="1"/>
  <c r="AV139" i="1"/>
  <c r="AU139" i="1"/>
  <c r="AK139" i="1"/>
  <c r="AJ139" i="1"/>
  <c r="AI139" i="1"/>
  <c r="AH139" i="1"/>
  <c r="AF139" i="1"/>
  <c r="AM139" i="1" s="1"/>
  <c r="AE139" i="1"/>
  <c r="AL139" i="1" s="1"/>
  <c r="T139" i="1"/>
  <c r="S139" i="1"/>
  <c r="O139" i="1"/>
  <c r="N139" i="1"/>
  <c r="M139" i="1"/>
  <c r="BD138" i="1"/>
  <c r="BA138" i="1"/>
  <c r="AX138" i="1"/>
  <c r="AV138" i="1"/>
  <c r="AU138" i="1"/>
  <c r="AK138" i="1"/>
  <c r="AJ138" i="1"/>
  <c r="AI138" i="1"/>
  <c r="AH138" i="1"/>
  <c r="AF138" i="1"/>
  <c r="AM138" i="1" s="1"/>
  <c r="AE138" i="1"/>
  <c r="AL138" i="1" s="1"/>
  <c r="X138" i="1"/>
  <c r="X139" i="1" s="1"/>
  <c r="X140" i="1" s="1"/>
  <c r="X141" i="1" s="1"/>
  <c r="X142" i="1" s="1"/>
  <c r="X143" i="1" s="1"/>
  <c r="W138" i="1"/>
  <c r="W139" i="1" s="1"/>
  <c r="W140" i="1" s="1"/>
  <c r="W141" i="1" s="1"/>
  <c r="W142" i="1" s="1"/>
  <c r="W143" i="1" s="1"/>
  <c r="T138" i="1"/>
  <c r="S138" i="1"/>
  <c r="O138" i="1"/>
  <c r="N138" i="1"/>
  <c r="M138" i="1"/>
  <c r="BD137" i="1"/>
  <c r="BA137" i="1"/>
  <c r="AX137" i="1"/>
  <c r="AV137" i="1"/>
  <c r="AU137" i="1"/>
  <c r="AK137" i="1"/>
  <c r="AJ137" i="1"/>
  <c r="AI137" i="1"/>
  <c r="AH137" i="1"/>
  <c r="AF137" i="1"/>
  <c r="AM137" i="1" s="1"/>
  <c r="AE137" i="1"/>
  <c r="AL137" i="1" s="1"/>
  <c r="AC526" i="1" s="1"/>
  <c r="T137" i="1"/>
  <c r="S137" i="1"/>
  <c r="O137" i="1"/>
  <c r="N137" i="1"/>
  <c r="M137" i="1"/>
  <c r="BD136" i="1"/>
  <c r="BA136" i="1"/>
  <c r="AV136" i="1"/>
  <c r="AU136" i="1"/>
  <c r="AL136" i="1"/>
  <c r="AK136" i="1"/>
  <c r="AJ136" i="1"/>
  <c r="AI136" i="1"/>
  <c r="AH136" i="1"/>
  <c r="AF136" i="1"/>
  <c r="AM136" i="1" s="1"/>
  <c r="AE136" i="1"/>
  <c r="T136" i="1"/>
  <c r="S136" i="1"/>
  <c r="O136" i="1"/>
  <c r="N136" i="1"/>
  <c r="M136" i="1"/>
  <c r="AX136" i="1" s="1"/>
  <c r="BD135" i="1"/>
  <c r="BA135" i="1"/>
  <c r="AV135" i="1"/>
  <c r="AU135" i="1"/>
  <c r="AL135" i="1"/>
  <c r="AK135" i="1"/>
  <c r="AJ135" i="1"/>
  <c r="AI135" i="1"/>
  <c r="AH135" i="1"/>
  <c r="AF135" i="1"/>
  <c r="AM135" i="1" s="1"/>
  <c r="AE135" i="1"/>
  <c r="T135" i="1"/>
  <c r="S135" i="1"/>
  <c r="O135" i="1"/>
  <c r="N135" i="1"/>
  <c r="M135" i="1"/>
  <c r="AX135" i="1" s="1"/>
  <c r="BD134" i="1"/>
  <c r="BA134" i="1"/>
  <c r="AV134" i="1"/>
  <c r="AU134" i="1"/>
  <c r="AL134" i="1"/>
  <c r="AK134" i="1"/>
  <c r="AJ134" i="1"/>
  <c r="AI134" i="1"/>
  <c r="AH134" i="1"/>
  <c r="AF134" i="1"/>
  <c r="AM134" i="1" s="1"/>
  <c r="AE134" i="1"/>
  <c r="T134" i="1"/>
  <c r="S134" i="1"/>
  <c r="O134" i="1"/>
  <c r="N134" i="1"/>
  <c r="M134" i="1"/>
  <c r="AX134" i="1" s="1"/>
  <c r="BD133" i="1"/>
  <c r="BA133" i="1"/>
  <c r="AV133" i="1"/>
  <c r="AU133" i="1"/>
  <c r="AL133" i="1"/>
  <c r="AK133" i="1"/>
  <c r="AJ133" i="1"/>
  <c r="AI133" i="1"/>
  <c r="AH133" i="1"/>
  <c r="AF133" i="1"/>
  <c r="AM133" i="1" s="1"/>
  <c r="AE133" i="1"/>
  <c r="T133" i="1"/>
  <c r="S133" i="1"/>
  <c r="O133" i="1"/>
  <c r="N133" i="1"/>
  <c r="M133" i="1"/>
  <c r="AX133" i="1" s="1"/>
  <c r="BD132" i="1"/>
  <c r="BA132" i="1"/>
  <c r="AV132" i="1"/>
  <c r="AU132" i="1"/>
  <c r="AL132" i="1"/>
  <c r="AK132" i="1"/>
  <c r="AJ132" i="1"/>
  <c r="AI132" i="1"/>
  <c r="AH132" i="1"/>
  <c r="AF132" i="1"/>
  <c r="AM132" i="1" s="1"/>
  <c r="AE132" i="1"/>
  <c r="T132" i="1"/>
  <c r="S132" i="1"/>
  <c r="O132" i="1"/>
  <c r="N132" i="1"/>
  <c r="M132" i="1"/>
  <c r="AX132" i="1" s="1"/>
  <c r="BD131" i="1"/>
  <c r="BA131" i="1"/>
  <c r="AV131" i="1"/>
  <c r="AU131" i="1"/>
  <c r="AL131" i="1"/>
  <c r="AK131" i="1"/>
  <c r="AJ131" i="1"/>
  <c r="AI131" i="1"/>
  <c r="AH131" i="1"/>
  <c r="AF131" i="1"/>
  <c r="AM131" i="1" s="1"/>
  <c r="AE131" i="1"/>
  <c r="X131" i="1"/>
  <c r="X132" i="1" s="1"/>
  <c r="X133" i="1" s="1"/>
  <c r="X134" i="1" s="1"/>
  <c r="X135" i="1" s="1"/>
  <c r="X136" i="1" s="1"/>
  <c r="W131" i="1"/>
  <c r="W132" i="1" s="1"/>
  <c r="W133" i="1" s="1"/>
  <c r="W134" i="1" s="1"/>
  <c r="W135" i="1" s="1"/>
  <c r="W136" i="1" s="1"/>
  <c r="T131" i="1"/>
  <c r="S131" i="1"/>
  <c r="O131" i="1"/>
  <c r="N131" i="1"/>
  <c r="M131" i="1"/>
  <c r="AX131" i="1" s="1"/>
  <c r="BD130" i="1"/>
  <c r="BA130" i="1"/>
  <c r="AV130" i="1"/>
  <c r="AU130" i="1"/>
  <c r="AL130" i="1"/>
  <c r="AC525" i="1" s="1"/>
  <c r="AK130" i="1"/>
  <c r="AJ130" i="1"/>
  <c r="AI130" i="1"/>
  <c r="AH130" i="1"/>
  <c r="AF130" i="1"/>
  <c r="AM130" i="1" s="1"/>
  <c r="AD525" i="1" s="1"/>
  <c r="AE130" i="1"/>
  <c r="T130" i="1"/>
  <c r="S130" i="1"/>
  <c r="O130" i="1"/>
  <c r="N130" i="1"/>
  <c r="M130" i="1"/>
  <c r="BD129" i="1"/>
  <c r="BA129" i="1"/>
  <c r="AV129" i="1"/>
  <c r="AU129" i="1"/>
  <c r="AK129" i="1"/>
  <c r="AJ129" i="1"/>
  <c r="AI129" i="1"/>
  <c r="AH129" i="1"/>
  <c r="AE129" i="1"/>
  <c r="T129" i="1"/>
  <c r="S129" i="1"/>
  <c r="O129" i="1"/>
  <c r="N129" i="1"/>
  <c r="M129" i="1"/>
  <c r="BD128" i="1"/>
  <c r="BA128" i="1"/>
  <c r="AV128" i="1"/>
  <c r="AU128" i="1"/>
  <c r="AM128" i="1"/>
  <c r="AK128" i="1"/>
  <c r="AJ128" i="1"/>
  <c r="AI128" i="1"/>
  <c r="AH128" i="1"/>
  <c r="AE128" i="1"/>
  <c r="AF128" i="1" s="1"/>
  <c r="T128" i="1"/>
  <c r="S128" i="1"/>
  <c r="O128" i="1"/>
  <c r="N128" i="1"/>
  <c r="M128" i="1"/>
  <c r="BD127" i="1"/>
  <c r="BA127" i="1"/>
  <c r="AV127" i="1"/>
  <c r="AU127" i="1"/>
  <c r="AM127" i="1"/>
  <c r="AL127" i="1"/>
  <c r="AK127" i="1"/>
  <c r="AJ127" i="1"/>
  <c r="AI127" i="1"/>
  <c r="AH127" i="1"/>
  <c r="AE127" i="1"/>
  <c r="AF127" i="1" s="1"/>
  <c r="T127" i="1"/>
  <c r="S127" i="1"/>
  <c r="O127" i="1"/>
  <c r="N127" i="1"/>
  <c r="M127" i="1"/>
  <c r="BD126" i="1"/>
  <c r="BA126" i="1"/>
  <c r="AV126" i="1"/>
  <c r="AU126" i="1"/>
  <c r="AK126" i="1"/>
  <c r="AJ126" i="1"/>
  <c r="AI126" i="1"/>
  <c r="AH126" i="1"/>
  <c r="AE126" i="1"/>
  <c r="AF126" i="1" s="1"/>
  <c r="AM126" i="1" s="1"/>
  <c r="T126" i="1"/>
  <c r="S126" i="1"/>
  <c r="O126" i="1"/>
  <c r="N126" i="1"/>
  <c r="M126" i="1"/>
  <c r="AX126" i="1" s="1"/>
  <c r="BD125" i="1"/>
  <c r="BA125" i="1"/>
  <c r="AV125" i="1"/>
  <c r="AU125" i="1"/>
  <c r="AM125" i="1"/>
  <c r="AL125" i="1"/>
  <c r="AK125" i="1"/>
  <c r="AJ125" i="1"/>
  <c r="AI125" i="1"/>
  <c r="AH125" i="1"/>
  <c r="AE125" i="1"/>
  <c r="AF125" i="1" s="1"/>
  <c r="X125" i="1"/>
  <c r="X126" i="1" s="1"/>
  <c r="X127" i="1" s="1"/>
  <c r="X128" i="1" s="1"/>
  <c r="X129" i="1" s="1"/>
  <c r="T125" i="1"/>
  <c r="S125" i="1"/>
  <c r="O125" i="1"/>
  <c r="N125" i="1"/>
  <c r="M125" i="1"/>
  <c r="AX125" i="1" s="1"/>
  <c r="BD124" i="1"/>
  <c r="BA124" i="1"/>
  <c r="AV124" i="1"/>
  <c r="AU124" i="1"/>
  <c r="AK124" i="1"/>
  <c r="AJ124" i="1"/>
  <c r="AI124" i="1"/>
  <c r="AH124" i="1"/>
  <c r="AE124" i="1"/>
  <c r="X124" i="1"/>
  <c r="W124" i="1"/>
  <c r="W125" i="1" s="1"/>
  <c r="W126" i="1" s="1"/>
  <c r="W127" i="1" s="1"/>
  <c r="W128" i="1" s="1"/>
  <c r="W129" i="1" s="1"/>
  <c r="T124" i="1"/>
  <c r="S124" i="1"/>
  <c r="O124" i="1"/>
  <c r="N124" i="1"/>
  <c r="M124" i="1"/>
  <c r="BD123" i="1"/>
  <c r="BA123" i="1"/>
  <c r="AV123" i="1"/>
  <c r="AU123" i="1"/>
  <c r="AM123" i="1"/>
  <c r="AL123" i="1"/>
  <c r="AK123" i="1"/>
  <c r="AJ123" i="1"/>
  <c r="AI123" i="1"/>
  <c r="AH123" i="1"/>
  <c r="AE123" i="1"/>
  <c r="AF123" i="1" s="1"/>
  <c r="T123" i="1"/>
  <c r="S123" i="1"/>
  <c r="O123" i="1"/>
  <c r="N123" i="1"/>
  <c r="AX123" i="1" s="1"/>
  <c r="M123" i="1"/>
  <c r="BD122" i="1"/>
  <c r="BA122" i="1"/>
  <c r="AV122" i="1"/>
  <c r="AU122" i="1"/>
  <c r="AK122" i="1"/>
  <c r="AJ122" i="1"/>
  <c r="AI122" i="1"/>
  <c r="AH122" i="1"/>
  <c r="AE122" i="1"/>
  <c r="AF122" i="1" s="1"/>
  <c r="AM122" i="1" s="1"/>
  <c r="T122" i="1"/>
  <c r="S122" i="1"/>
  <c r="O122" i="1"/>
  <c r="N122" i="1"/>
  <c r="M122" i="1"/>
  <c r="AX122" i="1" s="1"/>
  <c r="BD121" i="1"/>
  <c r="BA121" i="1"/>
  <c r="AV121" i="1"/>
  <c r="AU121" i="1"/>
  <c r="AK121" i="1"/>
  <c r="AJ121" i="1"/>
  <c r="AI121" i="1"/>
  <c r="AH121" i="1"/>
  <c r="AE121" i="1"/>
  <c r="AF121" i="1" s="1"/>
  <c r="AM121" i="1" s="1"/>
  <c r="T121" i="1"/>
  <c r="S121" i="1"/>
  <c r="O121" i="1"/>
  <c r="N121" i="1"/>
  <c r="M121" i="1"/>
  <c r="AX121" i="1" s="1"/>
  <c r="BD120" i="1"/>
  <c r="BA120" i="1"/>
  <c r="AV120" i="1"/>
  <c r="AU120" i="1"/>
  <c r="AK120" i="1"/>
  <c r="AJ120" i="1"/>
  <c r="AI120" i="1"/>
  <c r="AH120" i="1"/>
  <c r="AE120" i="1"/>
  <c r="AF120" i="1" s="1"/>
  <c r="AM120" i="1" s="1"/>
  <c r="W120" i="1"/>
  <c r="W121" i="1" s="1"/>
  <c r="W122" i="1" s="1"/>
  <c r="T120" i="1"/>
  <c r="S120" i="1"/>
  <c r="O120" i="1"/>
  <c r="N120" i="1"/>
  <c r="M120" i="1"/>
  <c r="AX120" i="1" s="1"/>
  <c r="BD119" i="1"/>
  <c r="BA119" i="1"/>
  <c r="AV119" i="1"/>
  <c r="AU119" i="1"/>
  <c r="AK119" i="1"/>
  <c r="AJ119" i="1"/>
  <c r="AI119" i="1"/>
  <c r="AH119" i="1"/>
  <c r="AE119" i="1"/>
  <c r="AF119" i="1" s="1"/>
  <c r="AM119" i="1" s="1"/>
  <c r="T119" i="1"/>
  <c r="S119" i="1"/>
  <c r="O119" i="1"/>
  <c r="N119" i="1"/>
  <c r="M119" i="1"/>
  <c r="AX119" i="1" s="1"/>
  <c r="BD118" i="1"/>
  <c r="BA118" i="1"/>
  <c r="AV118" i="1"/>
  <c r="AU118" i="1"/>
  <c r="AK118" i="1"/>
  <c r="AJ118" i="1"/>
  <c r="AI118" i="1"/>
  <c r="AH118" i="1"/>
  <c r="AE118" i="1"/>
  <c r="W118" i="1"/>
  <c r="W119" i="1" s="1"/>
  <c r="T118" i="1"/>
  <c r="S118" i="1"/>
  <c r="O118" i="1"/>
  <c r="N118" i="1"/>
  <c r="M118" i="1"/>
  <c r="AX118" i="1" s="1"/>
  <c r="BD117" i="1"/>
  <c r="BA117" i="1"/>
  <c r="AV117" i="1"/>
  <c r="AU117" i="1"/>
  <c r="AK117" i="1"/>
  <c r="AJ117" i="1"/>
  <c r="AI117" i="1"/>
  <c r="AH117" i="1"/>
  <c r="AE117" i="1"/>
  <c r="X117" i="1"/>
  <c r="X118" i="1" s="1"/>
  <c r="X119" i="1" s="1"/>
  <c r="X120" i="1" s="1"/>
  <c r="X121" i="1" s="1"/>
  <c r="X122" i="1" s="1"/>
  <c r="W117" i="1"/>
  <c r="T117" i="1"/>
  <c r="S117" i="1"/>
  <c r="O117" i="1"/>
  <c r="N117" i="1"/>
  <c r="M117" i="1"/>
  <c r="BD116" i="1"/>
  <c r="BA116" i="1"/>
  <c r="AV116" i="1"/>
  <c r="AU116" i="1"/>
  <c r="AK116" i="1"/>
  <c r="AJ116" i="1"/>
  <c r="AI116" i="1"/>
  <c r="AH116" i="1"/>
  <c r="AE116" i="1"/>
  <c r="T116" i="1"/>
  <c r="S116" i="1"/>
  <c r="O116" i="1"/>
  <c r="N116" i="1"/>
  <c r="M116" i="1"/>
  <c r="AX116" i="1" s="1"/>
  <c r="BD115" i="1"/>
  <c r="BA115" i="1"/>
  <c r="AX115" i="1"/>
  <c r="AV115" i="1"/>
  <c r="AU115" i="1"/>
  <c r="AK115" i="1"/>
  <c r="AJ115" i="1"/>
  <c r="AI115" i="1"/>
  <c r="AH115" i="1"/>
  <c r="AF115" i="1"/>
  <c r="AM115" i="1" s="1"/>
  <c r="AE115" i="1"/>
  <c r="AL115" i="1" s="1"/>
  <c r="T115" i="1"/>
  <c r="S115" i="1"/>
  <c r="O115" i="1"/>
  <c r="N115" i="1"/>
  <c r="M115" i="1"/>
  <c r="BD114" i="1"/>
  <c r="BA114" i="1"/>
  <c r="AX114" i="1"/>
  <c r="AV114" i="1"/>
  <c r="AU114" i="1"/>
  <c r="AK114" i="1"/>
  <c r="AJ114" i="1"/>
  <c r="AI114" i="1"/>
  <c r="AH114" i="1"/>
  <c r="AF114" i="1"/>
  <c r="AM114" i="1" s="1"/>
  <c r="AE114" i="1"/>
  <c r="AL114" i="1" s="1"/>
  <c r="T114" i="1"/>
  <c r="S114" i="1"/>
  <c r="O114" i="1"/>
  <c r="N114" i="1"/>
  <c r="M114" i="1"/>
  <c r="BD113" i="1"/>
  <c r="BA113" i="1"/>
  <c r="AX113" i="1"/>
  <c r="AV113" i="1"/>
  <c r="AU113" i="1"/>
  <c r="AK113" i="1"/>
  <c r="AJ113" i="1"/>
  <c r="AI113" i="1"/>
  <c r="AH113" i="1"/>
  <c r="AF113" i="1"/>
  <c r="AM113" i="1" s="1"/>
  <c r="AE113" i="1"/>
  <c r="AL113" i="1" s="1"/>
  <c r="T113" i="1"/>
  <c r="S113" i="1"/>
  <c r="O113" i="1"/>
  <c r="N113" i="1"/>
  <c r="M113" i="1"/>
  <c r="BD112" i="1"/>
  <c r="BA112" i="1"/>
  <c r="AX112" i="1"/>
  <c r="AV112" i="1"/>
  <c r="AU112" i="1"/>
  <c r="AK112" i="1"/>
  <c r="AJ112" i="1"/>
  <c r="AI112" i="1"/>
  <c r="AH112" i="1"/>
  <c r="AF112" i="1"/>
  <c r="AM112" i="1" s="1"/>
  <c r="AE112" i="1"/>
  <c r="AL112" i="1" s="1"/>
  <c r="W112" i="1"/>
  <c r="W113" i="1" s="1"/>
  <c r="W114" i="1" s="1"/>
  <c r="W115" i="1" s="1"/>
  <c r="T112" i="1"/>
  <c r="S112" i="1"/>
  <c r="O112" i="1"/>
  <c r="N112" i="1"/>
  <c r="M112" i="1"/>
  <c r="BD111" i="1"/>
  <c r="BA111" i="1"/>
  <c r="AX111" i="1"/>
  <c r="AV111" i="1"/>
  <c r="AU111" i="1"/>
  <c r="AK111" i="1"/>
  <c r="AJ111" i="1"/>
  <c r="AI111" i="1"/>
  <c r="AH111" i="1"/>
  <c r="AF111" i="1"/>
  <c r="AM111" i="1" s="1"/>
  <c r="AE111" i="1"/>
  <c r="AL111" i="1" s="1"/>
  <c r="T111" i="1"/>
  <c r="S111" i="1"/>
  <c r="O111" i="1"/>
  <c r="N111" i="1"/>
  <c r="M111" i="1"/>
  <c r="BD110" i="1"/>
  <c r="BA110" i="1"/>
  <c r="AX110" i="1"/>
  <c r="AV110" i="1"/>
  <c r="AU110" i="1"/>
  <c r="AK110" i="1"/>
  <c r="AJ110" i="1"/>
  <c r="AI110" i="1"/>
  <c r="AH110" i="1"/>
  <c r="AF110" i="1"/>
  <c r="AM110" i="1" s="1"/>
  <c r="AE110" i="1"/>
  <c r="AL110" i="1" s="1"/>
  <c r="X110" i="1"/>
  <c r="X111" i="1" s="1"/>
  <c r="X112" i="1" s="1"/>
  <c r="X113" i="1" s="1"/>
  <c r="X114" i="1" s="1"/>
  <c r="X115" i="1" s="1"/>
  <c r="W110" i="1"/>
  <c r="W111" i="1" s="1"/>
  <c r="T110" i="1"/>
  <c r="S110" i="1"/>
  <c r="O110" i="1"/>
  <c r="N110" i="1"/>
  <c r="M110" i="1"/>
  <c r="BD109" i="1"/>
  <c r="BA109" i="1"/>
  <c r="AV109" i="1"/>
  <c r="AU109" i="1"/>
  <c r="AK109" i="1"/>
  <c r="AJ109" i="1"/>
  <c r="AI109" i="1"/>
  <c r="AH109" i="1"/>
  <c r="AF109" i="1"/>
  <c r="AM109" i="1" s="1"/>
  <c r="AE109" i="1"/>
  <c r="AL109" i="1" s="1"/>
  <c r="T109" i="1"/>
  <c r="S109" i="1"/>
  <c r="O109" i="1"/>
  <c r="N109" i="1"/>
  <c r="M109" i="1"/>
  <c r="AX109" i="1" s="1"/>
  <c r="BD108" i="1"/>
  <c r="BA108" i="1"/>
  <c r="AV108" i="1"/>
  <c r="AU108" i="1"/>
  <c r="AL108" i="1"/>
  <c r="AK108" i="1"/>
  <c r="AJ108" i="1"/>
  <c r="AI108" i="1"/>
  <c r="AH108" i="1"/>
  <c r="AF108" i="1"/>
  <c r="AM108" i="1" s="1"/>
  <c r="AE108" i="1"/>
  <c r="T108" i="1"/>
  <c r="S108" i="1"/>
  <c r="O108" i="1"/>
  <c r="N108" i="1"/>
  <c r="M108" i="1"/>
  <c r="AX108" i="1" s="1"/>
  <c r="BD107" i="1"/>
  <c r="BA107" i="1"/>
  <c r="AX107" i="1"/>
  <c r="AV107" i="1"/>
  <c r="AU107" i="1"/>
  <c r="AK107" i="1"/>
  <c r="AJ107" i="1"/>
  <c r="AI107" i="1"/>
  <c r="AH107" i="1"/>
  <c r="AE107" i="1"/>
  <c r="T107" i="1"/>
  <c r="S107" i="1"/>
  <c r="O107" i="1"/>
  <c r="N107" i="1"/>
  <c r="M107" i="1"/>
  <c r="BD106" i="1"/>
  <c r="BA106" i="1"/>
  <c r="AV106" i="1"/>
  <c r="AU106" i="1"/>
  <c r="AK106" i="1"/>
  <c r="AJ106" i="1"/>
  <c r="AI106" i="1"/>
  <c r="AH106" i="1"/>
  <c r="AE106" i="1"/>
  <c r="T106" i="1"/>
  <c r="S106" i="1"/>
  <c r="O106" i="1"/>
  <c r="N106" i="1"/>
  <c r="AX106" i="1" s="1"/>
  <c r="M106" i="1"/>
  <c r="BD105" i="1"/>
  <c r="BA105" i="1"/>
  <c r="AV105" i="1"/>
  <c r="AU105" i="1"/>
  <c r="AL105" i="1"/>
  <c r="AK105" i="1"/>
  <c r="AJ105" i="1"/>
  <c r="AI105" i="1"/>
  <c r="AH105" i="1"/>
  <c r="AF105" i="1"/>
  <c r="AM105" i="1" s="1"/>
  <c r="AE105" i="1"/>
  <c r="T105" i="1"/>
  <c r="S105" i="1"/>
  <c r="O105" i="1"/>
  <c r="N105" i="1"/>
  <c r="M105" i="1"/>
  <c r="BD104" i="1"/>
  <c r="BA104" i="1"/>
  <c r="AX104" i="1"/>
  <c r="AV104" i="1"/>
  <c r="AU104" i="1"/>
  <c r="AK104" i="1"/>
  <c r="AJ104" i="1"/>
  <c r="AI104" i="1"/>
  <c r="AH104" i="1"/>
  <c r="AF104" i="1"/>
  <c r="AM104" i="1" s="1"/>
  <c r="AE104" i="1"/>
  <c r="AL104" i="1" s="1"/>
  <c r="T104" i="1"/>
  <c r="S104" i="1"/>
  <c r="O104" i="1"/>
  <c r="N104" i="1"/>
  <c r="M104" i="1"/>
  <c r="BD103" i="1"/>
  <c r="BA103" i="1"/>
  <c r="AV103" i="1"/>
  <c r="AU103" i="1"/>
  <c r="AK103" i="1"/>
  <c r="AJ103" i="1"/>
  <c r="AI103" i="1"/>
  <c r="AH103" i="1"/>
  <c r="AE103" i="1"/>
  <c r="X103" i="1"/>
  <c r="X104" i="1" s="1"/>
  <c r="X105" i="1" s="1"/>
  <c r="X106" i="1" s="1"/>
  <c r="X107" i="1" s="1"/>
  <c r="X108" i="1" s="1"/>
  <c r="W103" i="1"/>
  <c r="W104" i="1" s="1"/>
  <c r="W105" i="1" s="1"/>
  <c r="W106" i="1" s="1"/>
  <c r="W107" i="1" s="1"/>
  <c r="W108" i="1" s="1"/>
  <c r="T103" i="1"/>
  <c r="S103" i="1"/>
  <c r="O103" i="1"/>
  <c r="N103" i="1"/>
  <c r="M103" i="1"/>
  <c r="AX103" i="1" s="1"/>
  <c r="BD102" i="1"/>
  <c r="BA102" i="1"/>
  <c r="AX102" i="1"/>
  <c r="AV102" i="1"/>
  <c r="AU102" i="1"/>
  <c r="AK102" i="1"/>
  <c r="AJ102" i="1"/>
  <c r="AI102" i="1"/>
  <c r="AH102" i="1"/>
  <c r="AF102" i="1"/>
  <c r="AM102" i="1" s="1"/>
  <c r="AE102" i="1"/>
  <c r="AL102" i="1" s="1"/>
  <c r="T102" i="1"/>
  <c r="S102" i="1"/>
  <c r="O102" i="1"/>
  <c r="N102" i="1"/>
  <c r="M102" i="1"/>
  <c r="BD101" i="1"/>
  <c r="BA101" i="1"/>
  <c r="AV101" i="1"/>
  <c r="AU101" i="1"/>
  <c r="AK101" i="1"/>
  <c r="AJ101" i="1"/>
  <c r="AI101" i="1"/>
  <c r="AH101" i="1"/>
  <c r="AE101" i="1"/>
  <c r="T101" i="1"/>
  <c r="S101" i="1"/>
  <c r="O101" i="1"/>
  <c r="N101" i="1"/>
  <c r="M101" i="1"/>
  <c r="AX101" i="1" s="1"/>
  <c r="BD100" i="1"/>
  <c r="BA100" i="1"/>
  <c r="AV100" i="1"/>
  <c r="AU100" i="1"/>
  <c r="AK100" i="1"/>
  <c r="AJ100" i="1"/>
  <c r="AI100" i="1"/>
  <c r="AH100" i="1"/>
  <c r="AE100" i="1"/>
  <c r="T100" i="1"/>
  <c r="S100" i="1"/>
  <c r="O100" i="1"/>
  <c r="N100" i="1"/>
  <c r="M100" i="1"/>
  <c r="AX100" i="1" s="1"/>
  <c r="BD99" i="1"/>
  <c r="BA99" i="1"/>
  <c r="AV99" i="1"/>
  <c r="AU99" i="1"/>
  <c r="AM99" i="1"/>
  <c r="AL99" i="1"/>
  <c r="AK99" i="1"/>
  <c r="AJ99" i="1"/>
  <c r="AI99" i="1"/>
  <c r="AH99" i="1"/>
  <c r="AE99" i="1"/>
  <c r="AF99" i="1" s="1"/>
  <c r="T99" i="1"/>
  <c r="S99" i="1"/>
  <c r="O99" i="1"/>
  <c r="N99" i="1"/>
  <c r="M99" i="1"/>
  <c r="BD98" i="1"/>
  <c r="BA98" i="1"/>
  <c r="AV98" i="1"/>
  <c r="AU98" i="1"/>
  <c r="AK98" i="1"/>
  <c r="AJ98" i="1"/>
  <c r="AI98" i="1"/>
  <c r="AH98" i="1"/>
  <c r="AE98" i="1"/>
  <c r="AF98" i="1" s="1"/>
  <c r="AM98" i="1" s="1"/>
  <c r="T98" i="1"/>
  <c r="S98" i="1"/>
  <c r="O98" i="1"/>
  <c r="N98" i="1"/>
  <c r="M98" i="1"/>
  <c r="BD97" i="1"/>
  <c r="BA97" i="1"/>
  <c r="AV97" i="1"/>
  <c r="AU97" i="1"/>
  <c r="AM97" i="1"/>
  <c r="AL97" i="1"/>
  <c r="AK97" i="1"/>
  <c r="AJ97" i="1"/>
  <c r="AI97" i="1"/>
  <c r="AH97" i="1"/>
  <c r="AE97" i="1"/>
  <c r="AF97" i="1" s="1"/>
  <c r="X97" i="1"/>
  <c r="X98" i="1" s="1"/>
  <c r="X99" i="1" s="1"/>
  <c r="X100" i="1" s="1"/>
  <c r="X101" i="1" s="1"/>
  <c r="W97" i="1"/>
  <c r="W98" i="1" s="1"/>
  <c r="W99" i="1" s="1"/>
  <c r="W100" i="1" s="1"/>
  <c r="W101" i="1" s="1"/>
  <c r="T97" i="1"/>
  <c r="S97" i="1"/>
  <c r="O97" i="1"/>
  <c r="N97" i="1"/>
  <c r="M97" i="1"/>
  <c r="AX97" i="1" s="1"/>
  <c r="BD96" i="1"/>
  <c r="BA96" i="1"/>
  <c r="AX96" i="1"/>
  <c r="AV96" i="1"/>
  <c r="AU96" i="1"/>
  <c r="AK96" i="1"/>
  <c r="AJ96" i="1"/>
  <c r="AI96" i="1"/>
  <c r="AH96" i="1"/>
  <c r="AE96" i="1"/>
  <c r="AF96" i="1" s="1"/>
  <c r="AM96" i="1" s="1"/>
  <c r="X96" i="1"/>
  <c r="W96" i="1"/>
  <c r="T96" i="1"/>
  <c r="S96" i="1"/>
  <c r="O96" i="1"/>
  <c r="N96" i="1"/>
  <c r="M96" i="1"/>
  <c r="BD95" i="1"/>
  <c r="BA95" i="1"/>
  <c r="AV95" i="1"/>
  <c r="AU95" i="1"/>
  <c r="AM95" i="1"/>
  <c r="AK95" i="1"/>
  <c r="AJ95" i="1"/>
  <c r="AI95" i="1"/>
  <c r="AH95" i="1"/>
  <c r="AF95" i="1"/>
  <c r="AE95" i="1"/>
  <c r="AL95" i="1" s="1"/>
  <c r="T95" i="1"/>
  <c r="S95" i="1"/>
  <c r="O95" i="1"/>
  <c r="N95" i="1"/>
  <c r="M95" i="1"/>
  <c r="AX95" i="1" s="1"/>
  <c r="BD94" i="1"/>
  <c r="BA94" i="1"/>
  <c r="AV94" i="1"/>
  <c r="AU94" i="1"/>
  <c r="AL94" i="1"/>
  <c r="AK94" i="1"/>
  <c r="AJ94" i="1"/>
  <c r="AI94" i="1"/>
  <c r="AH94" i="1"/>
  <c r="AF94" i="1"/>
  <c r="AM94" i="1" s="1"/>
  <c r="AE94" i="1"/>
  <c r="T94" i="1"/>
  <c r="S94" i="1"/>
  <c r="O94" i="1"/>
  <c r="N94" i="1"/>
  <c r="M94" i="1"/>
  <c r="AX94" i="1" s="1"/>
  <c r="BD93" i="1"/>
  <c r="BA93" i="1"/>
  <c r="AV93" i="1"/>
  <c r="AU93" i="1"/>
  <c r="AL93" i="1"/>
  <c r="AK93" i="1"/>
  <c r="AJ93" i="1"/>
  <c r="AI93" i="1"/>
  <c r="AH93" i="1"/>
  <c r="AF93" i="1"/>
  <c r="AM93" i="1" s="1"/>
  <c r="AE93" i="1"/>
  <c r="T93" i="1"/>
  <c r="S93" i="1"/>
  <c r="O93" i="1"/>
  <c r="N93" i="1"/>
  <c r="M93" i="1"/>
  <c r="AX93" i="1" s="1"/>
  <c r="BD92" i="1"/>
  <c r="BA92" i="1"/>
  <c r="AV92" i="1"/>
  <c r="AU92" i="1"/>
  <c r="AL92" i="1"/>
  <c r="AK92" i="1"/>
  <c r="AJ92" i="1"/>
  <c r="AI92" i="1"/>
  <c r="AH92" i="1"/>
  <c r="AF92" i="1"/>
  <c r="AM92" i="1" s="1"/>
  <c r="AE92" i="1"/>
  <c r="T92" i="1"/>
  <c r="S92" i="1"/>
  <c r="O92" i="1"/>
  <c r="N92" i="1"/>
  <c r="M92" i="1"/>
  <c r="AX92" i="1" s="1"/>
  <c r="BD91" i="1"/>
  <c r="BA91" i="1"/>
  <c r="AV91" i="1"/>
  <c r="AU91" i="1"/>
  <c r="AL91" i="1"/>
  <c r="AK91" i="1"/>
  <c r="AJ91" i="1"/>
  <c r="AI91" i="1"/>
  <c r="AH91" i="1"/>
  <c r="AF91" i="1"/>
  <c r="AM91" i="1" s="1"/>
  <c r="AE91" i="1"/>
  <c r="T91" i="1"/>
  <c r="S91" i="1"/>
  <c r="O91" i="1"/>
  <c r="N91" i="1"/>
  <c r="M91" i="1"/>
  <c r="AX91" i="1" s="1"/>
  <c r="BD90" i="1"/>
  <c r="BA90" i="1"/>
  <c r="AV90" i="1"/>
  <c r="AU90" i="1"/>
  <c r="AL90" i="1"/>
  <c r="AK90" i="1"/>
  <c r="AJ90" i="1"/>
  <c r="AI90" i="1"/>
  <c r="AH90" i="1"/>
  <c r="AF90" i="1"/>
  <c r="AM90" i="1" s="1"/>
  <c r="AE90" i="1"/>
  <c r="W90" i="1"/>
  <c r="W91" i="1" s="1"/>
  <c r="W92" i="1" s="1"/>
  <c r="W93" i="1" s="1"/>
  <c r="W94" i="1" s="1"/>
  <c r="T90" i="1"/>
  <c r="S90" i="1"/>
  <c r="O90" i="1"/>
  <c r="N90" i="1"/>
  <c r="M90" i="1"/>
  <c r="AX90" i="1" s="1"/>
  <c r="BD89" i="1"/>
  <c r="BA89" i="1"/>
  <c r="AV89" i="1"/>
  <c r="AU89" i="1"/>
  <c r="AL89" i="1"/>
  <c r="AK89" i="1"/>
  <c r="AJ89" i="1"/>
  <c r="AI89" i="1"/>
  <c r="AH89" i="1"/>
  <c r="AF89" i="1"/>
  <c r="AM89" i="1" s="1"/>
  <c r="AE89" i="1"/>
  <c r="X89" i="1"/>
  <c r="X90" i="1" s="1"/>
  <c r="X91" i="1" s="1"/>
  <c r="X92" i="1" s="1"/>
  <c r="X93" i="1" s="1"/>
  <c r="X94" i="1" s="1"/>
  <c r="W89" i="1"/>
  <c r="T89" i="1"/>
  <c r="S89" i="1"/>
  <c r="O89" i="1"/>
  <c r="N89" i="1"/>
  <c r="M89" i="1"/>
  <c r="AX89" i="1" s="1"/>
  <c r="BD88" i="1"/>
  <c r="BA88" i="1"/>
  <c r="AV88" i="1"/>
  <c r="AU88" i="1"/>
  <c r="AL88" i="1"/>
  <c r="AK88" i="1"/>
  <c r="AJ88" i="1"/>
  <c r="AI88" i="1"/>
  <c r="AH88" i="1"/>
  <c r="AF88" i="1"/>
  <c r="AM88" i="1" s="1"/>
  <c r="AE88" i="1"/>
  <c r="T88" i="1"/>
  <c r="S88" i="1"/>
  <c r="O88" i="1"/>
  <c r="N88" i="1"/>
  <c r="M88" i="1"/>
  <c r="AX88" i="1" s="1"/>
  <c r="BD87" i="1"/>
  <c r="BA87" i="1"/>
  <c r="AV87" i="1"/>
  <c r="AU87" i="1"/>
  <c r="AL87" i="1"/>
  <c r="AK87" i="1"/>
  <c r="AJ87" i="1"/>
  <c r="AI87" i="1"/>
  <c r="AH87" i="1"/>
  <c r="AE87" i="1"/>
  <c r="AF87" i="1" s="1"/>
  <c r="AM87" i="1" s="1"/>
  <c r="T87" i="1"/>
  <c r="S87" i="1"/>
  <c r="O87" i="1"/>
  <c r="N87" i="1"/>
  <c r="M87" i="1"/>
  <c r="AX87" i="1" s="1"/>
  <c r="BD86" i="1"/>
  <c r="BA86" i="1"/>
  <c r="AV86" i="1"/>
  <c r="AU86" i="1"/>
  <c r="AL86" i="1"/>
  <c r="AK86" i="1"/>
  <c r="AJ86" i="1"/>
  <c r="AI86" i="1"/>
  <c r="AH86" i="1"/>
  <c r="AE86" i="1"/>
  <c r="AF86" i="1" s="1"/>
  <c r="AM86" i="1" s="1"/>
  <c r="T86" i="1"/>
  <c r="S86" i="1"/>
  <c r="O86" i="1"/>
  <c r="N86" i="1"/>
  <c r="M86" i="1"/>
  <c r="AX86" i="1" s="1"/>
  <c r="BD85" i="1"/>
  <c r="BA85" i="1"/>
  <c r="AX85" i="1"/>
  <c r="AV85" i="1"/>
  <c r="AU85" i="1"/>
  <c r="AL85" i="1"/>
  <c r="AK85" i="1"/>
  <c r="AJ85" i="1"/>
  <c r="AI85" i="1"/>
  <c r="AH85" i="1"/>
  <c r="AE85" i="1"/>
  <c r="AF85" i="1" s="1"/>
  <c r="AM85" i="1" s="1"/>
  <c r="T85" i="1"/>
  <c r="S85" i="1"/>
  <c r="O85" i="1"/>
  <c r="N85" i="1"/>
  <c r="M85" i="1"/>
  <c r="BD84" i="1"/>
  <c r="BA84" i="1"/>
  <c r="AX84" i="1"/>
  <c r="AV84" i="1"/>
  <c r="AU84" i="1"/>
  <c r="AL84" i="1"/>
  <c r="AK84" i="1"/>
  <c r="AJ84" i="1"/>
  <c r="AI84" i="1"/>
  <c r="AH84" i="1"/>
  <c r="AF84" i="1"/>
  <c r="AM84" i="1" s="1"/>
  <c r="AE84" i="1"/>
  <c r="T84" i="1"/>
  <c r="S84" i="1"/>
  <c r="O84" i="1"/>
  <c r="N84" i="1"/>
  <c r="M84" i="1"/>
  <c r="BD83" i="1"/>
  <c r="BA83" i="1"/>
  <c r="AV83" i="1"/>
  <c r="AU83" i="1"/>
  <c r="AL83" i="1"/>
  <c r="AK83" i="1"/>
  <c r="AJ83" i="1"/>
  <c r="AI83" i="1"/>
  <c r="AH83" i="1"/>
  <c r="AF83" i="1"/>
  <c r="AM83" i="1" s="1"/>
  <c r="AE83" i="1"/>
  <c r="T83" i="1"/>
  <c r="S83" i="1"/>
  <c r="O83" i="1"/>
  <c r="N83" i="1"/>
  <c r="M83" i="1"/>
  <c r="AX83" i="1" s="1"/>
  <c r="BD82" i="1"/>
  <c r="BA82" i="1"/>
  <c r="AV82" i="1"/>
  <c r="AU82" i="1"/>
  <c r="AL82" i="1"/>
  <c r="AK82" i="1"/>
  <c r="AJ82" i="1"/>
  <c r="AI82" i="1"/>
  <c r="AH82" i="1"/>
  <c r="AF82" i="1"/>
  <c r="AM82" i="1" s="1"/>
  <c r="AE82" i="1"/>
  <c r="X82" i="1"/>
  <c r="X83" i="1" s="1"/>
  <c r="X84" i="1" s="1"/>
  <c r="X85" i="1" s="1"/>
  <c r="X86" i="1" s="1"/>
  <c r="X87" i="1" s="1"/>
  <c r="W82" i="1"/>
  <c r="W83" i="1" s="1"/>
  <c r="W84" i="1" s="1"/>
  <c r="W85" i="1" s="1"/>
  <c r="W86" i="1" s="1"/>
  <c r="W87" i="1" s="1"/>
  <c r="T82" i="1"/>
  <c r="S82" i="1"/>
  <c r="O82" i="1"/>
  <c r="N82" i="1"/>
  <c r="M82" i="1"/>
  <c r="AX82" i="1" s="1"/>
  <c r="BD81" i="1"/>
  <c r="BA81" i="1"/>
  <c r="AV81" i="1"/>
  <c r="AU81" i="1"/>
  <c r="AL81" i="1"/>
  <c r="AC518" i="1" s="1"/>
  <c r="AK81" i="1"/>
  <c r="AJ81" i="1"/>
  <c r="AI81" i="1"/>
  <c r="AH81" i="1"/>
  <c r="AF81" i="1"/>
  <c r="AM81" i="1" s="1"/>
  <c r="AE81" i="1"/>
  <c r="T81" i="1"/>
  <c r="S81" i="1"/>
  <c r="O81" i="1"/>
  <c r="N81" i="1"/>
  <c r="AX81" i="1" s="1"/>
  <c r="M81" i="1"/>
  <c r="BD80" i="1"/>
  <c r="BA80" i="1"/>
  <c r="AV80" i="1"/>
  <c r="AU80" i="1"/>
  <c r="AK80" i="1"/>
  <c r="AJ80" i="1"/>
  <c r="AI80" i="1"/>
  <c r="AH80" i="1"/>
  <c r="AE80" i="1"/>
  <c r="T80" i="1"/>
  <c r="S80" i="1"/>
  <c r="O80" i="1"/>
  <c r="N80" i="1"/>
  <c r="M80" i="1"/>
  <c r="AX80" i="1" s="1"/>
  <c r="BD79" i="1"/>
  <c r="BA79" i="1"/>
  <c r="AV79" i="1"/>
  <c r="AU79" i="1"/>
  <c r="AK79" i="1"/>
  <c r="AJ79" i="1"/>
  <c r="AI79" i="1"/>
  <c r="AH79" i="1"/>
  <c r="AE79" i="1"/>
  <c r="T79" i="1"/>
  <c r="S79" i="1"/>
  <c r="O79" i="1"/>
  <c r="N79" i="1"/>
  <c r="M79" i="1"/>
  <c r="BD78" i="1"/>
  <c r="BA78" i="1"/>
  <c r="AV78" i="1"/>
  <c r="AU78" i="1"/>
  <c r="AK78" i="1"/>
  <c r="AJ78" i="1"/>
  <c r="AI78" i="1"/>
  <c r="AH78" i="1"/>
  <c r="AE78" i="1"/>
  <c r="T78" i="1"/>
  <c r="S78" i="1"/>
  <c r="O78" i="1"/>
  <c r="N78" i="1"/>
  <c r="M78" i="1"/>
  <c r="BD77" i="1"/>
  <c r="BA77" i="1"/>
  <c r="AV77" i="1"/>
  <c r="AU77" i="1"/>
  <c r="AK77" i="1"/>
  <c r="AJ77" i="1"/>
  <c r="AI77" i="1"/>
  <c r="AH77" i="1"/>
  <c r="AE77" i="1"/>
  <c r="T77" i="1"/>
  <c r="S77" i="1"/>
  <c r="O77" i="1"/>
  <c r="N77" i="1"/>
  <c r="M77" i="1"/>
  <c r="BD76" i="1"/>
  <c r="BA76" i="1"/>
  <c r="AV76" i="1"/>
  <c r="AU76" i="1"/>
  <c r="AK76" i="1"/>
  <c r="AJ76" i="1"/>
  <c r="AI76" i="1"/>
  <c r="AH76" i="1"/>
  <c r="AE76" i="1"/>
  <c r="T76" i="1"/>
  <c r="S76" i="1"/>
  <c r="O76" i="1"/>
  <c r="N76" i="1"/>
  <c r="M76" i="1"/>
  <c r="AX76" i="1" s="1"/>
  <c r="BD75" i="1"/>
  <c r="BA75" i="1"/>
  <c r="AV75" i="1"/>
  <c r="AU75" i="1"/>
  <c r="AK75" i="1"/>
  <c r="AJ75" i="1"/>
  <c r="AI75" i="1"/>
  <c r="AH75" i="1"/>
  <c r="AE75" i="1"/>
  <c r="X75" i="1"/>
  <c r="X76" i="1" s="1"/>
  <c r="X77" i="1" s="1"/>
  <c r="X78" i="1" s="1"/>
  <c r="X79" i="1" s="1"/>
  <c r="X80" i="1" s="1"/>
  <c r="W75" i="1"/>
  <c r="W76" i="1" s="1"/>
  <c r="W77" i="1" s="1"/>
  <c r="W78" i="1" s="1"/>
  <c r="W79" i="1" s="1"/>
  <c r="W80" i="1" s="1"/>
  <c r="T75" i="1"/>
  <c r="S75" i="1"/>
  <c r="O75" i="1"/>
  <c r="N75" i="1"/>
  <c r="M75" i="1"/>
  <c r="AX75" i="1" s="1"/>
  <c r="BD74" i="1"/>
  <c r="BA74" i="1"/>
  <c r="AV74" i="1"/>
  <c r="AU74" i="1"/>
  <c r="AK74" i="1"/>
  <c r="AJ74" i="1"/>
  <c r="AI74" i="1"/>
  <c r="AH74" i="1"/>
  <c r="AE74" i="1"/>
  <c r="T74" i="1"/>
  <c r="S74" i="1"/>
  <c r="O74" i="1"/>
  <c r="N74" i="1"/>
  <c r="M74" i="1"/>
  <c r="AX74" i="1" s="1"/>
  <c r="BD73" i="1"/>
  <c r="BA73" i="1"/>
  <c r="AV73" i="1"/>
  <c r="AU73" i="1"/>
  <c r="AK73" i="1"/>
  <c r="AJ73" i="1"/>
  <c r="AI73" i="1"/>
  <c r="AH73" i="1"/>
  <c r="AE73" i="1"/>
  <c r="T73" i="1"/>
  <c r="S73" i="1"/>
  <c r="O73" i="1"/>
  <c r="N73" i="1"/>
  <c r="M73" i="1"/>
  <c r="AX73" i="1" s="1"/>
  <c r="BD72" i="1"/>
  <c r="BA72" i="1"/>
  <c r="AV72" i="1"/>
  <c r="AU72" i="1"/>
  <c r="AK72" i="1"/>
  <c r="AJ72" i="1"/>
  <c r="AI72" i="1"/>
  <c r="AH72" i="1"/>
  <c r="AE72" i="1"/>
  <c r="AL72" i="1" s="1"/>
  <c r="T72" i="1"/>
  <c r="S72" i="1"/>
  <c r="O72" i="1"/>
  <c r="N72" i="1"/>
  <c r="M72" i="1"/>
  <c r="AX72" i="1" s="1"/>
  <c r="BD71" i="1"/>
  <c r="BA71" i="1"/>
  <c r="AV71" i="1"/>
  <c r="AU71" i="1"/>
  <c r="AK71" i="1"/>
  <c r="AJ71" i="1"/>
  <c r="AI71" i="1"/>
  <c r="AH71" i="1"/>
  <c r="AE71" i="1"/>
  <c r="AL71" i="1" s="1"/>
  <c r="T71" i="1"/>
  <c r="S71" i="1"/>
  <c r="O71" i="1"/>
  <c r="N71" i="1"/>
  <c r="M71" i="1"/>
  <c r="BD70" i="1"/>
  <c r="BA70" i="1"/>
  <c r="AV70" i="1"/>
  <c r="AU70" i="1"/>
  <c r="AK70" i="1"/>
  <c r="AJ70" i="1"/>
  <c r="AI70" i="1"/>
  <c r="AH70" i="1"/>
  <c r="AF70" i="1"/>
  <c r="AM70" i="1" s="1"/>
  <c r="AE70" i="1"/>
  <c r="AL70" i="1" s="1"/>
  <c r="T70" i="1"/>
  <c r="S70" i="1"/>
  <c r="O70" i="1"/>
  <c r="N70" i="1"/>
  <c r="M70" i="1"/>
  <c r="AX70" i="1" s="1"/>
  <c r="BD69" i="1"/>
  <c r="BA69" i="1"/>
  <c r="AV69" i="1"/>
  <c r="AU69" i="1"/>
  <c r="AK69" i="1"/>
  <c r="AJ69" i="1"/>
  <c r="AI69" i="1"/>
  <c r="AH69" i="1"/>
  <c r="AE69" i="1"/>
  <c r="T69" i="1"/>
  <c r="S69" i="1"/>
  <c r="O69" i="1"/>
  <c r="N69" i="1"/>
  <c r="M69" i="1"/>
  <c r="AX69" i="1" s="1"/>
  <c r="BD68" i="1"/>
  <c r="BA68" i="1"/>
  <c r="AV68" i="1"/>
  <c r="AU68" i="1"/>
  <c r="AK68" i="1"/>
  <c r="AJ68" i="1"/>
  <c r="AI68" i="1"/>
  <c r="AH68" i="1"/>
  <c r="AE68" i="1"/>
  <c r="AL68" i="1" s="1"/>
  <c r="X68" i="1"/>
  <c r="X69" i="1" s="1"/>
  <c r="X70" i="1" s="1"/>
  <c r="X71" i="1" s="1"/>
  <c r="X72" i="1" s="1"/>
  <c r="X73" i="1" s="1"/>
  <c r="W68" i="1"/>
  <c r="W69" i="1" s="1"/>
  <c r="W70" i="1" s="1"/>
  <c r="W71" i="1" s="1"/>
  <c r="W72" i="1" s="1"/>
  <c r="W73" i="1" s="1"/>
  <c r="T68" i="1"/>
  <c r="S68" i="1"/>
  <c r="O68" i="1"/>
  <c r="N68" i="1"/>
  <c r="M68" i="1"/>
  <c r="BD67" i="1"/>
  <c r="BA67" i="1"/>
  <c r="AV67" i="1"/>
  <c r="AU67" i="1"/>
  <c r="AK67" i="1"/>
  <c r="AJ67" i="1"/>
  <c r="AI67" i="1"/>
  <c r="AH67" i="1"/>
  <c r="AF67" i="1"/>
  <c r="AM67" i="1" s="1"/>
  <c r="AE67" i="1"/>
  <c r="AL67" i="1" s="1"/>
  <c r="T67" i="1"/>
  <c r="S67" i="1"/>
  <c r="O67" i="1"/>
  <c r="N67" i="1"/>
  <c r="M67" i="1"/>
  <c r="AX67" i="1" s="1"/>
  <c r="BD66" i="1"/>
  <c r="BA66" i="1"/>
  <c r="AV66" i="1"/>
  <c r="AU66" i="1"/>
  <c r="AL66" i="1"/>
  <c r="AK66" i="1"/>
  <c r="AJ66" i="1"/>
  <c r="AI66" i="1"/>
  <c r="AH66" i="1"/>
  <c r="AF66" i="1"/>
  <c r="AM66" i="1" s="1"/>
  <c r="AE66" i="1"/>
  <c r="T66" i="1"/>
  <c r="S66" i="1"/>
  <c r="O66" i="1"/>
  <c r="N66" i="1"/>
  <c r="M66" i="1"/>
  <c r="AX66" i="1" s="1"/>
  <c r="BD65" i="1"/>
  <c r="BA65" i="1"/>
  <c r="AV65" i="1"/>
  <c r="AU65" i="1"/>
  <c r="AL65" i="1"/>
  <c r="AK65" i="1"/>
  <c r="AJ65" i="1"/>
  <c r="AI65" i="1"/>
  <c r="AH65" i="1"/>
  <c r="AF65" i="1"/>
  <c r="AM65" i="1" s="1"/>
  <c r="AE65" i="1"/>
  <c r="T65" i="1"/>
  <c r="S65" i="1"/>
  <c r="O65" i="1"/>
  <c r="N65" i="1"/>
  <c r="M65" i="1"/>
  <c r="AX65" i="1" s="1"/>
  <c r="BD64" i="1"/>
  <c r="BA64" i="1"/>
  <c r="AV64" i="1"/>
  <c r="AU64" i="1"/>
  <c r="AL64" i="1"/>
  <c r="AK64" i="1"/>
  <c r="AJ64" i="1"/>
  <c r="AI64" i="1"/>
  <c r="AH64" i="1"/>
  <c r="AF64" i="1"/>
  <c r="AM64" i="1" s="1"/>
  <c r="AE64" i="1"/>
  <c r="T64" i="1"/>
  <c r="S64" i="1"/>
  <c r="O64" i="1"/>
  <c r="N64" i="1"/>
  <c r="M64" i="1"/>
  <c r="AX64" i="1" s="1"/>
  <c r="BD63" i="1"/>
  <c r="BA63" i="1"/>
  <c r="AV63" i="1"/>
  <c r="AU63" i="1"/>
  <c r="AL63" i="1"/>
  <c r="AK63" i="1"/>
  <c r="AJ63" i="1"/>
  <c r="AI63" i="1"/>
  <c r="AH63" i="1"/>
  <c r="AF63" i="1"/>
  <c r="AM63" i="1" s="1"/>
  <c r="AE63" i="1"/>
  <c r="T63" i="1"/>
  <c r="S63" i="1"/>
  <c r="O63" i="1"/>
  <c r="N63" i="1"/>
  <c r="M63" i="1"/>
  <c r="AX63" i="1" s="1"/>
  <c r="BD62" i="1"/>
  <c r="BA62" i="1"/>
  <c r="AV62" i="1"/>
  <c r="AU62" i="1"/>
  <c r="AL62" i="1"/>
  <c r="AK62" i="1"/>
  <c r="AJ62" i="1"/>
  <c r="AI62" i="1"/>
  <c r="AH62" i="1"/>
  <c r="AF62" i="1"/>
  <c r="AM62" i="1" s="1"/>
  <c r="AE62" i="1"/>
  <c r="T62" i="1"/>
  <c r="S62" i="1"/>
  <c r="O62" i="1"/>
  <c r="N62" i="1"/>
  <c r="M62" i="1"/>
  <c r="AX62" i="1" s="1"/>
  <c r="BD61" i="1"/>
  <c r="BA61" i="1"/>
  <c r="AV61" i="1"/>
  <c r="AU61" i="1"/>
  <c r="AL61" i="1"/>
  <c r="AK61" i="1"/>
  <c r="AJ61" i="1"/>
  <c r="AI61" i="1"/>
  <c r="AH61" i="1"/>
  <c r="AF61" i="1"/>
  <c r="AM61" i="1" s="1"/>
  <c r="AE61" i="1"/>
  <c r="X61" i="1"/>
  <c r="X62" i="1" s="1"/>
  <c r="X63" i="1" s="1"/>
  <c r="X64" i="1" s="1"/>
  <c r="X65" i="1" s="1"/>
  <c r="X66" i="1" s="1"/>
  <c r="W61" i="1"/>
  <c r="W62" i="1" s="1"/>
  <c r="W63" i="1" s="1"/>
  <c r="W64" i="1" s="1"/>
  <c r="W65" i="1" s="1"/>
  <c r="W66" i="1" s="1"/>
  <c r="T61" i="1"/>
  <c r="S61" i="1"/>
  <c r="O61" i="1"/>
  <c r="N61" i="1"/>
  <c r="M61" i="1"/>
  <c r="AX61" i="1" s="1"/>
  <c r="BD60" i="1"/>
  <c r="BA60" i="1"/>
  <c r="AV60" i="1"/>
  <c r="AU60" i="1"/>
  <c r="AL60" i="1"/>
  <c r="AC515" i="1" s="1"/>
  <c r="AK60" i="1"/>
  <c r="AJ60" i="1"/>
  <c r="AI60" i="1"/>
  <c r="AH60" i="1"/>
  <c r="AF60" i="1"/>
  <c r="AM60" i="1" s="1"/>
  <c r="AD515" i="1" s="1"/>
  <c r="AE60" i="1"/>
  <c r="T60" i="1"/>
  <c r="S60" i="1"/>
  <c r="O60" i="1"/>
  <c r="N60" i="1"/>
  <c r="M60" i="1"/>
  <c r="AX60" i="1" s="1"/>
  <c r="BD59" i="1"/>
  <c r="BA59" i="1"/>
  <c r="AX59" i="1"/>
  <c r="AV59" i="1"/>
  <c r="AU59" i="1"/>
  <c r="AL59" i="1"/>
  <c r="AK59" i="1"/>
  <c r="AJ59" i="1"/>
  <c r="AI59" i="1"/>
  <c r="AH59" i="1"/>
  <c r="AE59" i="1"/>
  <c r="AF59" i="1" s="1"/>
  <c r="AM59" i="1" s="1"/>
  <c r="T59" i="1"/>
  <c r="S59" i="1"/>
  <c r="O59" i="1"/>
  <c r="N59" i="1"/>
  <c r="M59" i="1"/>
  <c r="BD58" i="1"/>
  <c r="BA58" i="1"/>
  <c r="AV58" i="1"/>
  <c r="AU58" i="1"/>
  <c r="AL58" i="1"/>
  <c r="AK58" i="1"/>
  <c r="AJ58" i="1"/>
  <c r="AI58" i="1"/>
  <c r="AH58" i="1"/>
  <c r="AE58" i="1"/>
  <c r="AF58" i="1" s="1"/>
  <c r="AM58" i="1" s="1"/>
  <c r="T58" i="1"/>
  <c r="S58" i="1"/>
  <c r="O58" i="1"/>
  <c r="N58" i="1"/>
  <c r="M58" i="1"/>
  <c r="AX58" i="1" s="1"/>
  <c r="BD57" i="1"/>
  <c r="BA57" i="1"/>
  <c r="AX57" i="1"/>
  <c r="AV57" i="1"/>
  <c r="AU57" i="1"/>
  <c r="AL57" i="1"/>
  <c r="AK57" i="1"/>
  <c r="AJ57" i="1"/>
  <c r="AI57" i="1"/>
  <c r="AH57" i="1"/>
  <c r="AE57" i="1"/>
  <c r="AF57" i="1" s="1"/>
  <c r="AM57" i="1" s="1"/>
  <c r="W57" i="1"/>
  <c r="W58" i="1" s="1"/>
  <c r="W59" i="1" s="1"/>
  <c r="T57" i="1"/>
  <c r="S57" i="1"/>
  <c r="O57" i="1"/>
  <c r="N57" i="1"/>
  <c r="M57" i="1"/>
  <c r="BD56" i="1"/>
  <c r="BA56" i="1"/>
  <c r="AX56" i="1"/>
  <c r="AV56" i="1"/>
  <c r="AU56" i="1"/>
  <c r="AL56" i="1"/>
  <c r="AK56" i="1"/>
  <c r="AJ56" i="1"/>
  <c r="AI56" i="1"/>
  <c r="AH56" i="1"/>
  <c r="AF56" i="1"/>
  <c r="AM56" i="1" s="1"/>
  <c r="AE56" i="1"/>
  <c r="T56" i="1"/>
  <c r="S56" i="1"/>
  <c r="O56" i="1"/>
  <c r="N56" i="1"/>
  <c r="M56" i="1"/>
  <c r="BD55" i="1"/>
  <c r="BA55" i="1"/>
  <c r="AV55" i="1"/>
  <c r="AU55" i="1"/>
  <c r="AL55" i="1"/>
  <c r="AK55" i="1"/>
  <c r="AJ55" i="1"/>
  <c r="AI55" i="1"/>
  <c r="AH55" i="1"/>
  <c r="AE55" i="1"/>
  <c r="AF55" i="1" s="1"/>
  <c r="AM55" i="1" s="1"/>
  <c r="X55" i="1"/>
  <c r="X56" i="1" s="1"/>
  <c r="X57" i="1" s="1"/>
  <c r="X58" i="1" s="1"/>
  <c r="X59" i="1" s="1"/>
  <c r="W55" i="1"/>
  <c r="W56" i="1" s="1"/>
  <c r="T55" i="1"/>
  <c r="S55" i="1"/>
  <c r="O55" i="1"/>
  <c r="N55" i="1"/>
  <c r="M55" i="1"/>
  <c r="AX55" i="1" s="1"/>
  <c r="BD54" i="1"/>
  <c r="BA54" i="1"/>
  <c r="AX54" i="1"/>
  <c r="AV54" i="1"/>
  <c r="AU54" i="1"/>
  <c r="AL54" i="1"/>
  <c r="AK54" i="1"/>
  <c r="AJ54" i="1"/>
  <c r="AI54" i="1"/>
  <c r="AH54" i="1"/>
  <c r="AE54" i="1"/>
  <c r="AF54" i="1" s="1"/>
  <c r="AM54" i="1" s="1"/>
  <c r="X54" i="1"/>
  <c r="W54" i="1"/>
  <c r="T54" i="1"/>
  <c r="S54" i="1"/>
  <c r="O54" i="1"/>
  <c r="N54" i="1"/>
  <c r="M54" i="1"/>
  <c r="BD53" i="1"/>
  <c r="BA53" i="1"/>
  <c r="AX53" i="1"/>
  <c r="AV53" i="1"/>
  <c r="AU53" i="1"/>
  <c r="AL53" i="1"/>
  <c r="AK53" i="1"/>
  <c r="AJ53" i="1"/>
  <c r="AI53" i="1"/>
  <c r="AH53" i="1"/>
  <c r="AE53" i="1"/>
  <c r="AF53" i="1" s="1"/>
  <c r="AM53" i="1" s="1"/>
  <c r="T53" i="1"/>
  <c r="S53" i="1"/>
  <c r="O53" i="1"/>
  <c r="N53" i="1"/>
  <c r="M53" i="1"/>
  <c r="BD52" i="1"/>
  <c r="BA52" i="1"/>
  <c r="AV52" i="1"/>
  <c r="AU52" i="1"/>
  <c r="AK52" i="1"/>
  <c r="AJ52" i="1"/>
  <c r="AI52" i="1"/>
  <c r="AH52" i="1"/>
  <c r="AE52" i="1"/>
  <c r="T52" i="1"/>
  <c r="S52" i="1"/>
  <c r="O52" i="1"/>
  <c r="N52" i="1"/>
  <c r="AX52" i="1" s="1"/>
  <c r="M52" i="1"/>
  <c r="BD51" i="1"/>
  <c r="BA51" i="1"/>
  <c r="AV51" i="1"/>
  <c r="AU51" i="1"/>
  <c r="AK51" i="1"/>
  <c r="AJ51" i="1"/>
  <c r="AI51" i="1"/>
  <c r="AH51" i="1"/>
  <c r="AE51" i="1"/>
  <c r="T51" i="1"/>
  <c r="S51" i="1"/>
  <c r="O51" i="1"/>
  <c r="N51" i="1"/>
  <c r="AX51" i="1" s="1"/>
  <c r="M51" i="1"/>
  <c r="BD50" i="1"/>
  <c r="BA50" i="1"/>
  <c r="AV50" i="1"/>
  <c r="AU50" i="1"/>
  <c r="AK50" i="1"/>
  <c r="AJ50" i="1"/>
  <c r="AI50" i="1"/>
  <c r="AH50" i="1"/>
  <c r="AE50" i="1"/>
  <c r="T50" i="1"/>
  <c r="S50" i="1"/>
  <c r="O50" i="1"/>
  <c r="N50" i="1"/>
  <c r="AX50" i="1" s="1"/>
  <c r="M50" i="1"/>
  <c r="BD49" i="1"/>
  <c r="BA49" i="1"/>
  <c r="AV49" i="1"/>
  <c r="AU49" i="1"/>
  <c r="AK49" i="1"/>
  <c r="AJ49" i="1"/>
  <c r="AI49" i="1"/>
  <c r="AH49" i="1"/>
  <c r="AE49" i="1"/>
  <c r="T49" i="1"/>
  <c r="S49" i="1"/>
  <c r="O49" i="1"/>
  <c r="N49" i="1"/>
  <c r="AX49" i="1" s="1"/>
  <c r="M49" i="1"/>
  <c r="BD48" i="1"/>
  <c r="BA48" i="1"/>
  <c r="AV48" i="1"/>
  <c r="AU48" i="1"/>
  <c r="AK48" i="1"/>
  <c r="AJ48" i="1"/>
  <c r="AI48" i="1"/>
  <c r="AH48" i="1"/>
  <c r="AE48" i="1"/>
  <c r="T48" i="1"/>
  <c r="S48" i="1"/>
  <c r="O48" i="1"/>
  <c r="N48" i="1"/>
  <c r="AX48" i="1" s="1"/>
  <c r="M48" i="1"/>
  <c r="BD47" i="1"/>
  <c r="BA47" i="1"/>
  <c r="AX47" i="1"/>
  <c r="AV47" i="1"/>
  <c r="AU47" i="1"/>
  <c r="AM47" i="1"/>
  <c r="AK47" i="1"/>
  <c r="AJ47" i="1"/>
  <c r="AI47" i="1"/>
  <c r="AH47" i="1"/>
  <c r="AF47" i="1"/>
  <c r="AE47" i="1"/>
  <c r="AL47" i="1" s="1"/>
  <c r="X47" i="1"/>
  <c r="X48" i="1" s="1"/>
  <c r="X49" i="1" s="1"/>
  <c r="X50" i="1" s="1"/>
  <c r="X51" i="1" s="1"/>
  <c r="X52" i="1" s="1"/>
  <c r="W47" i="1"/>
  <c r="W48" i="1" s="1"/>
  <c r="W49" i="1" s="1"/>
  <c r="W50" i="1" s="1"/>
  <c r="W51" i="1" s="1"/>
  <c r="W52" i="1" s="1"/>
  <c r="T47" i="1"/>
  <c r="S47" i="1"/>
  <c r="O47" i="1"/>
  <c r="N47" i="1"/>
  <c r="M47" i="1"/>
  <c r="BD46" i="1"/>
  <c r="BA46" i="1"/>
  <c r="AV46" i="1"/>
  <c r="AU46" i="1"/>
  <c r="AK46" i="1"/>
  <c r="AJ46" i="1"/>
  <c r="AI46" i="1"/>
  <c r="AH46" i="1"/>
  <c r="AE46" i="1"/>
  <c r="AL46" i="1" s="1"/>
  <c r="T46" i="1"/>
  <c r="S46" i="1"/>
  <c r="O46" i="1"/>
  <c r="N46" i="1"/>
  <c r="M46" i="1"/>
  <c r="BD45" i="1"/>
  <c r="BA45" i="1"/>
  <c r="AV45" i="1"/>
  <c r="AU45" i="1"/>
  <c r="AL45" i="1"/>
  <c r="AK45" i="1"/>
  <c r="AJ45" i="1"/>
  <c r="AI45" i="1"/>
  <c r="AH45" i="1"/>
  <c r="AF45" i="1"/>
  <c r="AM45" i="1" s="1"/>
  <c r="AE45" i="1"/>
  <c r="T45" i="1"/>
  <c r="S45" i="1"/>
  <c r="O45" i="1"/>
  <c r="N45" i="1"/>
  <c r="M45" i="1"/>
  <c r="BD44" i="1"/>
  <c r="BA44" i="1"/>
  <c r="AV44" i="1"/>
  <c r="AU44" i="1"/>
  <c r="AK44" i="1"/>
  <c r="AJ44" i="1"/>
  <c r="AI44" i="1"/>
  <c r="AH44" i="1"/>
  <c r="AF44" i="1"/>
  <c r="AM44" i="1" s="1"/>
  <c r="AE44" i="1"/>
  <c r="AL44" i="1" s="1"/>
  <c r="T44" i="1"/>
  <c r="S44" i="1"/>
  <c r="O44" i="1"/>
  <c r="N44" i="1"/>
  <c r="M44" i="1"/>
  <c r="BD43" i="1"/>
  <c r="BA43" i="1"/>
  <c r="AV43" i="1"/>
  <c r="AU43" i="1"/>
  <c r="AL43" i="1"/>
  <c r="AK43" i="1"/>
  <c r="AJ43" i="1"/>
  <c r="AI43" i="1"/>
  <c r="AH43" i="1"/>
  <c r="AF43" i="1"/>
  <c r="AM43" i="1" s="1"/>
  <c r="AE43" i="1"/>
  <c r="T43" i="1"/>
  <c r="S43" i="1"/>
  <c r="O43" i="1"/>
  <c r="N43" i="1"/>
  <c r="M43" i="1"/>
  <c r="AX43" i="1" s="1"/>
  <c r="BD42" i="1"/>
  <c r="BA42" i="1"/>
  <c r="AV42" i="1"/>
  <c r="AU42" i="1"/>
  <c r="AL42" i="1"/>
  <c r="AK42" i="1"/>
  <c r="AJ42" i="1"/>
  <c r="AI42" i="1"/>
  <c r="AH42" i="1"/>
  <c r="AF42" i="1"/>
  <c r="AM42" i="1" s="1"/>
  <c r="AE42" i="1"/>
  <c r="T42" i="1"/>
  <c r="S42" i="1"/>
  <c r="O42" i="1"/>
  <c r="N42" i="1"/>
  <c r="M42" i="1"/>
  <c r="AX42" i="1" s="1"/>
  <c r="BD41" i="1"/>
  <c r="BA41" i="1"/>
  <c r="AV41" i="1"/>
  <c r="AU41" i="1"/>
  <c r="AL41" i="1"/>
  <c r="AK41" i="1"/>
  <c r="AJ41" i="1"/>
  <c r="AI41" i="1"/>
  <c r="AH41" i="1"/>
  <c r="AF41" i="1"/>
  <c r="AM41" i="1" s="1"/>
  <c r="AE41" i="1"/>
  <c r="X41" i="1"/>
  <c r="X42" i="1" s="1"/>
  <c r="X43" i="1" s="1"/>
  <c r="X44" i="1" s="1"/>
  <c r="X45" i="1" s="1"/>
  <c r="T41" i="1"/>
  <c r="S41" i="1"/>
  <c r="O41" i="1"/>
  <c r="N41" i="1"/>
  <c r="M41" i="1"/>
  <c r="AX41" i="1" s="1"/>
  <c r="BD40" i="1"/>
  <c r="BA40" i="1"/>
  <c r="AV40" i="1"/>
  <c r="AU40" i="1"/>
  <c r="AL40" i="1"/>
  <c r="AK40" i="1"/>
  <c r="AJ40" i="1"/>
  <c r="AI40" i="1"/>
  <c r="AH40" i="1"/>
  <c r="AF40" i="1"/>
  <c r="AM40" i="1" s="1"/>
  <c r="AE40" i="1"/>
  <c r="X40" i="1"/>
  <c r="W40" i="1"/>
  <c r="W41" i="1" s="1"/>
  <c r="W42" i="1" s="1"/>
  <c r="W43" i="1" s="1"/>
  <c r="W44" i="1" s="1"/>
  <c r="W45" i="1" s="1"/>
  <c r="T40" i="1"/>
  <c r="S40" i="1"/>
  <c r="O40" i="1"/>
  <c r="N40" i="1"/>
  <c r="M40" i="1"/>
  <c r="AX40" i="1" s="1"/>
  <c r="BD39" i="1"/>
  <c r="BA39" i="1"/>
  <c r="AV39" i="1"/>
  <c r="AU39" i="1"/>
  <c r="AL39" i="1"/>
  <c r="AK39" i="1"/>
  <c r="AJ39" i="1"/>
  <c r="AI39" i="1"/>
  <c r="AH39" i="1"/>
  <c r="AF39" i="1"/>
  <c r="AM39" i="1" s="1"/>
  <c r="AD512" i="1" s="1"/>
  <c r="AE39" i="1"/>
  <c r="T39" i="1"/>
  <c r="S39" i="1"/>
  <c r="O39" i="1"/>
  <c r="N39" i="1"/>
  <c r="M39" i="1"/>
  <c r="AX39" i="1" s="1"/>
  <c r="BD38" i="1"/>
  <c r="BA38" i="1"/>
  <c r="AX38" i="1"/>
  <c r="AV38" i="1"/>
  <c r="AU38" i="1"/>
  <c r="AL38" i="1"/>
  <c r="AK38" i="1"/>
  <c r="AJ38" i="1"/>
  <c r="AI38" i="1"/>
  <c r="AH38" i="1"/>
  <c r="AF38" i="1"/>
  <c r="AM38" i="1" s="1"/>
  <c r="AE38" i="1"/>
  <c r="T38" i="1"/>
  <c r="S38" i="1"/>
  <c r="O38" i="1"/>
  <c r="N38" i="1"/>
  <c r="M38" i="1"/>
  <c r="BD37" i="1"/>
  <c r="BA37" i="1"/>
  <c r="AX37" i="1"/>
  <c r="AV37" i="1"/>
  <c r="AU37" i="1"/>
  <c r="AL37" i="1"/>
  <c r="AK37" i="1"/>
  <c r="AJ37" i="1"/>
  <c r="AI37" i="1"/>
  <c r="AH37" i="1"/>
  <c r="AF37" i="1"/>
  <c r="AM37" i="1" s="1"/>
  <c r="AE37" i="1"/>
  <c r="T37" i="1"/>
  <c r="S37" i="1"/>
  <c r="O37" i="1"/>
  <c r="N37" i="1"/>
  <c r="M37" i="1"/>
  <c r="BD36" i="1"/>
  <c r="BA36" i="1"/>
  <c r="AX36" i="1"/>
  <c r="AV36" i="1"/>
  <c r="AU36" i="1"/>
  <c r="AL36" i="1"/>
  <c r="AK36" i="1"/>
  <c r="AJ36" i="1"/>
  <c r="AI36" i="1"/>
  <c r="AH36" i="1"/>
  <c r="AF36" i="1"/>
  <c r="AM36" i="1" s="1"/>
  <c r="AE36" i="1"/>
  <c r="T36" i="1"/>
  <c r="S36" i="1"/>
  <c r="O36" i="1"/>
  <c r="N36" i="1"/>
  <c r="M36" i="1"/>
  <c r="BD35" i="1"/>
  <c r="BA35" i="1"/>
  <c r="AX35" i="1"/>
  <c r="AV35" i="1"/>
  <c r="AU35" i="1"/>
  <c r="AL35" i="1"/>
  <c r="AK35" i="1"/>
  <c r="AJ35" i="1"/>
  <c r="AI35" i="1"/>
  <c r="AH35" i="1"/>
  <c r="AF35" i="1"/>
  <c r="AM35" i="1" s="1"/>
  <c r="AE35" i="1"/>
  <c r="T35" i="1"/>
  <c r="S35" i="1"/>
  <c r="O35" i="1"/>
  <c r="N35" i="1"/>
  <c r="M35" i="1"/>
  <c r="BD34" i="1"/>
  <c r="BA34" i="1"/>
  <c r="AX34" i="1"/>
  <c r="AV34" i="1"/>
  <c r="AU34" i="1"/>
  <c r="AL34" i="1"/>
  <c r="AK34" i="1"/>
  <c r="AJ34" i="1"/>
  <c r="AI34" i="1"/>
  <c r="AH34" i="1"/>
  <c r="AF34" i="1"/>
  <c r="AM34" i="1" s="1"/>
  <c r="AE34" i="1"/>
  <c r="T34" i="1"/>
  <c r="S34" i="1"/>
  <c r="O34" i="1"/>
  <c r="N34" i="1"/>
  <c r="M34" i="1"/>
  <c r="BD33" i="1"/>
  <c r="BA33" i="1"/>
  <c r="AX33" i="1"/>
  <c r="AV33" i="1"/>
  <c r="AU33" i="1"/>
  <c r="AL33" i="1"/>
  <c r="AK33" i="1"/>
  <c r="AJ33" i="1"/>
  <c r="AI33" i="1"/>
  <c r="AH33" i="1"/>
  <c r="AF33" i="1"/>
  <c r="AM33" i="1" s="1"/>
  <c r="AE33" i="1"/>
  <c r="X33" i="1"/>
  <c r="X34" i="1" s="1"/>
  <c r="X35" i="1" s="1"/>
  <c r="X36" i="1" s="1"/>
  <c r="X37" i="1" s="1"/>
  <c r="X38" i="1" s="1"/>
  <c r="W33" i="1"/>
  <c r="W34" i="1" s="1"/>
  <c r="W35" i="1" s="1"/>
  <c r="W36" i="1" s="1"/>
  <c r="W37" i="1" s="1"/>
  <c r="W38" i="1" s="1"/>
  <c r="T33" i="1"/>
  <c r="S33" i="1"/>
  <c r="O33" i="1"/>
  <c r="N33" i="1"/>
  <c r="M33" i="1"/>
  <c r="BD32" i="1"/>
  <c r="BA32" i="1"/>
  <c r="AX32" i="1"/>
  <c r="AV32" i="1"/>
  <c r="AU32" i="1"/>
  <c r="AL32" i="1"/>
  <c r="AC511" i="1" s="1"/>
  <c r="AK32" i="1"/>
  <c r="AJ32" i="1"/>
  <c r="AI32" i="1"/>
  <c r="AH32" i="1"/>
  <c r="AF32" i="1"/>
  <c r="AM32" i="1" s="1"/>
  <c r="AE32" i="1"/>
  <c r="T32" i="1"/>
  <c r="S32" i="1"/>
  <c r="O32" i="1"/>
  <c r="N32" i="1"/>
  <c r="M32" i="1"/>
  <c r="BD31" i="1"/>
  <c r="BA31" i="1"/>
  <c r="AV31" i="1"/>
  <c r="AU31" i="1"/>
  <c r="AL31" i="1"/>
  <c r="AK31" i="1"/>
  <c r="AJ31" i="1"/>
  <c r="AI31" i="1"/>
  <c r="AH31" i="1"/>
  <c r="AE31" i="1"/>
  <c r="AF31" i="1" s="1"/>
  <c r="AM31" i="1" s="1"/>
  <c r="T31" i="1"/>
  <c r="S31" i="1"/>
  <c r="O31" i="1"/>
  <c r="N31" i="1"/>
  <c r="M31" i="1"/>
  <c r="AX31" i="1" s="1"/>
  <c r="BD30" i="1"/>
  <c r="BA30" i="1"/>
  <c r="AV30" i="1"/>
  <c r="AU30" i="1"/>
  <c r="AL30" i="1"/>
  <c r="AK30" i="1"/>
  <c r="AJ30" i="1"/>
  <c r="AI30" i="1"/>
  <c r="AH30" i="1"/>
  <c r="AE30" i="1"/>
  <c r="AF30" i="1" s="1"/>
  <c r="AM30" i="1" s="1"/>
  <c r="T30" i="1"/>
  <c r="S30" i="1"/>
  <c r="O30" i="1"/>
  <c r="N30" i="1"/>
  <c r="M30" i="1"/>
  <c r="AX30" i="1" s="1"/>
  <c r="BD29" i="1"/>
  <c r="BA29" i="1"/>
  <c r="AV29" i="1"/>
  <c r="AU29" i="1"/>
  <c r="AL29" i="1"/>
  <c r="AK29" i="1"/>
  <c r="AJ29" i="1"/>
  <c r="AI29" i="1"/>
  <c r="AH29" i="1"/>
  <c r="AE29" i="1"/>
  <c r="AF29" i="1" s="1"/>
  <c r="AM29" i="1" s="1"/>
  <c r="T29" i="1"/>
  <c r="S29" i="1"/>
  <c r="O29" i="1"/>
  <c r="N29" i="1"/>
  <c r="M29" i="1"/>
  <c r="AX29" i="1" s="1"/>
  <c r="BD28" i="1"/>
  <c r="BA28" i="1"/>
  <c r="AV28" i="1"/>
  <c r="AU28" i="1"/>
  <c r="AL28" i="1"/>
  <c r="AK28" i="1"/>
  <c r="AJ28" i="1"/>
  <c r="AI28" i="1"/>
  <c r="AH28" i="1"/>
  <c r="AE28" i="1"/>
  <c r="AF28" i="1" s="1"/>
  <c r="AM28" i="1" s="1"/>
  <c r="T28" i="1"/>
  <c r="S28" i="1"/>
  <c r="O28" i="1"/>
  <c r="N28" i="1"/>
  <c r="M28" i="1"/>
  <c r="AX28" i="1" s="1"/>
  <c r="BD27" i="1"/>
  <c r="BA27" i="1"/>
  <c r="AV27" i="1"/>
  <c r="AU27" i="1"/>
  <c r="AL27" i="1"/>
  <c r="AK27" i="1"/>
  <c r="AJ27" i="1"/>
  <c r="AI27" i="1"/>
  <c r="AH27" i="1"/>
  <c r="AE27" i="1"/>
  <c r="AF27" i="1" s="1"/>
  <c r="AM27" i="1" s="1"/>
  <c r="T27" i="1"/>
  <c r="S27" i="1"/>
  <c r="O27" i="1"/>
  <c r="N27" i="1"/>
  <c r="M27" i="1"/>
  <c r="AX27" i="1" s="1"/>
  <c r="BD26" i="1"/>
  <c r="BA26" i="1"/>
  <c r="AV26" i="1"/>
  <c r="AU26" i="1"/>
  <c r="AL26" i="1"/>
  <c r="AK26" i="1"/>
  <c r="AJ26" i="1"/>
  <c r="AI26" i="1"/>
  <c r="AH26" i="1"/>
  <c r="AE26" i="1"/>
  <c r="AF26" i="1" s="1"/>
  <c r="AM26" i="1" s="1"/>
  <c r="X26" i="1"/>
  <c r="X27" i="1" s="1"/>
  <c r="X28" i="1" s="1"/>
  <c r="X29" i="1" s="1"/>
  <c r="X30" i="1" s="1"/>
  <c r="X31" i="1" s="1"/>
  <c r="W26" i="1"/>
  <c r="W27" i="1" s="1"/>
  <c r="W28" i="1" s="1"/>
  <c r="W29" i="1" s="1"/>
  <c r="W30" i="1" s="1"/>
  <c r="W31" i="1" s="1"/>
  <c r="T26" i="1"/>
  <c r="S26" i="1"/>
  <c r="O26" i="1"/>
  <c r="N26" i="1"/>
  <c r="M26" i="1"/>
  <c r="AX26" i="1" s="1"/>
  <c r="BD25" i="1"/>
  <c r="BA25" i="1"/>
  <c r="AV25" i="1"/>
  <c r="AU25" i="1"/>
  <c r="AL25" i="1"/>
  <c r="AC510" i="1" s="1"/>
  <c r="AK25" i="1"/>
  <c r="AJ25" i="1"/>
  <c r="AI25" i="1"/>
  <c r="AH25" i="1"/>
  <c r="AE25" i="1"/>
  <c r="AF25" i="1" s="1"/>
  <c r="AM25" i="1" s="1"/>
  <c r="T25" i="1"/>
  <c r="S25" i="1"/>
  <c r="O25" i="1"/>
  <c r="N25" i="1"/>
  <c r="M25" i="1"/>
  <c r="AX25" i="1" s="1"/>
  <c r="BD24" i="1"/>
  <c r="BA24" i="1"/>
  <c r="AV24" i="1"/>
  <c r="AU24" i="1"/>
  <c r="AK24" i="1"/>
  <c r="AJ24" i="1"/>
  <c r="AI24" i="1"/>
  <c r="AH24" i="1"/>
  <c r="AE24" i="1"/>
  <c r="AL24" i="1" s="1"/>
  <c r="T24" i="1"/>
  <c r="S24" i="1"/>
  <c r="O24" i="1"/>
  <c r="N24" i="1"/>
  <c r="AX24" i="1" s="1"/>
  <c r="M24" i="1"/>
  <c r="BD23" i="1"/>
  <c r="BA23" i="1"/>
  <c r="AV23" i="1"/>
  <c r="AU23" i="1"/>
  <c r="AK23" i="1"/>
  <c r="AJ23" i="1"/>
  <c r="AI23" i="1"/>
  <c r="AH23" i="1"/>
  <c r="AF23" i="1"/>
  <c r="AM23" i="1" s="1"/>
  <c r="AE23" i="1"/>
  <c r="AL23" i="1" s="1"/>
  <c r="T23" i="1"/>
  <c r="S23" i="1"/>
  <c r="O23" i="1"/>
  <c r="N23" i="1"/>
  <c r="AX23" i="1" s="1"/>
  <c r="M23" i="1"/>
  <c r="BD22" i="1"/>
  <c r="BA22" i="1"/>
  <c r="AV22" i="1"/>
  <c r="AU22" i="1"/>
  <c r="AK22" i="1"/>
  <c r="AJ22" i="1"/>
  <c r="AI22" i="1"/>
  <c r="AH22" i="1"/>
  <c r="AF22" i="1"/>
  <c r="AM22" i="1" s="1"/>
  <c r="AE22" i="1"/>
  <c r="AL22" i="1" s="1"/>
  <c r="T22" i="1"/>
  <c r="S22" i="1"/>
  <c r="O22" i="1"/>
  <c r="N22" i="1"/>
  <c r="AX22" i="1" s="1"/>
  <c r="M22" i="1"/>
  <c r="BD21" i="1"/>
  <c r="BA21" i="1"/>
  <c r="AV21" i="1"/>
  <c r="AU21" i="1"/>
  <c r="AK21" i="1"/>
  <c r="AJ21" i="1"/>
  <c r="AI21" i="1"/>
  <c r="AH21" i="1"/>
  <c r="AE21" i="1"/>
  <c r="AL21" i="1" s="1"/>
  <c r="T21" i="1"/>
  <c r="S21" i="1"/>
  <c r="O21" i="1"/>
  <c r="N21" i="1"/>
  <c r="AX21" i="1" s="1"/>
  <c r="M21" i="1"/>
  <c r="BD20" i="1"/>
  <c r="BA20" i="1"/>
  <c r="AV20" i="1"/>
  <c r="AU20" i="1"/>
  <c r="AK20" i="1"/>
  <c r="AJ20" i="1"/>
  <c r="AI20" i="1"/>
  <c r="AH20" i="1"/>
  <c r="AE20" i="1"/>
  <c r="AL20" i="1" s="1"/>
  <c r="T20" i="1"/>
  <c r="S20" i="1"/>
  <c r="O20" i="1"/>
  <c r="N20" i="1"/>
  <c r="AX20" i="1" s="1"/>
  <c r="M20" i="1"/>
  <c r="BD19" i="1"/>
  <c r="BA19" i="1"/>
  <c r="AV19" i="1"/>
  <c r="AU19" i="1"/>
  <c r="AK19" i="1"/>
  <c r="AJ19" i="1"/>
  <c r="AI19" i="1"/>
  <c r="AH19" i="1"/>
  <c r="AE19" i="1"/>
  <c r="AL19" i="1" s="1"/>
  <c r="X19" i="1"/>
  <c r="X20" i="1" s="1"/>
  <c r="X21" i="1" s="1"/>
  <c r="X22" i="1" s="1"/>
  <c r="X23" i="1" s="1"/>
  <c r="X24" i="1" s="1"/>
  <c r="W19" i="1"/>
  <c r="W20" i="1" s="1"/>
  <c r="W21" i="1" s="1"/>
  <c r="W22" i="1" s="1"/>
  <c r="W23" i="1" s="1"/>
  <c r="W24" i="1" s="1"/>
  <c r="T19" i="1"/>
  <c r="S19" i="1"/>
  <c r="O19" i="1"/>
  <c r="N19" i="1"/>
  <c r="AX19" i="1" s="1"/>
  <c r="M19" i="1"/>
  <c r="BD18" i="1"/>
  <c r="BA18" i="1"/>
  <c r="AV18" i="1"/>
  <c r="AU18" i="1"/>
  <c r="AK18" i="1"/>
  <c r="AJ18" i="1"/>
  <c r="AI18" i="1"/>
  <c r="AH18" i="1"/>
  <c r="AF18" i="1"/>
  <c r="AM18" i="1" s="1"/>
  <c r="AE18" i="1"/>
  <c r="AL18" i="1" s="1"/>
  <c r="T18" i="1"/>
  <c r="S18" i="1"/>
  <c r="O18" i="1"/>
  <c r="N18" i="1"/>
  <c r="M18" i="1"/>
  <c r="AX18" i="1" s="1"/>
  <c r="A18" i="1"/>
  <c r="A25" i="1" s="1"/>
  <c r="A32" i="1" s="1"/>
  <c r="A39" i="1" s="1"/>
  <c r="A46" i="1" s="1"/>
  <c r="A53" i="1" s="1"/>
  <c r="A60" i="1" s="1"/>
  <c r="A67" i="1" s="1"/>
  <c r="A74" i="1" s="1"/>
  <c r="A81" i="1" s="1"/>
  <c r="A88" i="1" s="1"/>
  <c r="A95" i="1" s="1"/>
  <c r="A102" i="1" s="1"/>
  <c r="A109" i="1" s="1"/>
  <c r="A116" i="1" s="1"/>
  <c r="A123" i="1" s="1"/>
  <c r="A130" i="1" s="1"/>
  <c r="A137" i="1" s="1"/>
  <c r="A144" i="1" s="1"/>
  <c r="A151" i="1" s="1"/>
  <c r="A158" i="1" s="1"/>
  <c r="A165" i="1" s="1"/>
  <c r="A172" i="1" s="1"/>
  <c r="A179" i="1" s="1"/>
  <c r="A186" i="1" s="1"/>
  <c r="A193" i="1" s="1"/>
  <c r="A200" i="1" s="1"/>
  <c r="A207" i="1" s="1"/>
  <c r="A214" i="1" s="1"/>
  <c r="A221" i="1" s="1"/>
  <c r="A228" i="1" s="1"/>
  <c r="A235" i="1" s="1"/>
  <c r="A242" i="1" s="1"/>
  <c r="A249" i="1" s="1"/>
  <c r="A256" i="1" s="1"/>
  <c r="A263" i="1" s="1"/>
  <c r="A270" i="1" s="1"/>
  <c r="A277" i="1" s="1"/>
  <c r="A284" i="1" s="1"/>
  <c r="A291" i="1" s="1"/>
  <c r="A298" i="1" s="1"/>
  <c r="A305" i="1" s="1"/>
  <c r="A312" i="1" s="1"/>
  <c r="A319" i="1" s="1"/>
  <c r="A326" i="1" s="1"/>
  <c r="A333" i="1" s="1"/>
  <c r="A340" i="1" s="1"/>
  <c r="A347" i="1" s="1"/>
  <c r="A354" i="1" s="1"/>
  <c r="A361" i="1" s="1"/>
  <c r="A368" i="1" s="1"/>
  <c r="A375" i="1" s="1"/>
  <c r="A382" i="1" s="1"/>
  <c r="A389" i="1" s="1"/>
  <c r="A396" i="1" s="1"/>
  <c r="A403" i="1" s="1"/>
  <c r="A410" i="1" s="1"/>
  <c r="A417" i="1" s="1"/>
  <c r="A424" i="1" s="1"/>
  <c r="A431" i="1" s="1"/>
  <c r="A438" i="1" s="1"/>
  <c r="A445" i="1" s="1"/>
  <c r="A452" i="1" s="1"/>
  <c r="A459" i="1" s="1"/>
  <c r="A466" i="1" s="1"/>
  <c r="A473" i="1" s="1"/>
  <c r="A480" i="1" s="1"/>
  <c r="A487" i="1" s="1"/>
  <c r="A494" i="1" s="1"/>
  <c r="BD17" i="1"/>
  <c r="BA17" i="1"/>
  <c r="AV17" i="1"/>
  <c r="AU17" i="1"/>
  <c r="AL17" i="1"/>
  <c r="AK17" i="1"/>
  <c r="AJ17" i="1"/>
  <c r="AI17" i="1"/>
  <c r="AH17" i="1"/>
  <c r="AF17" i="1"/>
  <c r="AM17" i="1" s="1"/>
  <c r="AE17" i="1"/>
  <c r="T17" i="1"/>
  <c r="S17" i="1"/>
  <c r="O17" i="1"/>
  <c r="N17" i="1"/>
  <c r="M17" i="1"/>
  <c r="AX17" i="1" s="1"/>
  <c r="BD16" i="1"/>
  <c r="BA16" i="1"/>
  <c r="AV16" i="1"/>
  <c r="AU16" i="1"/>
  <c r="AL16" i="1"/>
  <c r="AK16" i="1"/>
  <c r="AJ16" i="1"/>
  <c r="AI16" i="1"/>
  <c r="AH16" i="1"/>
  <c r="AF16" i="1"/>
  <c r="AM16" i="1" s="1"/>
  <c r="AE16" i="1"/>
  <c r="T16" i="1"/>
  <c r="S16" i="1"/>
  <c r="O16" i="1"/>
  <c r="N16" i="1"/>
  <c r="M16" i="1"/>
  <c r="AX16" i="1" s="1"/>
  <c r="BD15" i="1"/>
  <c r="BA15" i="1"/>
  <c r="AV15" i="1"/>
  <c r="AU15" i="1"/>
  <c r="AL15" i="1"/>
  <c r="AK15" i="1"/>
  <c r="AJ15" i="1"/>
  <c r="AI15" i="1"/>
  <c r="AH15" i="1"/>
  <c r="AE15" i="1"/>
  <c r="AF15" i="1" s="1"/>
  <c r="AM15" i="1" s="1"/>
  <c r="T15" i="1"/>
  <c r="S15" i="1"/>
  <c r="O15" i="1"/>
  <c r="N15" i="1"/>
  <c r="M15" i="1"/>
  <c r="B15" i="1"/>
  <c r="B16" i="1" s="1"/>
  <c r="B17" i="1" s="1"/>
  <c r="BD14" i="1"/>
  <c r="BA14" i="1"/>
  <c r="AV14" i="1"/>
  <c r="AU14" i="1"/>
  <c r="AK14" i="1"/>
  <c r="AJ14" i="1"/>
  <c r="AI14" i="1"/>
  <c r="AH14" i="1"/>
  <c r="AE14" i="1"/>
  <c r="AL14" i="1" s="1"/>
  <c r="T14" i="1"/>
  <c r="S14" i="1"/>
  <c r="O14" i="1"/>
  <c r="N14" i="1"/>
  <c r="M14" i="1"/>
  <c r="AX14" i="1" s="1"/>
  <c r="BD13" i="1"/>
  <c r="BA13" i="1"/>
  <c r="AV13" i="1"/>
  <c r="AU13" i="1"/>
  <c r="AL13" i="1"/>
  <c r="AK13" i="1"/>
  <c r="AJ13" i="1"/>
  <c r="AI13" i="1"/>
  <c r="AH13" i="1"/>
  <c r="AF13" i="1"/>
  <c r="AM13" i="1" s="1"/>
  <c r="AE13" i="1"/>
  <c r="T13" i="1"/>
  <c r="S13" i="1"/>
  <c r="O13" i="1"/>
  <c r="N13" i="1"/>
  <c r="M13" i="1"/>
  <c r="AX13" i="1" s="1"/>
  <c r="BD12" i="1"/>
  <c r="BA12" i="1"/>
  <c r="AX12" i="1"/>
  <c r="AV12" i="1"/>
  <c r="AU12" i="1"/>
  <c r="AL12" i="1"/>
  <c r="AK12" i="1"/>
  <c r="AJ12" i="1"/>
  <c r="AI12" i="1"/>
  <c r="AH12" i="1"/>
  <c r="AF12" i="1"/>
  <c r="AM12" i="1" s="1"/>
  <c r="AE12" i="1"/>
  <c r="T12" i="1"/>
  <c r="S12" i="1"/>
  <c r="O12" i="1"/>
  <c r="N12" i="1"/>
  <c r="M12" i="1"/>
  <c r="A12" i="1"/>
  <c r="BD11" i="1"/>
  <c r="BA11" i="1"/>
  <c r="AV11" i="1"/>
  <c r="AU11" i="1"/>
  <c r="AL11" i="1"/>
  <c r="AK11" i="1"/>
  <c r="AJ11" i="1"/>
  <c r="AI11" i="1"/>
  <c r="AH11" i="1"/>
  <c r="AG11" i="1"/>
  <c r="AE11" i="1"/>
  <c r="AF11" i="1" s="1"/>
  <c r="AM11" i="1" s="1"/>
  <c r="T11" i="1"/>
  <c r="S11" i="1"/>
  <c r="O11" i="1"/>
  <c r="N11" i="1"/>
  <c r="M11" i="1"/>
  <c r="AX11" i="1" s="1"/>
  <c r="K11" i="1"/>
  <c r="AW11" i="1" s="1"/>
  <c r="G11" i="1"/>
  <c r="I12" i="1" s="1"/>
  <c r="B11" i="1"/>
  <c r="B12" i="1" s="1"/>
  <c r="B13" i="1" s="1"/>
  <c r="B14" i="1" s="1"/>
  <c r="A11" i="1"/>
  <c r="H10" i="1"/>
  <c r="L11" i="1" s="1"/>
  <c r="G10" i="1"/>
  <c r="B10" i="1"/>
  <c r="B7" i="1"/>
  <c r="B6" i="1"/>
  <c r="A6" i="1"/>
  <c r="B2" i="1" a="1"/>
  <c r="B2" i="1" s="1"/>
  <c r="A7" i="1" s="1"/>
  <c r="AF20" i="1" l="1"/>
  <c r="AM20" i="1" s="1"/>
  <c r="AX46" i="1"/>
  <c r="J11" i="1"/>
  <c r="I11" i="1"/>
  <c r="A19" i="1"/>
  <c r="A26" i="1" s="1"/>
  <c r="A33" i="1" s="1"/>
  <c r="A40" i="1" s="1"/>
  <c r="A47" i="1" s="1"/>
  <c r="A54" i="1" s="1"/>
  <c r="A61" i="1" s="1"/>
  <c r="A68" i="1" s="1"/>
  <c r="A75" i="1" s="1"/>
  <c r="A82" i="1" s="1"/>
  <c r="A89" i="1" s="1"/>
  <c r="A96" i="1" s="1"/>
  <c r="A103" i="1" s="1"/>
  <c r="A110" i="1" s="1"/>
  <c r="A117" i="1" s="1"/>
  <c r="A124" i="1" s="1"/>
  <c r="A131" i="1" s="1"/>
  <c r="A138" i="1" s="1"/>
  <c r="A145" i="1" s="1"/>
  <c r="A152" i="1" s="1"/>
  <c r="A159" i="1" s="1"/>
  <c r="A166" i="1" s="1"/>
  <c r="A173" i="1" s="1"/>
  <c r="A180" i="1" s="1"/>
  <c r="A187" i="1" s="1"/>
  <c r="A194" i="1" s="1"/>
  <c r="A201" i="1" s="1"/>
  <c r="A208" i="1" s="1"/>
  <c r="A215" i="1" s="1"/>
  <c r="A222" i="1" s="1"/>
  <c r="A229" i="1" s="1"/>
  <c r="A236" i="1" s="1"/>
  <c r="A243" i="1" s="1"/>
  <c r="A250" i="1" s="1"/>
  <c r="A257" i="1" s="1"/>
  <c r="A264" i="1" s="1"/>
  <c r="A271" i="1" s="1"/>
  <c r="A278" i="1" s="1"/>
  <c r="A285" i="1" s="1"/>
  <c r="A292" i="1" s="1"/>
  <c r="A299" i="1" s="1"/>
  <c r="A306" i="1" s="1"/>
  <c r="A313" i="1" s="1"/>
  <c r="A320" i="1" s="1"/>
  <c r="A327" i="1" s="1"/>
  <c r="A334" i="1" s="1"/>
  <c r="A341" i="1" s="1"/>
  <c r="A348" i="1" s="1"/>
  <c r="A355" i="1" s="1"/>
  <c r="A362" i="1" s="1"/>
  <c r="A369" i="1" s="1"/>
  <c r="A376" i="1" s="1"/>
  <c r="A383" i="1" s="1"/>
  <c r="A390" i="1" s="1"/>
  <c r="A397" i="1" s="1"/>
  <c r="A404" i="1" s="1"/>
  <c r="A411" i="1" s="1"/>
  <c r="A418" i="1" s="1"/>
  <c r="A425" i="1" s="1"/>
  <c r="A432" i="1" s="1"/>
  <c r="A439" i="1" s="1"/>
  <c r="A446" i="1" s="1"/>
  <c r="A453" i="1" s="1"/>
  <c r="A460" i="1" s="1"/>
  <c r="A467" i="1" s="1"/>
  <c r="A474" i="1" s="1"/>
  <c r="A481" i="1" s="1"/>
  <c r="A488" i="1" s="1"/>
  <c r="A495" i="1" s="1"/>
  <c r="A13" i="1"/>
  <c r="AX15" i="1"/>
  <c r="AL69" i="1"/>
  <c r="AF69" i="1"/>
  <c r="AM69" i="1" s="1"/>
  <c r="AC508" i="1"/>
  <c r="AF24" i="1"/>
  <c r="AM24" i="1" s="1"/>
  <c r="AL52" i="1"/>
  <c r="AF52" i="1"/>
  <c r="AM52" i="1" s="1"/>
  <c r="AF14" i="1"/>
  <c r="AM14" i="1" s="1"/>
  <c r="AF19" i="1"/>
  <c r="AM19" i="1" s="1"/>
  <c r="AD509" i="1" s="1"/>
  <c r="AF21" i="1"/>
  <c r="AM21" i="1" s="1"/>
  <c r="AD510" i="1"/>
  <c r="AD511" i="1"/>
  <c r="AD521" i="1"/>
  <c r="AC509" i="1"/>
  <c r="AF106" i="1"/>
  <c r="AM106" i="1" s="1"/>
  <c r="AL106" i="1"/>
  <c r="G12" i="1"/>
  <c r="U11" i="1"/>
  <c r="J12" i="1"/>
  <c r="B508" i="1"/>
  <c r="B18" i="1"/>
  <c r="B19" i="1" s="1"/>
  <c r="B20" i="1" s="1"/>
  <c r="B21" i="1" s="1"/>
  <c r="B22" i="1" s="1"/>
  <c r="B23" i="1" s="1"/>
  <c r="B24" i="1" s="1"/>
  <c r="AC512" i="1"/>
  <c r="AL73" i="1"/>
  <c r="AF73" i="1"/>
  <c r="AM73" i="1" s="1"/>
  <c r="AL51" i="1"/>
  <c r="AF51" i="1"/>
  <c r="AM51" i="1" s="1"/>
  <c r="AC514" i="1"/>
  <c r="AL78" i="1"/>
  <c r="AF78" i="1"/>
  <c r="AM78" i="1" s="1"/>
  <c r="AX79" i="1"/>
  <c r="AX105" i="1"/>
  <c r="AF124" i="1"/>
  <c r="AM124" i="1" s="1"/>
  <c r="AL124" i="1"/>
  <c r="AF182" i="1"/>
  <c r="AM182" i="1" s="1"/>
  <c r="AL182" i="1"/>
  <c r="H11" i="1"/>
  <c r="AD514" i="1"/>
  <c r="AL77" i="1"/>
  <c r="AF77" i="1"/>
  <c r="AM77" i="1" s="1"/>
  <c r="AX78" i="1"/>
  <c r="AD519" i="1"/>
  <c r="AF100" i="1"/>
  <c r="AM100" i="1" s="1"/>
  <c r="AD520" i="1" s="1"/>
  <c r="AL100" i="1"/>
  <c r="AF103" i="1"/>
  <c r="AM103" i="1" s="1"/>
  <c r="AL103" i="1"/>
  <c r="AC521" i="1" s="1"/>
  <c r="AD518" i="1"/>
  <c r="AF101" i="1"/>
  <c r="AM101" i="1" s="1"/>
  <c r="AL101" i="1"/>
  <c r="AF129" i="1"/>
  <c r="AM129" i="1" s="1"/>
  <c r="AD524" i="1" s="1"/>
  <c r="AL129" i="1"/>
  <c r="AX45" i="1"/>
  <c r="AC516" i="1"/>
  <c r="AX68" i="1"/>
  <c r="AF68" i="1"/>
  <c r="AM68" i="1" s="1"/>
  <c r="AD516" i="1" s="1"/>
  <c r="AF72" i="1"/>
  <c r="AM72" i="1" s="1"/>
  <c r="AL76" i="1"/>
  <c r="AF76" i="1"/>
  <c r="AM76" i="1" s="1"/>
  <c r="AX77" i="1"/>
  <c r="AL80" i="1"/>
  <c r="AF80" i="1"/>
  <c r="AM80" i="1" s="1"/>
  <c r="AF279" i="1"/>
  <c r="AM279" i="1" s="1"/>
  <c r="AL279" i="1"/>
  <c r="AF46" i="1"/>
  <c r="AM46" i="1" s="1"/>
  <c r="AL49" i="1"/>
  <c r="AC513" i="1" s="1"/>
  <c r="AF49" i="1"/>
  <c r="AM49" i="1" s="1"/>
  <c r="AF71" i="1"/>
  <c r="AM71" i="1" s="1"/>
  <c r="AL74" i="1"/>
  <c r="AC517" i="1" s="1"/>
  <c r="AF74" i="1"/>
  <c r="AM74" i="1" s="1"/>
  <c r="AL75" i="1"/>
  <c r="AF75" i="1"/>
  <c r="AM75" i="1" s="1"/>
  <c r="AL79" i="1"/>
  <c r="AF79" i="1"/>
  <c r="AM79" i="1" s="1"/>
  <c r="AF107" i="1"/>
  <c r="AM107" i="1" s="1"/>
  <c r="AL107" i="1"/>
  <c r="AF152" i="1"/>
  <c r="AM152" i="1" s="1"/>
  <c r="AD528" i="1" s="1"/>
  <c r="AL152" i="1"/>
  <c r="AL48" i="1"/>
  <c r="AF48" i="1"/>
  <c r="AM48" i="1" s="1"/>
  <c r="AX44" i="1"/>
  <c r="AL50" i="1"/>
  <c r="AF50" i="1"/>
  <c r="AM50" i="1" s="1"/>
  <c r="AX71" i="1"/>
  <c r="AC519" i="1"/>
  <c r="AX99" i="1"/>
  <c r="AX128" i="1"/>
  <c r="AD527" i="1"/>
  <c r="AX156" i="1"/>
  <c r="AF162" i="1"/>
  <c r="AM162" i="1" s="1"/>
  <c r="AD529" i="1" s="1"/>
  <c r="AL162" i="1"/>
  <c r="AF118" i="1"/>
  <c r="AM118" i="1" s="1"/>
  <c r="AL118" i="1"/>
  <c r="AX124" i="1"/>
  <c r="AL128" i="1"/>
  <c r="AC524" i="1" s="1"/>
  <c r="AX129" i="1"/>
  <c r="AD526" i="1"/>
  <c r="AC528" i="1"/>
  <c r="AX152" i="1"/>
  <c r="AF164" i="1"/>
  <c r="AM164" i="1" s="1"/>
  <c r="AL164" i="1"/>
  <c r="AL174" i="1"/>
  <c r="AF174" i="1"/>
  <c r="AM174" i="1" s="1"/>
  <c r="AD531" i="1" s="1"/>
  <c r="AL96" i="1"/>
  <c r="AC520" i="1" s="1"/>
  <c r="AL98" i="1"/>
  <c r="AC522" i="1"/>
  <c r="AX117" i="1"/>
  <c r="AF117" i="1"/>
  <c r="AM117" i="1" s="1"/>
  <c r="AL117" i="1"/>
  <c r="AL126" i="1"/>
  <c r="AX127" i="1"/>
  <c r="AL154" i="1"/>
  <c r="AF160" i="1"/>
  <c r="AM160" i="1" s="1"/>
  <c r="AL160" i="1"/>
  <c r="AX98" i="1"/>
  <c r="AD522" i="1"/>
  <c r="AF116" i="1"/>
  <c r="AM116" i="1" s="1"/>
  <c r="AL116" i="1"/>
  <c r="AX130" i="1"/>
  <c r="AL119" i="1"/>
  <c r="AL120" i="1"/>
  <c r="AL121" i="1"/>
  <c r="AL122" i="1"/>
  <c r="AL144" i="1"/>
  <c r="AL145" i="1"/>
  <c r="AL146" i="1"/>
  <c r="AL147" i="1"/>
  <c r="AL148" i="1"/>
  <c r="AL149" i="1"/>
  <c r="AL150" i="1"/>
  <c r="AL158" i="1"/>
  <c r="AC530" i="1"/>
  <c r="AF181" i="1"/>
  <c r="AM181" i="1" s="1"/>
  <c r="AL181" i="1"/>
  <c r="AD530" i="1"/>
  <c r="AF179" i="1"/>
  <c r="AM179" i="1" s="1"/>
  <c r="AL179" i="1"/>
  <c r="AC531" i="1"/>
  <c r="AF173" i="1"/>
  <c r="AM173" i="1" s="1"/>
  <c r="AF180" i="1"/>
  <c r="AM180" i="1" s="1"/>
  <c r="AL180" i="1"/>
  <c r="AL186" i="1"/>
  <c r="AC533" i="1" s="1"/>
  <c r="AF186" i="1"/>
  <c r="AM186" i="1" s="1"/>
  <c r="AF239" i="1"/>
  <c r="AM239" i="1" s="1"/>
  <c r="AL239" i="1"/>
  <c r="AX189" i="1"/>
  <c r="AX191" i="1"/>
  <c r="AX221" i="1"/>
  <c r="AF277" i="1"/>
  <c r="AM277" i="1" s="1"/>
  <c r="AL277" i="1"/>
  <c r="AC546" i="1" s="1"/>
  <c r="AL218" i="1"/>
  <c r="AF188" i="1"/>
  <c r="AM188" i="1" s="1"/>
  <c r="AF190" i="1"/>
  <c r="AM190" i="1" s="1"/>
  <c r="AF192" i="1"/>
  <c r="AM192" i="1" s="1"/>
  <c r="AF194" i="1"/>
  <c r="AM194" i="1" s="1"/>
  <c r="AL194" i="1"/>
  <c r="AF196" i="1"/>
  <c r="AM196" i="1" s="1"/>
  <c r="AL196" i="1"/>
  <c r="AF198" i="1"/>
  <c r="AM198" i="1" s="1"/>
  <c r="AL198" i="1"/>
  <c r="AC536" i="1"/>
  <c r="AF223" i="1"/>
  <c r="AM223" i="1" s="1"/>
  <c r="AX226" i="1"/>
  <c r="AF227" i="1"/>
  <c r="AM227" i="1" s="1"/>
  <c r="AX188" i="1"/>
  <c r="AX190" i="1"/>
  <c r="AX192" i="1"/>
  <c r="AD535" i="1"/>
  <c r="AL214" i="1"/>
  <c r="AL216" i="1"/>
  <c r="AX217" i="1"/>
  <c r="AC539" i="1"/>
  <c r="AF193" i="1"/>
  <c r="AM193" i="1" s="1"/>
  <c r="AL193" i="1"/>
  <c r="AC534" i="1" s="1"/>
  <c r="AD537" i="1"/>
  <c r="AC543" i="1"/>
  <c r="AD536" i="1"/>
  <c r="AF221" i="1"/>
  <c r="AM221" i="1" s="1"/>
  <c r="AF195" i="1"/>
  <c r="AM195" i="1" s="1"/>
  <c r="AL195" i="1"/>
  <c r="AF197" i="1"/>
  <c r="AM197" i="1" s="1"/>
  <c r="AL197" i="1"/>
  <c r="AF199" i="1"/>
  <c r="AM199" i="1" s="1"/>
  <c r="AL199" i="1"/>
  <c r="AL217" i="1"/>
  <c r="AX218" i="1"/>
  <c r="AX224" i="1"/>
  <c r="AX228" i="1"/>
  <c r="AF237" i="1"/>
  <c r="AM237" i="1" s="1"/>
  <c r="AL237" i="1"/>
  <c r="AF240" i="1"/>
  <c r="AM240" i="1" s="1"/>
  <c r="AL240" i="1"/>
  <c r="AF249" i="1"/>
  <c r="AM249" i="1" s="1"/>
  <c r="AL249" i="1"/>
  <c r="AF251" i="1"/>
  <c r="AM251" i="1" s="1"/>
  <c r="AL251" i="1"/>
  <c r="AF253" i="1"/>
  <c r="AM253" i="1" s="1"/>
  <c r="AL253" i="1"/>
  <c r="AD543" i="1"/>
  <c r="AF235" i="1"/>
  <c r="AM235" i="1" s="1"/>
  <c r="AL235" i="1"/>
  <c r="AF280" i="1"/>
  <c r="AM280" i="1" s="1"/>
  <c r="AL280" i="1"/>
  <c r="AF238" i="1"/>
  <c r="AM238" i="1" s="1"/>
  <c r="AL238" i="1"/>
  <c r="AD545" i="1"/>
  <c r="AF241" i="1"/>
  <c r="AM241" i="1" s="1"/>
  <c r="AL241" i="1"/>
  <c r="AF278" i="1"/>
  <c r="AM278" i="1" s="1"/>
  <c r="AL278" i="1"/>
  <c r="AF236" i="1"/>
  <c r="AM236" i="1" s="1"/>
  <c r="AL236" i="1"/>
  <c r="AC541" i="1"/>
  <c r="AF250" i="1"/>
  <c r="AM250" i="1" s="1"/>
  <c r="AL250" i="1"/>
  <c r="AF252" i="1"/>
  <c r="AM252" i="1" s="1"/>
  <c r="AL252" i="1"/>
  <c r="AD544" i="1"/>
  <c r="AF281" i="1"/>
  <c r="AM281" i="1" s="1"/>
  <c r="AL281" i="1"/>
  <c r="AD548" i="1"/>
  <c r="AC549" i="1"/>
  <c r="AL254" i="1"/>
  <c r="AL255" i="1"/>
  <c r="AD549" i="1"/>
  <c r="AX299" i="1"/>
  <c r="AD550" i="1"/>
  <c r="AF356" i="1"/>
  <c r="AM356" i="1" s="1"/>
  <c r="AL356" i="1"/>
  <c r="AD554" i="1"/>
  <c r="AC555" i="1"/>
  <c r="AL291" i="1"/>
  <c r="AL293" i="1"/>
  <c r="AL311" i="1"/>
  <c r="AX312" i="1"/>
  <c r="AC553" i="1"/>
  <c r="AL346" i="1"/>
  <c r="AF357" i="1"/>
  <c r="AM357" i="1" s="1"/>
  <c r="AL357" i="1"/>
  <c r="AL270" i="1"/>
  <c r="AL271" i="1"/>
  <c r="AL272" i="1"/>
  <c r="AL273" i="1"/>
  <c r="AL274" i="1"/>
  <c r="AL275" i="1"/>
  <c r="AL276" i="1"/>
  <c r="AL299" i="1"/>
  <c r="AL309" i="1"/>
  <c r="AX310" i="1"/>
  <c r="AD553" i="1"/>
  <c r="AD555" i="1"/>
  <c r="AC547" i="1"/>
  <c r="AX300" i="1"/>
  <c r="AL344" i="1"/>
  <c r="AL349" i="1"/>
  <c r="AC556" i="1" s="1"/>
  <c r="AF349" i="1"/>
  <c r="AM349" i="1" s="1"/>
  <c r="AF284" i="1"/>
  <c r="AM284" i="1" s="1"/>
  <c r="AD547" i="1" s="1"/>
  <c r="AL292" i="1"/>
  <c r="AL294" i="1"/>
  <c r="AL307" i="1"/>
  <c r="AC550" i="1" s="1"/>
  <c r="AX308" i="1"/>
  <c r="AD562" i="1"/>
  <c r="AD564" i="1"/>
  <c r="AF352" i="1"/>
  <c r="AM352" i="1" s="1"/>
  <c r="AF347" i="1"/>
  <c r="AM347" i="1" s="1"/>
  <c r="AF354" i="1"/>
  <c r="AM354" i="1" s="1"/>
  <c r="AL354" i="1"/>
  <c r="AC557" i="1" s="1"/>
  <c r="AL319" i="1"/>
  <c r="AC552" i="1" s="1"/>
  <c r="AC561" i="1"/>
  <c r="AF358" i="1"/>
  <c r="AM358" i="1" s="1"/>
  <c r="AL358" i="1"/>
  <c r="AL416" i="1"/>
  <c r="AF416" i="1"/>
  <c r="AM416" i="1" s="1"/>
  <c r="AX345" i="1"/>
  <c r="AF355" i="1"/>
  <c r="AM355" i="1" s="1"/>
  <c r="AL355" i="1"/>
  <c r="AD558" i="1"/>
  <c r="AD560" i="1"/>
  <c r="AL375" i="1"/>
  <c r="AL376" i="1"/>
  <c r="AL377" i="1"/>
  <c r="AL378" i="1"/>
  <c r="AL379" i="1"/>
  <c r="AL380" i="1"/>
  <c r="AL381" i="1"/>
  <c r="AL417" i="1"/>
  <c r="AC566" i="1" s="1"/>
  <c r="AF417" i="1"/>
  <c r="AM417" i="1" s="1"/>
  <c r="AF412" i="1"/>
  <c r="AM412" i="1" s="1"/>
  <c r="AF414" i="1"/>
  <c r="AM414" i="1" s="1"/>
  <c r="AL418" i="1"/>
  <c r="AF418" i="1"/>
  <c r="AM418" i="1" s="1"/>
  <c r="AL419" i="1"/>
  <c r="AF419" i="1"/>
  <c r="AM419" i="1" s="1"/>
  <c r="AL420" i="1"/>
  <c r="AF420" i="1"/>
  <c r="AM420" i="1" s="1"/>
  <c r="AL421" i="1"/>
  <c r="AF421" i="1"/>
  <c r="AM421" i="1" s="1"/>
  <c r="AL422" i="1"/>
  <c r="AF422" i="1"/>
  <c r="AM422" i="1" s="1"/>
  <c r="AL423" i="1"/>
  <c r="AF423" i="1"/>
  <c r="AM423" i="1" s="1"/>
  <c r="AL459" i="1"/>
  <c r="AF459" i="1"/>
  <c r="AM459" i="1" s="1"/>
  <c r="AD567" i="1"/>
  <c r="AD568" i="1"/>
  <c r="AL438" i="1"/>
  <c r="AF438" i="1"/>
  <c r="AM438" i="1" s="1"/>
  <c r="AD569" i="1" s="1"/>
  <c r="AL359" i="1"/>
  <c r="AL360" i="1"/>
  <c r="AL396" i="1"/>
  <c r="AL397" i="1"/>
  <c r="AL398" i="1"/>
  <c r="AL399" i="1"/>
  <c r="AL400" i="1"/>
  <c r="AL401" i="1"/>
  <c r="AL402" i="1"/>
  <c r="AL415" i="1"/>
  <c r="AC565" i="1" s="1"/>
  <c r="AF415" i="1"/>
  <c r="AM415" i="1" s="1"/>
  <c r="AX409" i="1"/>
  <c r="AF410" i="1"/>
  <c r="AM410" i="1" s="1"/>
  <c r="AF411" i="1"/>
  <c r="AM411" i="1" s="1"/>
  <c r="AF413" i="1"/>
  <c r="AM413" i="1" s="1"/>
  <c r="AC571" i="1"/>
  <c r="AL460" i="1"/>
  <c r="AF460" i="1"/>
  <c r="AM460" i="1" s="1"/>
  <c r="AL461" i="1"/>
  <c r="AF461" i="1"/>
  <c r="AM461" i="1" s="1"/>
  <c r="AL462" i="1"/>
  <c r="AF462" i="1"/>
  <c r="AM462" i="1" s="1"/>
  <c r="AL463" i="1"/>
  <c r="AF463" i="1"/>
  <c r="AM463" i="1" s="1"/>
  <c r="AL464" i="1"/>
  <c r="AF464" i="1"/>
  <c r="AM464" i="1" s="1"/>
  <c r="AL465" i="1"/>
  <c r="AF465" i="1"/>
  <c r="AM465" i="1" s="1"/>
  <c r="AL466" i="1"/>
  <c r="AF466" i="1"/>
  <c r="AM466" i="1" s="1"/>
  <c r="AL467" i="1"/>
  <c r="AF467" i="1"/>
  <c r="AM467" i="1" s="1"/>
  <c r="AL468" i="1"/>
  <c r="AF468" i="1"/>
  <c r="AM468" i="1" s="1"/>
  <c r="AL469" i="1"/>
  <c r="AF469" i="1"/>
  <c r="AM469" i="1" s="1"/>
  <c r="AL470" i="1"/>
  <c r="AF470" i="1"/>
  <c r="AM470" i="1" s="1"/>
  <c r="AL471" i="1"/>
  <c r="AF471" i="1"/>
  <c r="AM471" i="1" s="1"/>
  <c r="AL472" i="1"/>
  <c r="AF472" i="1"/>
  <c r="AM472" i="1" s="1"/>
  <c r="AL473" i="1"/>
  <c r="AF473" i="1"/>
  <c r="AM473" i="1" s="1"/>
  <c r="AD574" i="1" s="1"/>
  <c r="AL474" i="1"/>
  <c r="AF474" i="1"/>
  <c r="AM474" i="1" s="1"/>
  <c r="AD575" i="1"/>
  <c r="AL483" i="1"/>
  <c r="AC575" i="1" s="1"/>
  <c r="AF483" i="1"/>
  <c r="AM483" i="1" s="1"/>
  <c r="AL440" i="1"/>
  <c r="AD570" i="1"/>
  <c r="AL441" i="1"/>
  <c r="AD571" i="1"/>
  <c r="AL442" i="1"/>
  <c r="AL443" i="1"/>
  <c r="AL485" i="1"/>
  <c r="AF485" i="1"/>
  <c r="AM485" i="1" s="1"/>
  <c r="AL444" i="1"/>
  <c r="AL486" i="1"/>
  <c r="AF486" i="1"/>
  <c r="AM486" i="1" s="1"/>
  <c r="AL487" i="1"/>
  <c r="AF487" i="1"/>
  <c r="AM487" i="1" s="1"/>
  <c r="AD576" i="1" s="1"/>
  <c r="AL488" i="1"/>
  <c r="AF488" i="1"/>
  <c r="AM488" i="1" s="1"/>
  <c r="AL489" i="1"/>
  <c r="AF489" i="1"/>
  <c r="AM489" i="1" s="1"/>
  <c r="AL490" i="1"/>
  <c r="AF490" i="1"/>
  <c r="AM490" i="1" s="1"/>
  <c r="AL491" i="1"/>
  <c r="AF491" i="1"/>
  <c r="AM491" i="1" s="1"/>
  <c r="AL492" i="1"/>
  <c r="AF492" i="1"/>
  <c r="AM492" i="1" s="1"/>
  <c r="AL493" i="1"/>
  <c r="AF493" i="1"/>
  <c r="AM493" i="1" s="1"/>
  <c r="AL494" i="1"/>
  <c r="AC577" i="1" s="1"/>
  <c r="AF494" i="1"/>
  <c r="AM494" i="1" s="1"/>
  <c r="AL495" i="1"/>
  <c r="AF495" i="1"/>
  <c r="AM495" i="1" s="1"/>
  <c r="AX492" i="1"/>
  <c r="AX493" i="1"/>
  <c r="AX494" i="1"/>
  <c r="AX495" i="1"/>
  <c r="AL484" i="1"/>
  <c r="AF484" i="1"/>
  <c r="AM484" i="1" s="1"/>
  <c r="AF481" i="1"/>
  <c r="AM481" i="1" s="1"/>
  <c r="O509" i="1"/>
  <c r="Y533" i="1"/>
  <c r="X533" i="1"/>
  <c r="W533" i="1"/>
  <c r="Z533" i="1"/>
  <c r="Y540" i="1"/>
  <c r="X540" i="1"/>
  <c r="W540" i="1"/>
  <c r="AA540" i="1"/>
  <c r="Z540" i="1"/>
  <c r="AA533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3" i="1"/>
  <c r="O561" i="1"/>
  <c r="O559" i="1"/>
  <c r="O557" i="1"/>
  <c r="O564" i="1"/>
  <c r="O562" i="1"/>
  <c r="O560" i="1"/>
  <c r="O558" i="1"/>
  <c r="O551" i="1"/>
  <c r="O549" i="1"/>
  <c r="O547" i="1"/>
  <c r="O555" i="1"/>
  <c r="O554" i="1"/>
  <c r="O553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56" i="1"/>
  <c r="O552" i="1"/>
  <c r="O550" i="1"/>
  <c r="O548" i="1"/>
  <c r="O546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Y541" i="1"/>
  <c r="X541" i="1"/>
  <c r="W541" i="1"/>
  <c r="AA541" i="1"/>
  <c r="Z541" i="1"/>
  <c r="O513" i="1"/>
  <c r="Y534" i="1"/>
  <c r="X534" i="1"/>
  <c r="W534" i="1"/>
  <c r="Z534" i="1"/>
  <c r="O512" i="1"/>
  <c r="O511" i="1"/>
  <c r="Z551" i="1"/>
  <c r="X551" i="1"/>
  <c r="Y551" i="1"/>
  <c r="W551" i="1"/>
  <c r="Y535" i="1"/>
  <c r="X535" i="1"/>
  <c r="W535" i="1"/>
  <c r="Y539" i="1"/>
  <c r="X539" i="1"/>
  <c r="W539" i="1"/>
  <c r="AA522" i="1"/>
  <c r="AA523" i="1"/>
  <c r="AA524" i="1"/>
  <c r="AA525" i="1"/>
  <c r="AA526" i="1"/>
  <c r="AA527" i="1"/>
  <c r="AA528" i="1"/>
  <c r="AA529" i="1"/>
  <c r="AA530" i="1"/>
  <c r="W531" i="1"/>
  <c r="Y536" i="1"/>
  <c r="X536" i="1"/>
  <c r="W536" i="1"/>
  <c r="Y538" i="1"/>
  <c r="X538" i="1"/>
  <c r="W538" i="1"/>
  <c r="AA551" i="1"/>
  <c r="Z535" i="1"/>
  <c r="Y537" i="1"/>
  <c r="X537" i="1"/>
  <c r="W537" i="1"/>
  <c r="Z539" i="1"/>
  <c r="Z545" i="1"/>
  <c r="Y545" i="1"/>
  <c r="X545" i="1"/>
  <c r="W545" i="1"/>
  <c r="W566" i="1"/>
  <c r="Z566" i="1"/>
  <c r="Y566" i="1"/>
  <c r="X566" i="1"/>
  <c r="Z536" i="1"/>
  <c r="Z538" i="1"/>
  <c r="AA539" i="1"/>
  <c r="Y544" i="1"/>
  <c r="X544" i="1"/>
  <c r="W544" i="1"/>
  <c r="Z547" i="1"/>
  <c r="Y547" i="1"/>
  <c r="X547" i="1"/>
  <c r="W547" i="1"/>
  <c r="X531" i="1"/>
  <c r="Z537" i="1"/>
  <c r="AA538" i="1"/>
  <c r="Y543" i="1"/>
  <c r="X543" i="1"/>
  <c r="W543" i="1"/>
  <c r="AA545" i="1"/>
  <c r="Y531" i="1"/>
  <c r="Y532" i="1"/>
  <c r="X532" i="1"/>
  <c r="W532" i="1"/>
  <c r="Y542" i="1"/>
  <c r="X542" i="1"/>
  <c r="W542" i="1"/>
  <c r="Z549" i="1"/>
  <c r="Y549" i="1"/>
  <c r="X549" i="1"/>
  <c r="W549" i="1"/>
  <c r="X546" i="1"/>
  <c r="X548" i="1"/>
  <c r="Z557" i="1"/>
  <c r="X557" i="1"/>
  <c r="W557" i="1"/>
  <c r="Y557" i="1"/>
  <c r="AA566" i="1"/>
  <c r="W571" i="1"/>
  <c r="Z571" i="1"/>
  <c r="AA571" i="1"/>
  <c r="Y571" i="1"/>
  <c r="X571" i="1"/>
  <c r="Y546" i="1"/>
  <c r="Z552" i="1"/>
  <c r="Y552" i="1"/>
  <c r="X552" i="1"/>
  <c r="Z553" i="1"/>
  <c r="Y553" i="1"/>
  <c r="X553" i="1"/>
  <c r="Z554" i="1"/>
  <c r="Y554" i="1"/>
  <c r="X554" i="1"/>
  <c r="Z555" i="1"/>
  <c r="Y555" i="1"/>
  <c r="X555" i="1"/>
  <c r="W575" i="1"/>
  <c r="Z575" i="1"/>
  <c r="AA575" i="1"/>
  <c r="Y575" i="1"/>
  <c r="X575" i="1"/>
  <c r="Y559" i="1"/>
  <c r="Y561" i="1"/>
  <c r="Y563" i="1"/>
  <c r="W565" i="1"/>
  <c r="Z565" i="1"/>
  <c r="W567" i="1"/>
  <c r="Z567" i="1"/>
  <c r="W562" i="1"/>
  <c r="W564" i="1"/>
  <c r="X556" i="1"/>
  <c r="X558" i="1"/>
  <c r="X560" i="1"/>
  <c r="X562" i="1"/>
  <c r="X564" i="1"/>
  <c r="X567" i="1"/>
  <c r="W568" i="1"/>
  <c r="Z568" i="1"/>
  <c r="W572" i="1"/>
  <c r="Z572" i="1"/>
  <c r="W576" i="1"/>
  <c r="Z576" i="1"/>
  <c r="X577" i="1"/>
  <c r="W577" i="1"/>
  <c r="Z577" i="1"/>
  <c r="Y577" i="1"/>
  <c r="Y556" i="1"/>
  <c r="Y558" i="1"/>
  <c r="Y560" i="1"/>
  <c r="Y562" i="1"/>
  <c r="Y564" i="1"/>
  <c r="X565" i="1"/>
  <c r="Y567" i="1"/>
  <c r="AA577" i="1"/>
  <c r="Y565" i="1"/>
  <c r="X568" i="1"/>
  <c r="W569" i="1"/>
  <c r="Z569" i="1"/>
  <c r="X572" i="1"/>
  <c r="W573" i="1"/>
  <c r="Z573" i="1"/>
  <c r="X576" i="1"/>
  <c r="W559" i="1"/>
  <c r="W561" i="1"/>
  <c r="AA565" i="1"/>
  <c r="Y572" i="1"/>
  <c r="Y576" i="1"/>
  <c r="X559" i="1"/>
  <c r="X561" i="1"/>
  <c r="X563" i="1"/>
  <c r="AA568" i="1"/>
  <c r="X569" i="1"/>
  <c r="W570" i="1"/>
  <c r="Z570" i="1"/>
  <c r="AA572" i="1"/>
  <c r="X573" i="1"/>
  <c r="W574" i="1"/>
  <c r="Z574" i="1"/>
  <c r="AA576" i="1"/>
  <c r="AC572" i="1" l="1"/>
  <c r="AD542" i="1"/>
  <c r="AC532" i="1"/>
  <c r="AD540" i="1"/>
  <c r="AD532" i="1"/>
  <c r="A20" i="1"/>
  <c r="A27" i="1" s="1"/>
  <c r="A34" i="1" s="1"/>
  <c r="A41" i="1" s="1"/>
  <c r="A48" i="1" s="1"/>
  <c r="A55" i="1" s="1"/>
  <c r="A62" i="1" s="1"/>
  <c r="A69" i="1" s="1"/>
  <c r="A76" i="1" s="1"/>
  <c r="A83" i="1" s="1"/>
  <c r="A90" i="1" s="1"/>
  <c r="A97" i="1" s="1"/>
  <c r="A104" i="1" s="1"/>
  <c r="A111" i="1" s="1"/>
  <c r="A118" i="1" s="1"/>
  <c r="A125" i="1" s="1"/>
  <c r="A132" i="1" s="1"/>
  <c r="A139" i="1" s="1"/>
  <c r="A146" i="1" s="1"/>
  <c r="A153" i="1" s="1"/>
  <c r="A160" i="1" s="1"/>
  <c r="A167" i="1" s="1"/>
  <c r="A174" i="1" s="1"/>
  <c r="A181" i="1" s="1"/>
  <c r="A188" i="1" s="1"/>
  <c r="A195" i="1" s="1"/>
  <c r="A202" i="1" s="1"/>
  <c r="A209" i="1" s="1"/>
  <c r="A216" i="1" s="1"/>
  <c r="A223" i="1" s="1"/>
  <c r="A230" i="1" s="1"/>
  <c r="A237" i="1" s="1"/>
  <c r="A244" i="1" s="1"/>
  <c r="A251" i="1" s="1"/>
  <c r="A258" i="1" s="1"/>
  <c r="A265" i="1" s="1"/>
  <c r="A272" i="1" s="1"/>
  <c r="A279" i="1" s="1"/>
  <c r="A286" i="1" s="1"/>
  <c r="A293" i="1" s="1"/>
  <c r="A300" i="1" s="1"/>
  <c r="A307" i="1" s="1"/>
  <c r="A314" i="1" s="1"/>
  <c r="A321" i="1" s="1"/>
  <c r="A328" i="1" s="1"/>
  <c r="A335" i="1" s="1"/>
  <c r="A342" i="1" s="1"/>
  <c r="A349" i="1" s="1"/>
  <c r="A356" i="1" s="1"/>
  <c r="A363" i="1" s="1"/>
  <c r="A370" i="1" s="1"/>
  <c r="A377" i="1" s="1"/>
  <c r="A384" i="1" s="1"/>
  <c r="A391" i="1" s="1"/>
  <c r="A398" i="1" s="1"/>
  <c r="A405" i="1" s="1"/>
  <c r="A412" i="1" s="1"/>
  <c r="A419" i="1" s="1"/>
  <c r="A426" i="1" s="1"/>
  <c r="A433" i="1" s="1"/>
  <c r="A440" i="1" s="1"/>
  <c r="A447" i="1" s="1"/>
  <c r="A454" i="1" s="1"/>
  <c r="A461" i="1" s="1"/>
  <c r="A468" i="1" s="1"/>
  <c r="A475" i="1" s="1"/>
  <c r="A482" i="1" s="1"/>
  <c r="A489" i="1" s="1"/>
  <c r="A496" i="1" s="1"/>
  <c r="A14" i="1"/>
  <c r="AC563" i="1"/>
  <c r="AC540" i="1"/>
  <c r="AC537" i="1"/>
  <c r="AD533" i="1"/>
  <c r="AG12" i="1"/>
  <c r="L12" i="1"/>
  <c r="K12" i="1"/>
  <c r="V11" i="1"/>
  <c r="H12" i="1"/>
  <c r="B509" i="1"/>
  <c r="B25" i="1"/>
  <c r="B26" i="1" s="1"/>
  <c r="B27" i="1" s="1"/>
  <c r="B28" i="1" s="1"/>
  <c r="B29" i="1" s="1"/>
  <c r="B30" i="1" s="1"/>
  <c r="B31" i="1" s="1"/>
  <c r="AC576" i="1"/>
  <c r="AD573" i="1"/>
  <c r="AC569" i="1"/>
  <c r="AD557" i="1"/>
  <c r="AD534" i="1"/>
  <c r="AD546" i="1"/>
  <c r="AC523" i="1"/>
  <c r="AD513" i="1"/>
  <c r="H508" i="1"/>
  <c r="G508" i="1"/>
  <c r="AD577" i="1"/>
  <c r="AC573" i="1"/>
  <c r="AD565" i="1"/>
  <c r="AD556" i="1"/>
  <c r="AD523" i="1"/>
  <c r="AC527" i="1"/>
  <c r="AC574" i="1"/>
  <c r="AD572" i="1"/>
  <c r="AD566" i="1"/>
  <c r="AC560" i="1"/>
  <c r="AC545" i="1"/>
  <c r="AC548" i="1"/>
  <c r="AC542" i="1"/>
  <c r="AD538" i="1"/>
  <c r="AC529" i="1"/>
  <c r="AD517" i="1"/>
  <c r="I13" i="1"/>
  <c r="U12" i="1"/>
  <c r="J13" i="1"/>
  <c r="G13" i="1"/>
  <c r="H13" i="1" l="1"/>
  <c r="AG13" i="1"/>
  <c r="V12" i="1"/>
  <c r="L13" i="1"/>
  <c r="K13" i="1"/>
  <c r="AW13" i="1" s="1"/>
  <c r="A21" i="1"/>
  <c r="A28" i="1" s="1"/>
  <c r="A35" i="1" s="1"/>
  <c r="A42" i="1" s="1"/>
  <c r="A49" i="1" s="1"/>
  <c r="A56" i="1" s="1"/>
  <c r="A63" i="1" s="1"/>
  <c r="A70" i="1" s="1"/>
  <c r="A77" i="1" s="1"/>
  <c r="A84" i="1" s="1"/>
  <c r="A91" i="1" s="1"/>
  <c r="A98" i="1" s="1"/>
  <c r="A105" i="1" s="1"/>
  <c r="A112" i="1" s="1"/>
  <c r="A119" i="1" s="1"/>
  <c r="A126" i="1" s="1"/>
  <c r="A133" i="1" s="1"/>
  <c r="A140" i="1" s="1"/>
  <c r="A147" i="1" s="1"/>
  <c r="A154" i="1" s="1"/>
  <c r="A161" i="1" s="1"/>
  <c r="A168" i="1" s="1"/>
  <c r="A175" i="1" s="1"/>
  <c r="A182" i="1" s="1"/>
  <c r="A189" i="1" s="1"/>
  <c r="A196" i="1" s="1"/>
  <c r="A203" i="1" s="1"/>
  <c r="A210" i="1" s="1"/>
  <c r="A217" i="1" s="1"/>
  <c r="A224" i="1" s="1"/>
  <c r="A231" i="1" s="1"/>
  <c r="A238" i="1" s="1"/>
  <c r="A245" i="1" s="1"/>
  <c r="A252" i="1" s="1"/>
  <c r="A259" i="1" s="1"/>
  <c r="A266" i="1" s="1"/>
  <c r="A273" i="1" s="1"/>
  <c r="A280" i="1" s="1"/>
  <c r="A287" i="1" s="1"/>
  <c r="A294" i="1" s="1"/>
  <c r="A301" i="1" s="1"/>
  <c r="A308" i="1" s="1"/>
  <c r="A315" i="1" s="1"/>
  <c r="A322" i="1" s="1"/>
  <c r="A329" i="1" s="1"/>
  <c r="A336" i="1" s="1"/>
  <c r="A343" i="1" s="1"/>
  <c r="A350" i="1" s="1"/>
  <c r="A357" i="1" s="1"/>
  <c r="A364" i="1" s="1"/>
  <c r="A371" i="1" s="1"/>
  <c r="A378" i="1" s="1"/>
  <c r="A385" i="1" s="1"/>
  <c r="A392" i="1" s="1"/>
  <c r="A399" i="1" s="1"/>
  <c r="A406" i="1" s="1"/>
  <c r="A413" i="1" s="1"/>
  <c r="A420" i="1" s="1"/>
  <c r="A427" i="1" s="1"/>
  <c r="A434" i="1" s="1"/>
  <c r="A441" i="1" s="1"/>
  <c r="A448" i="1" s="1"/>
  <c r="A455" i="1" s="1"/>
  <c r="A462" i="1" s="1"/>
  <c r="A469" i="1" s="1"/>
  <c r="A476" i="1" s="1"/>
  <c r="A483" i="1" s="1"/>
  <c r="A490" i="1" s="1"/>
  <c r="A497" i="1" s="1"/>
  <c r="A15" i="1"/>
  <c r="L508" i="1"/>
  <c r="K508" i="1"/>
  <c r="AW12" i="1"/>
  <c r="T508" i="1"/>
  <c r="M508" i="1"/>
  <c r="N508" i="1"/>
  <c r="B510" i="1"/>
  <c r="B32" i="1"/>
  <c r="B33" i="1" s="1"/>
  <c r="B34" i="1" s="1"/>
  <c r="B35" i="1" s="1"/>
  <c r="B36" i="1" s="1"/>
  <c r="B37" i="1" s="1"/>
  <c r="B38" i="1" s="1"/>
  <c r="J14" i="1"/>
  <c r="G14" i="1"/>
  <c r="U13" i="1"/>
  <c r="I14" i="1"/>
  <c r="A22" i="1" l="1"/>
  <c r="A29" i="1" s="1"/>
  <c r="A36" i="1" s="1"/>
  <c r="A43" i="1" s="1"/>
  <c r="A50" i="1" s="1"/>
  <c r="A57" i="1" s="1"/>
  <c r="A64" i="1" s="1"/>
  <c r="A71" i="1" s="1"/>
  <c r="A78" i="1" s="1"/>
  <c r="A85" i="1" s="1"/>
  <c r="A92" i="1" s="1"/>
  <c r="A99" i="1" s="1"/>
  <c r="A106" i="1" s="1"/>
  <c r="A113" i="1" s="1"/>
  <c r="A120" i="1" s="1"/>
  <c r="A127" i="1" s="1"/>
  <c r="A134" i="1" s="1"/>
  <c r="A141" i="1" s="1"/>
  <c r="A148" i="1" s="1"/>
  <c r="A155" i="1" s="1"/>
  <c r="A162" i="1" s="1"/>
  <c r="A169" i="1" s="1"/>
  <c r="A176" i="1" s="1"/>
  <c r="A183" i="1" s="1"/>
  <c r="A190" i="1" s="1"/>
  <c r="A197" i="1" s="1"/>
  <c r="A204" i="1" s="1"/>
  <c r="A211" i="1" s="1"/>
  <c r="A218" i="1" s="1"/>
  <c r="A225" i="1" s="1"/>
  <c r="A232" i="1" s="1"/>
  <c r="A239" i="1" s="1"/>
  <c r="A246" i="1" s="1"/>
  <c r="A253" i="1" s="1"/>
  <c r="A260" i="1" s="1"/>
  <c r="A267" i="1" s="1"/>
  <c r="A274" i="1" s="1"/>
  <c r="A281" i="1" s="1"/>
  <c r="A288" i="1" s="1"/>
  <c r="A295" i="1" s="1"/>
  <c r="A302" i="1" s="1"/>
  <c r="A309" i="1" s="1"/>
  <c r="A316" i="1" s="1"/>
  <c r="A323" i="1" s="1"/>
  <c r="A330" i="1" s="1"/>
  <c r="A337" i="1" s="1"/>
  <c r="A344" i="1" s="1"/>
  <c r="A351" i="1" s="1"/>
  <c r="A358" i="1" s="1"/>
  <c r="A365" i="1" s="1"/>
  <c r="A372" i="1" s="1"/>
  <c r="A379" i="1" s="1"/>
  <c r="A386" i="1" s="1"/>
  <c r="A393" i="1" s="1"/>
  <c r="A400" i="1" s="1"/>
  <c r="A407" i="1" s="1"/>
  <c r="A414" i="1" s="1"/>
  <c r="A421" i="1" s="1"/>
  <c r="A428" i="1" s="1"/>
  <c r="A435" i="1" s="1"/>
  <c r="A442" i="1" s="1"/>
  <c r="A449" i="1" s="1"/>
  <c r="A456" i="1" s="1"/>
  <c r="A463" i="1" s="1"/>
  <c r="A470" i="1" s="1"/>
  <c r="A477" i="1" s="1"/>
  <c r="A484" i="1" s="1"/>
  <c r="A491" i="1" s="1"/>
  <c r="A498" i="1" s="1"/>
  <c r="A16" i="1"/>
  <c r="B511" i="1"/>
  <c r="B39" i="1"/>
  <c r="B40" i="1" s="1"/>
  <c r="B41" i="1" s="1"/>
  <c r="B42" i="1" s="1"/>
  <c r="B43" i="1" s="1"/>
  <c r="B44" i="1" s="1"/>
  <c r="B45" i="1" s="1"/>
  <c r="U14" i="1"/>
  <c r="J15" i="1"/>
  <c r="I15" i="1"/>
  <c r="G15" i="1"/>
  <c r="K14" i="1"/>
  <c r="AW14" i="1" s="1"/>
  <c r="H14" i="1"/>
  <c r="AG14" i="1"/>
  <c r="V13" i="1"/>
  <c r="L14" i="1"/>
  <c r="V14" i="1" l="1"/>
  <c r="L15" i="1"/>
  <c r="H15" i="1"/>
  <c r="AG15" i="1"/>
  <c r="K15" i="1"/>
  <c r="AW15" i="1" s="1"/>
  <c r="B512" i="1"/>
  <c r="B46" i="1"/>
  <c r="B47" i="1" s="1"/>
  <c r="B48" i="1" s="1"/>
  <c r="B49" i="1" s="1"/>
  <c r="B50" i="1" s="1"/>
  <c r="B51" i="1" s="1"/>
  <c r="B52" i="1" s="1"/>
  <c r="A23" i="1"/>
  <c r="A30" i="1" s="1"/>
  <c r="A37" i="1" s="1"/>
  <c r="A44" i="1" s="1"/>
  <c r="A51" i="1" s="1"/>
  <c r="A58" i="1" s="1"/>
  <c r="A65" i="1" s="1"/>
  <c r="A72" i="1" s="1"/>
  <c r="A79" i="1" s="1"/>
  <c r="A86" i="1" s="1"/>
  <c r="A93" i="1" s="1"/>
  <c r="A100" i="1" s="1"/>
  <c r="A107" i="1" s="1"/>
  <c r="A114" i="1" s="1"/>
  <c r="A121" i="1" s="1"/>
  <c r="A128" i="1" s="1"/>
  <c r="A135" i="1" s="1"/>
  <c r="A142" i="1" s="1"/>
  <c r="A149" i="1" s="1"/>
  <c r="A156" i="1" s="1"/>
  <c r="A163" i="1" s="1"/>
  <c r="A170" i="1" s="1"/>
  <c r="A177" i="1" s="1"/>
  <c r="A184" i="1" s="1"/>
  <c r="A191" i="1" s="1"/>
  <c r="A198" i="1" s="1"/>
  <c r="A205" i="1" s="1"/>
  <c r="A212" i="1" s="1"/>
  <c r="A219" i="1" s="1"/>
  <c r="A226" i="1" s="1"/>
  <c r="A233" i="1" s="1"/>
  <c r="A240" i="1" s="1"/>
  <c r="A247" i="1" s="1"/>
  <c r="A254" i="1" s="1"/>
  <c r="A261" i="1" s="1"/>
  <c r="A268" i="1" s="1"/>
  <c r="A275" i="1" s="1"/>
  <c r="A282" i="1" s="1"/>
  <c r="A289" i="1" s="1"/>
  <c r="A296" i="1" s="1"/>
  <c r="A303" i="1" s="1"/>
  <c r="A310" i="1" s="1"/>
  <c r="A317" i="1" s="1"/>
  <c r="A324" i="1" s="1"/>
  <c r="A331" i="1" s="1"/>
  <c r="A338" i="1" s="1"/>
  <c r="A345" i="1" s="1"/>
  <c r="A352" i="1" s="1"/>
  <c r="A359" i="1" s="1"/>
  <c r="A366" i="1" s="1"/>
  <c r="A373" i="1" s="1"/>
  <c r="A380" i="1" s="1"/>
  <c r="A387" i="1" s="1"/>
  <c r="A394" i="1" s="1"/>
  <c r="A401" i="1" s="1"/>
  <c r="A408" i="1" s="1"/>
  <c r="A415" i="1" s="1"/>
  <c r="A422" i="1" s="1"/>
  <c r="A429" i="1" s="1"/>
  <c r="A436" i="1" s="1"/>
  <c r="A443" i="1" s="1"/>
  <c r="A450" i="1" s="1"/>
  <c r="A457" i="1" s="1"/>
  <c r="A464" i="1" s="1"/>
  <c r="A471" i="1" s="1"/>
  <c r="A478" i="1" s="1"/>
  <c r="A485" i="1" s="1"/>
  <c r="A492" i="1" s="1"/>
  <c r="A499" i="1" s="1"/>
  <c r="A17" i="1"/>
  <c r="A24" i="1" s="1"/>
  <c r="A31" i="1" s="1"/>
  <c r="A38" i="1" s="1"/>
  <c r="A45" i="1" s="1"/>
  <c r="A52" i="1" s="1"/>
  <c r="A59" i="1" s="1"/>
  <c r="A66" i="1" s="1"/>
  <c r="A73" i="1" s="1"/>
  <c r="A80" i="1" s="1"/>
  <c r="A87" i="1" s="1"/>
  <c r="A94" i="1" s="1"/>
  <c r="A101" i="1" s="1"/>
  <c r="A108" i="1" s="1"/>
  <c r="A115" i="1" s="1"/>
  <c r="A122" i="1" s="1"/>
  <c r="A129" i="1" s="1"/>
  <c r="A136" i="1" s="1"/>
  <c r="A143" i="1" s="1"/>
  <c r="A150" i="1" s="1"/>
  <c r="A157" i="1" s="1"/>
  <c r="A164" i="1" s="1"/>
  <c r="A171" i="1" s="1"/>
  <c r="A178" i="1" s="1"/>
  <c r="A185" i="1" s="1"/>
  <c r="A192" i="1" s="1"/>
  <c r="A199" i="1" s="1"/>
  <c r="A206" i="1" s="1"/>
  <c r="A213" i="1" s="1"/>
  <c r="A220" i="1" s="1"/>
  <c r="A227" i="1" s="1"/>
  <c r="A234" i="1" s="1"/>
  <c r="A241" i="1" s="1"/>
  <c r="A248" i="1" s="1"/>
  <c r="A255" i="1" s="1"/>
  <c r="A262" i="1" s="1"/>
  <c r="A269" i="1" s="1"/>
  <c r="A276" i="1" s="1"/>
  <c r="A283" i="1" s="1"/>
  <c r="A290" i="1" s="1"/>
  <c r="A297" i="1" s="1"/>
  <c r="A304" i="1" s="1"/>
  <c r="A311" i="1" s="1"/>
  <c r="A318" i="1" s="1"/>
  <c r="A325" i="1" s="1"/>
  <c r="A332" i="1" s="1"/>
  <c r="A339" i="1" s="1"/>
  <c r="A346" i="1" s="1"/>
  <c r="A353" i="1" s="1"/>
  <c r="A360" i="1" s="1"/>
  <c r="A367" i="1" s="1"/>
  <c r="A374" i="1" s="1"/>
  <c r="A381" i="1" s="1"/>
  <c r="A388" i="1" s="1"/>
  <c r="A395" i="1" s="1"/>
  <c r="A402" i="1" s="1"/>
  <c r="A409" i="1" s="1"/>
  <c r="A416" i="1" s="1"/>
  <c r="A423" i="1" s="1"/>
  <c r="A430" i="1" s="1"/>
  <c r="A437" i="1" s="1"/>
  <c r="A444" i="1" s="1"/>
  <c r="A451" i="1" s="1"/>
  <c r="A458" i="1" s="1"/>
  <c r="A465" i="1" s="1"/>
  <c r="A472" i="1" s="1"/>
  <c r="A479" i="1" s="1"/>
  <c r="A486" i="1" s="1"/>
  <c r="A493" i="1" s="1"/>
  <c r="A500" i="1" s="1"/>
  <c r="G16" i="1"/>
  <c r="U15" i="1"/>
  <c r="J16" i="1"/>
  <c r="I16" i="1"/>
  <c r="B513" i="1" l="1"/>
  <c r="B53" i="1"/>
  <c r="B54" i="1" s="1"/>
  <c r="B55" i="1" s="1"/>
  <c r="B56" i="1" s="1"/>
  <c r="B57" i="1" s="1"/>
  <c r="B58" i="1" s="1"/>
  <c r="B59" i="1" s="1"/>
  <c r="I17" i="1"/>
  <c r="U16" i="1"/>
  <c r="G17" i="1"/>
  <c r="J17" i="1"/>
  <c r="AG16" i="1"/>
  <c r="L16" i="1"/>
  <c r="K16" i="1"/>
  <c r="AW16" i="1" s="1"/>
  <c r="V15" i="1"/>
  <c r="H16" i="1"/>
  <c r="H17" i="1" l="1"/>
  <c r="AG17" i="1"/>
  <c r="V16" i="1"/>
  <c r="L17" i="1"/>
  <c r="K17" i="1"/>
  <c r="AW17" i="1" s="1"/>
  <c r="B514" i="1"/>
  <c r="B60" i="1"/>
  <c r="B61" i="1" s="1"/>
  <c r="B62" i="1" s="1"/>
  <c r="B63" i="1" s="1"/>
  <c r="B64" i="1" s="1"/>
  <c r="B65" i="1" s="1"/>
  <c r="B66" i="1" s="1"/>
  <c r="J18" i="1"/>
  <c r="G18" i="1"/>
  <c r="I18" i="1"/>
  <c r="U17" i="1"/>
  <c r="P508" i="1" s="1"/>
  <c r="B515" i="1" l="1"/>
  <c r="B67" i="1"/>
  <c r="B68" i="1" s="1"/>
  <c r="B69" i="1" s="1"/>
  <c r="B70" i="1" s="1"/>
  <c r="B71" i="1" s="1"/>
  <c r="B72" i="1" s="1"/>
  <c r="B73" i="1" s="1"/>
  <c r="R508" i="1"/>
  <c r="U18" i="1"/>
  <c r="J19" i="1"/>
  <c r="I19" i="1"/>
  <c r="G19" i="1"/>
  <c r="G509" i="1"/>
  <c r="K18" i="1"/>
  <c r="H18" i="1"/>
  <c r="AG18" i="1"/>
  <c r="L18" i="1"/>
  <c r="V17" i="1"/>
  <c r="Q508" i="1" s="1"/>
  <c r="V18" i="1" l="1"/>
  <c r="L19" i="1"/>
  <c r="AG19" i="1"/>
  <c r="H19" i="1"/>
  <c r="K19" i="1"/>
  <c r="H509" i="1"/>
  <c r="AW18" i="1"/>
  <c r="K509" i="1"/>
  <c r="L509" i="1"/>
  <c r="J20" i="1"/>
  <c r="U19" i="1"/>
  <c r="I20" i="1"/>
  <c r="G20" i="1"/>
  <c r="B516" i="1"/>
  <c r="B74" i="1"/>
  <c r="B75" i="1" s="1"/>
  <c r="B76" i="1" s="1"/>
  <c r="B77" i="1" s="1"/>
  <c r="B78" i="1" s="1"/>
  <c r="B79" i="1" s="1"/>
  <c r="B80" i="1" s="1"/>
  <c r="T509" i="1" l="1"/>
  <c r="N509" i="1"/>
  <c r="M509" i="1"/>
  <c r="J21" i="1"/>
  <c r="U20" i="1"/>
  <c r="I21" i="1"/>
  <c r="G21" i="1"/>
  <c r="AW19" i="1"/>
  <c r="L20" i="1"/>
  <c r="AG20" i="1"/>
  <c r="H20" i="1"/>
  <c r="K20" i="1"/>
  <c r="AW20" i="1" s="1"/>
  <c r="V19" i="1"/>
  <c r="B517" i="1"/>
  <c r="B81" i="1"/>
  <c r="B82" i="1" s="1"/>
  <c r="B83" i="1" s="1"/>
  <c r="B84" i="1" s="1"/>
  <c r="B85" i="1" s="1"/>
  <c r="B86" i="1" s="1"/>
  <c r="B87" i="1" s="1"/>
  <c r="B518" i="1" l="1"/>
  <c r="B88" i="1"/>
  <c r="B89" i="1" s="1"/>
  <c r="B90" i="1" s="1"/>
  <c r="B91" i="1" s="1"/>
  <c r="B92" i="1" s="1"/>
  <c r="B93" i="1" s="1"/>
  <c r="B94" i="1" s="1"/>
  <c r="J22" i="1"/>
  <c r="U21" i="1"/>
  <c r="I22" i="1"/>
  <c r="G22" i="1"/>
  <c r="L21" i="1"/>
  <c r="AG21" i="1"/>
  <c r="H21" i="1"/>
  <c r="V20" i="1"/>
  <c r="K21" i="1"/>
  <c r="AW21" i="1" s="1"/>
  <c r="J23" i="1" l="1"/>
  <c r="U22" i="1"/>
  <c r="I23" i="1"/>
  <c r="G23" i="1"/>
  <c r="L22" i="1"/>
  <c r="AG22" i="1"/>
  <c r="H22" i="1"/>
  <c r="V21" i="1"/>
  <c r="K22" i="1"/>
  <c r="B519" i="1"/>
  <c r="B95" i="1"/>
  <c r="B96" i="1" s="1"/>
  <c r="B97" i="1" s="1"/>
  <c r="B98" i="1" s="1"/>
  <c r="B99" i="1" s="1"/>
  <c r="B100" i="1" s="1"/>
  <c r="B101" i="1" s="1"/>
  <c r="K23" i="1" l="1"/>
  <c r="V22" i="1"/>
  <c r="L23" i="1"/>
  <c r="AG23" i="1"/>
  <c r="H23" i="1"/>
  <c r="J24" i="1"/>
  <c r="U23" i="1"/>
  <c r="I24" i="1"/>
  <c r="G24" i="1"/>
  <c r="B520" i="1"/>
  <c r="B102" i="1"/>
  <c r="B103" i="1" s="1"/>
  <c r="B104" i="1" s="1"/>
  <c r="B105" i="1" s="1"/>
  <c r="B106" i="1" s="1"/>
  <c r="B107" i="1" s="1"/>
  <c r="B108" i="1" s="1"/>
  <c r="AW22" i="1"/>
  <c r="L24" i="1" l="1"/>
  <c r="V23" i="1"/>
  <c r="K24" i="1"/>
  <c r="AW24" i="1" s="1"/>
  <c r="AG24" i="1"/>
  <c r="H24" i="1"/>
  <c r="B521" i="1"/>
  <c r="B109" i="1"/>
  <c r="B110" i="1" s="1"/>
  <c r="B111" i="1" s="1"/>
  <c r="B112" i="1" s="1"/>
  <c r="B113" i="1" s="1"/>
  <c r="B114" i="1" s="1"/>
  <c r="B115" i="1" s="1"/>
  <c r="J25" i="1"/>
  <c r="U24" i="1"/>
  <c r="P509" i="1" s="1"/>
  <c r="I25" i="1"/>
  <c r="G25" i="1"/>
  <c r="AW23" i="1"/>
  <c r="G26" i="1" l="1"/>
  <c r="U25" i="1"/>
  <c r="J26" i="1"/>
  <c r="I26" i="1"/>
  <c r="G510" i="1"/>
  <c r="B522" i="1"/>
  <c r="B116" i="1"/>
  <c r="B117" i="1" s="1"/>
  <c r="B118" i="1" s="1"/>
  <c r="B119" i="1" s="1"/>
  <c r="B120" i="1" s="1"/>
  <c r="B121" i="1" s="1"/>
  <c r="B122" i="1" s="1"/>
  <c r="L25" i="1"/>
  <c r="V24" i="1"/>
  <c r="Q509" i="1" s="1"/>
  <c r="R509" i="1" s="1"/>
  <c r="K25" i="1"/>
  <c r="H25" i="1"/>
  <c r="AG25" i="1"/>
  <c r="AW25" i="1" l="1"/>
  <c r="B523" i="1"/>
  <c r="B123" i="1"/>
  <c r="B124" i="1" s="1"/>
  <c r="B125" i="1" s="1"/>
  <c r="B126" i="1" s="1"/>
  <c r="B127" i="1" s="1"/>
  <c r="B128" i="1" s="1"/>
  <c r="B129" i="1" s="1"/>
  <c r="V25" i="1"/>
  <c r="L26" i="1"/>
  <c r="K26" i="1"/>
  <c r="AG26" i="1"/>
  <c r="H26" i="1"/>
  <c r="H510" i="1"/>
  <c r="K510" i="1"/>
  <c r="L510" i="1"/>
  <c r="G27" i="1"/>
  <c r="J27" i="1"/>
  <c r="U26" i="1"/>
  <c r="I27" i="1"/>
  <c r="L27" i="1" l="1"/>
  <c r="K27" i="1"/>
  <c r="AW27" i="1" s="1"/>
  <c r="V26" i="1"/>
  <c r="AG27" i="1"/>
  <c r="H27" i="1"/>
  <c r="AW26" i="1"/>
  <c r="B524" i="1"/>
  <c r="B130" i="1"/>
  <c r="B131" i="1" s="1"/>
  <c r="B132" i="1" s="1"/>
  <c r="B133" i="1" s="1"/>
  <c r="B134" i="1" s="1"/>
  <c r="B135" i="1" s="1"/>
  <c r="B136" i="1" s="1"/>
  <c r="G28" i="1"/>
  <c r="J28" i="1"/>
  <c r="U27" i="1"/>
  <c r="I28" i="1"/>
  <c r="T510" i="1"/>
  <c r="M510" i="1"/>
  <c r="N510" i="1"/>
  <c r="G29" i="1" l="1"/>
  <c r="J29" i="1"/>
  <c r="U28" i="1"/>
  <c r="I29" i="1"/>
  <c r="L28" i="1"/>
  <c r="K28" i="1"/>
  <c r="V27" i="1"/>
  <c r="AG28" i="1"/>
  <c r="H28" i="1"/>
  <c r="B525" i="1"/>
  <c r="B137" i="1"/>
  <c r="B138" i="1" s="1"/>
  <c r="B139" i="1" s="1"/>
  <c r="B140" i="1" s="1"/>
  <c r="B141" i="1" s="1"/>
  <c r="B142" i="1" s="1"/>
  <c r="B143" i="1" s="1"/>
  <c r="AW28" i="1" l="1"/>
  <c r="B526" i="1"/>
  <c r="B144" i="1"/>
  <c r="B145" i="1" s="1"/>
  <c r="B146" i="1" s="1"/>
  <c r="B147" i="1" s="1"/>
  <c r="B148" i="1" s="1"/>
  <c r="B149" i="1" s="1"/>
  <c r="B150" i="1" s="1"/>
  <c r="L29" i="1"/>
  <c r="K29" i="1"/>
  <c r="AW29" i="1" s="1"/>
  <c r="V28" i="1"/>
  <c r="AG29" i="1"/>
  <c r="H29" i="1"/>
  <c r="G30" i="1"/>
  <c r="J30" i="1"/>
  <c r="U29" i="1"/>
  <c r="I30" i="1"/>
  <c r="G31" i="1" l="1"/>
  <c r="J31" i="1"/>
  <c r="U30" i="1"/>
  <c r="I31" i="1"/>
  <c r="B527" i="1"/>
  <c r="B151" i="1"/>
  <c r="B152" i="1" s="1"/>
  <c r="B153" i="1" s="1"/>
  <c r="B154" i="1" s="1"/>
  <c r="B155" i="1" s="1"/>
  <c r="B156" i="1" s="1"/>
  <c r="B157" i="1" s="1"/>
  <c r="L30" i="1"/>
  <c r="K30" i="1"/>
  <c r="V29" i="1"/>
  <c r="AG30" i="1"/>
  <c r="H30" i="1"/>
  <c r="B528" i="1" l="1"/>
  <c r="B158" i="1"/>
  <c r="B159" i="1" s="1"/>
  <c r="B160" i="1" s="1"/>
  <c r="B161" i="1" s="1"/>
  <c r="B162" i="1" s="1"/>
  <c r="B163" i="1" s="1"/>
  <c r="B164" i="1" s="1"/>
  <c r="L31" i="1"/>
  <c r="K31" i="1"/>
  <c r="V30" i="1"/>
  <c r="AG31" i="1"/>
  <c r="H31" i="1"/>
  <c r="G32" i="1"/>
  <c r="J32" i="1"/>
  <c r="U31" i="1"/>
  <c r="P510" i="1" s="1"/>
  <c r="I32" i="1"/>
  <c r="AW30" i="1"/>
  <c r="AW31" i="1" l="1"/>
  <c r="I33" i="1"/>
  <c r="G33" i="1"/>
  <c r="U32" i="1"/>
  <c r="J33" i="1"/>
  <c r="G511" i="1"/>
  <c r="AG32" i="1"/>
  <c r="L32" i="1"/>
  <c r="K32" i="1"/>
  <c r="AW32" i="1" s="1"/>
  <c r="V31" i="1"/>
  <c r="Q510" i="1" s="1"/>
  <c r="R510" i="1" s="1"/>
  <c r="H32" i="1"/>
  <c r="B529" i="1"/>
  <c r="B165" i="1"/>
  <c r="B166" i="1" s="1"/>
  <c r="B167" i="1" s="1"/>
  <c r="B168" i="1" s="1"/>
  <c r="B169" i="1" s="1"/>
  <c r="B170" i="1" s="1"/>
  <c r="B171" i="1" s="1"/>
  <c r="B530" i="1" l="1"/>
  <c r="B172" i="1"/>
  <c r="B173" i="1" s="1"/>
  <c r="B174" i="1" s="1"/>
  <c r="B175" i="1" s="1"/>
  <c r="B176" i="1" s="1"/>
  <c r="B177" i="1" s="1"/>
  <c r="B178" i="1" s="1"/>
  <c r="K511" i="1"/>
  <c r="L511" i="1"/>
  <c r="AG33" i="1"/>
  <c r="H33" i="1"/>
  <c r="V32" i="1"/>
  <c r="L33" i="1"/>
  <c r="K33" i="1"/>
  <c r="H511" i="1"/>
  <c r="I34" i="1"/>
  <c r="G34" i="1"/>
  <c r="J34" i="1"/>
  <c r="U33" i="1"/>
  <c r="T511" i="1" l="1"/>
  <c r="N511" i="1"/>
  <c r="M511" i="1"/>
  <c r="AW33" i="1"/>
  <c r="AG34" i="1"/>
  <c r="H34" i="1"/>
  <c r="L34" i="1"/>
  <c r="K34" i="1"/>
  <c r="AW34" i="1" s="1"/>
  <c r="V33" i="1"/>
  <c r="B531" i="1"/>
  <c r="B179" i="1"/>
  <c r="B180" i="1" s="1"/>
  <c r="B181" i="1" s="1"/>
  <c r="B182" i="1" s="1"/>
  <c r="B183" i="1" s="1"/>
  <c r="B184" i="1" s="1"/>
  <c r="B185" i="1" s="1"/>
  <c r="I35" i="1"/>
  <c r="G35" i="1"/>
  <c r="U34" i="1"/>
  <c r="J35" i="1"/>
  <c r="AG35" i="1" l="1"/>
  <c r="H35" i="1"/>
  <c r="L35" i="1"/>
  <c r="V34" i="1"/>
  <c r="K35" i="1"/>
  <c r="AW35" i="1" s="1"/>
  <c r="B532" i="1"/>
  <c r="B186" i="1"/>
  <c r="B187" i="1" s="1"/>
  <c r="B188" i="1" s="1"/>
  <c r="B189" i="1" s="1"/>
  <c r="B190" i="1" s="1"/>
  <c r="B191" i="1" s="1"/>
  <c r="B192" i="1" s="1"/>
  <c r="I36" i="1"/>
  <c r="G36" i="1"/>
  <c r="U35" i="1"/>
  <c r="J36" i="1"/>
  <c r="B533" i="1" l="1"/>
  <c r="B193" i="1"/>
  <c r="B194" i="1" s="1"/>
  <c r="B195" i="1" s="1"/>
  <c r="B196" i="1" s="1"/>
  <c r="B197" i="1" s="1"/>
  <c r="B198" i="1" s="1"/>
  <c r="B199" i="1" s="1"/>
  <c r="AG36" i="1"/>
  <c r="H36" i="1"/>
  <c r="L36" i="1"/>
  <c r="V35" i="1"/>
  <c r="K36" i="1"/>
  <c r="AW36" i="1" s="1"/>
  <c r="I37" i="1"/>
  <c r="G37" i="1"/>
  <c r="J37" i="1"/>
  <c r="U36" i="1"/>
  <c r="I38" i="1" l="1"/>
  <c r="G38" i="1"/>
  <c r="U37" i="1"/>
  <c r="J38" i="1"/>
  <c r="B534" i="1"/>
  <c r="B200" i="1"/>
  <c r="B201" i="1" s="1"/>
  <c r="B202" i="1" s="1"/>
  <c r="B203" i="1" s="1"/>
  <c r="B204" i="1" s="1"/>
  <c r="B205" i="1" s="1"/>
  <c r="B206" i="1" s="1"/>
  <c r="AG37" i="1"/>
  <c r="H37" i="1"/>
  <c r="L37" i="1"/>
  <c r="K37" i="1"/>
  <c r="AW37" i="1" s="1"/>
  <c r="V36" i="1"/>
  <c r="AG38" i="1" l="1"/>
  <c r="H38" i="1"/>
  <c r="L38" i="1"/>
  <c r="V37" i="1"/>
  <c r="K38" i="1"/>
  <c r="AW38" i="1" s="1"/>
  <c r="B535" i="1"/>
  <c r="B207" i="1"/>
  <c r="B208" i="1" s="1"/>
  <c r="B209" i="1" s="1"/>
  <c r="B210" i="1" s="1"/>
  <c r="B211" i="1" s="1"/>
  <c r="B212" i="1" s="1"/>
  <c r="B213" i="1" s="1"/>
  <c r="I39" i="1"/>
  <c r="G39" i="1"/>
  <c r="U38" i="1"/>
  <c r="P511" i="1" s="1"/>
  <c r="J39" i="1"/>
  <c r="B536" i="1" l="1"/>
  <c r="B214" i="1"/>
  <c r="B215" i="1" s="1"/>
  <c r="B216" i="1" s="1"/>
  <c r="B217" i="1" s="1"/>
  <c r="B218" i="1" s="1"/>
  <c r="B219" i="1" s="1"/>
  <c r="B220" i="1" s="1"/>
  <c r="I40" i="1"/>
  <c r="J40" i="1"/>
  <c r="G40" i="1"/>
  <c r="U39" i="1"/>
  <c r="G512" i="1"/>
  <c r="H39" i="1"/>
  <c r="AG39" i="1"/>
  <c r="L39" i="1"/>
  <c r="V38" i="1"/>
  <c r="Q511" i="1" s="1"/>
  <c r="R511" i="1" s="1"/>
  <c r="K39" i="1"/>
  <c r="K512" i="1" l="1"/>
  <c r="L512" i="1"/>
  <c r="J41" i="1"/>
  <c r="U40" i="1"/>
  <c r="I41" i="1"/>
  <c r="G41" i="1"/>
  <c r="K40" i="1"/>
  <c r="AW40" i="1" s="1"/>
  <c r="AG40" i="1"/>
  <c r="H40" i="1"/>
  <c r="L40" i="1"/>
  <c r="V39" i="1"/>
  <c r="H512" i="1"/>
  <c r="B537" i="1"/>
  <c r="B221" i="1"/>
  <c r="B222" i="1" s="1"/>
  <c r="B223" i="1" s="1"/>
  <c r="B224" i="1" s="1"/>
  <c r="B225" i="1" s="1"/>
  <c r="B226" i="1" s="1"/>
  <c r="B227" i="1" s="1"/>
  <c r="AW39" i="1"/>
  <c r="J42" i="1" l="1"/>
  <c r="U41" i="1"/>
  <c r="I42" i="1"/>
  <c r="G42" i="1"/>
  <c r="B538" i="1"/>
  <c r="B228" i="1"/>
  <c r="B229" i="1" s="1"/>
  <c r="B230" i="1" s="1"/>
  <c r="B231" i="1" s="1"/>
  <c r="B232" i="1" s="1"/>
  <c r="B233" i="1" s="1"/>
  <c r="B234" i="1" s="1"/>
  <c r="T512" i="1"/>
  <c r="M512" i="1"/>
  <c r="N512" i="1"/>
  <c r="K41" i="1"/>
  <c r="AW41" i="1" s="1"/>
  <c r="V40" i="1"/>
  <c r="AG41" i="1"/>
  <c r="H41" i="1"/>
  <c r="L41" i="1"/>
  <c r="I43" i="1" l="1"/>
  <c r="J43" i="1"/>
  <c r="U42" i="1"/>
  <c r="G43" i="1"/>
  <c r="K42" i="1"/>
  <c r="AW42" i="1" s="1"/>
  <c r="V41" i="1"/>
  <c r="AG42" i="1"/>
  <c r="H42" i="1"/>
  <c r="L42" i="1"/>
  <c r="B539" i="1"/>
  <c r="B235" i="1"/>
  <c r="B236" i="1" s="1"/>
  <c r="B237" i="1" s="1"/>
  <c r="B238" i="1" s="1"/>
  <c r="B239" i="1" s="1"/>
  <c r="B240" i="1" s="1"/>
  <c r="B241" i="1" s="1"/>
  <c r="B540" i="1" l="1"/>
  <c r="B242" i="1"/>
  <c r="B243" i="1" s="1"/>
  <c r="B244" i="1" s="1"/>
  <c r="B245" i="1" s="1"/>
  <c r="B246" i="1" s="1"/>
  <c r="B247" i="1" s="1"/>
  <c r="B248" i="1" s="1"/>
  <c r="J44" i="1"/>
  <c r="U43" i="1"/>
  <c r="I44" i="1"/>
  <c r="G44" i="1"/>
  <c r="K43" i="1"/>
  <c r="V42" i="1"/>
  <c r="AG43" i="1"/>
  <c r="H43" i="1"/>
  <c r="L43" i="1"/>
  <c r="V43" i="1" l="1"/>
  <c r="K44" i="1"/>
  <c r="AW44" i="1" s="1"/>
  <c r="L44" i="1"/>
  <c r="H44" i="1"/>
  <c r="AG44" i="1"/>
  <c r="J45" i="1"/>
  <c r="U44" i="1"/>
  <c r="G45" i="1"/>
  <c r="I45" i="1"/>
  <c r="AW43" i="1"/>
  <c r="B541" i="1"/>
  <c r="B249" i="1"/>
  <c r="B250" i="1" s="1"/>
  <c r="B251" i="1" s="1"/>
  <c r="B252" i="1" s="1"/>
  <c r="B253" i="1" s="1"/>
  <c r="B254" i="1" s="1"/>
  <c r="B255" i="1" s="1"/>
  <c r="B542" i="1" l="1"/>
  <c r="B256" i="1"/>
  <c r="B257" i="1" s="1"/>
  <c r="B258" i="1" s="1"/>
  <c r="B259" i="1" s="1"/>
  <c r="B260" i="1" s="1"/>
  <c r="B261" i="1" s="1"/>
  <c r="B262" i="1" s="1"/>
  <c r="J508" i="1"/>
  <c r="I508" i="1"/>
  <c r="U508" i="1" s="1"/>
  <c r="J509" i="1"/>
  <c r="I509" i="1"/>
  <c r="U509" i="1" s="1"/>
  <c r="J510" i="1"/>
  <c r="I510" i="1"/>
  <c r="U510" i="1" s="1"/>
  <c r="J511" i="1"/>
  <c r="I511" i="1"/>
  <c r="U511" i="1" s="1"/>
  <c r="J512" i="1"/>
  <c r="J46" i="1"/>
  <c r="U45" i="1"/>
  <c r="P512" i="1" s="1"/>
  <c r="I46" i="1"/>
  <c r="G46" i="1"/>
  <c r="AG45" i="1"/>
  <c r="V44" i="1"/>
  <c r="L45" i="1"/>
  <c r="K45" i="1"/>
  <c r="AW45" i="1" s="1"/>
  <c r="H45" i="1"/>
  <c r="K46" i="1" l="1"/>
  <c r="AG46" i="1"/>
  <c r="L46" i="1"/>
  <c r="H46" i="1"/>
  <c r="V45" i="1"/>
  <c r="Q512" i="1" s="1"/>
  <c r="R512" i="1" s="1"/>
  <c r="I512" i="1"/>
  <c r="U512" i="1" s="1"/>
  <c r="U46" i="1"/>
  <c r="J47" i="1"/>
  <c r="I47" i="1"/>
  <c r="G47" i="1"/>
  <c r="G513" i="1"/>
  <c r="B543" i="1"/>
  <c r="B263" i="1"/>
  <c r="B264" i="1" s="1"/>
  <c r="B265" i="1" s="1"/>
  <c r="B266" i="1" s="1"/>
  <c r="B267" i="1" s="1"/>
  <c r="B268" i="1" s="1"/>
  <c r="B269" i="1" s="1"/>
  <c r="B544" i="1" l="1"/>
  <c r="B270" i="1"/>
  <c r="B271" i="1" s="1"/>
  <c r="B272" i="1" s="1"/>
  <c r="B273" i="1" s="1"/>
  <c r="B274" i="1" s="1"/>
  <c r="B275" i="1" s="1"/>
  <c r="B276" i="1" s="1"/>
  <c r="K513" i="1"/>
  <c r="L513" i="1"/>
  <c r="V46" i="1"/>
  <c r="L47" i="1"/>
  <c r="H47" i="1"/>
  <c r="AG47" i="1"/>
  <c r="K47" i="1"/>
  <c r="AW47" i="1" s="1"/>
  <c r="H513" i="1"/>
  <c r="U47" i="1"/>
  <c r="J48" i="1"/>
  <c r="I48" i="1"/>
  <c r="G48" i="1"/>
  <c r="AW46" i="1"/>
  <c r="T513" i="1" l="1"/>
  <c r="M513" i="1"/>
  <c r="N513" i="1"/>
  <c r="G49" i="1"/>
  <c r="J49" i="1"/>
  <c r="I49" i="1"/>
  <c r="U48" i="1"/>
  <c r="L48" i="1"/>
  <c r="V47" i="1"/>
  <c r="K48" i="1"/>
  <c r="AG48" i="1"/>
  <c r="H48" i="1"/>
  <c r="B545" i="1"/>
  <c r="B277" i="1"/>
  <c r="B278" i="1" s="1"/>
  <c r="B279" i="1" s="1"/>
  <c r="B280" i="1" s="1"/>
  <c r="B281" i="1" s="1"/>
  <c r="B282" i="1" s="1"/>
  <c r="B283" i="1" s="1"/>
  <c r="B546" i="1" l="1"/>
  <c r="B284" i="1"/>
  <c r="B285" i="1" s="1"/>
  <c r="B286" i="1" s="1"/>
  <c r="B287" i="1" s="1"/>
  <c r="B288" i="1" s="1"/>
  <c r="B289" i="1" s="1"/>
  <c r="B290" i="1" s="1"/>
  <c r="L49" i="1"/>
  <c r="AG49" i="1"/>
  <c r="K49" i="1"/>
  <c r="V48" i="1"/>
  <c r="H49" i="1"/>
  <c r="G50" i="1"/>
  <c r="I50" i="1"/>
  <c r="J50" i="1"/>
  <c r="U49" i="1"/>
  <c r="AW48" i="1"/>
  <c r="G51" i="1" l="1"/>
  <c r="J51" i="1"/>
  <c r="U50" i="1"/>
  <c r="I51" i="1"/>
  <c r="AW49" i="1"/>
  <c r="B547" i="1"/>
  <c r="B291" i="1"/>
  <c r="B292" i="1" s="1"/>
  <c r="B293" i="1" s="1"/>
  <c r="B294" i="1" s="1"/>
  <c r="B295" i="1" s="1"/>
  <c r="B296" i="1" s="1"/>
  <c r="B297" i="1" s="1"/>
  <c r="L50" i="1"/>
  <c r="K50" i="1"/>
  <c r="AW50" i="1" s="1"/>
  <c r="V49" i="1"/>
  <c r="H50" i="1"/>
  <c r="AG50" i="1"/>
  <c r="B548" i="1" l="1"/>
  <c r="B298" i="1"/>
  <c r="B299" i="1" s="1"/>
  <c r="B300" i="1" s="1"/>
  <c r="B301" i="1" s="1"/>
  <c r="B302" i="1" s="1"/>
  <c r="B303" i="1" s="1"/>
  <c r="B304" i="1" s="1"/>
  <c r="L51" i="1"/>
  <c r="H51" i="1"/>
  <c r="V50" i="1"/>
  <c r="K51" i="1"/>
  <c r="AG51" i="1"/>
  <c r="G52" i="1"/>
  <c r="I52" i="1"/>
  <c r="U51" i="1"/>
  <c r="J52" i="1"/>
  <c r="G53" i="1" l="1"/>
  <c r="U52" i="1"/>
  <c r="P513" i="1" s="1"/>
  <c r="I53" i="1"/>
  <c r="J53" i="1"/>
  <c r="J513" i="1"/>
  <c r="AW51" i="1"/>
  <c r="B549" i="1"/>
  <c r="B305" i="1"/>
  <c r="B306" i="1" s="1"/>
  <c r="B307" i="1" s="1"/>
  <c r="B308" i="1" s="1"/>
  <c r="B309" i="1" s="1"/>
  <c r="B310" i="1" s="1"/>
  <c r="B311" i="1" s="1"/>
  <c r="L52" i="1"/>
  <c r="V51" i="1"/>
  <c r="H52" i="1"/>
  <c r="AG52" i="1"/>
  <c r="K52" i="1"/>
  <c r="B550" i="1" l="1"/>
  <c r="B312" i="1"/>
  <c r="B313" i="1" s="1"/>
  <c r="B314" i="1" s="1"/>
  <c r="B315" i="1" s="1"/>
  <c r="B316" i="1" s="1"/>
  <c r="B317" i="1" s="1"/>
  <c r="B318" i="1" s="1"/>
  <c r="L53" i="1"/>
  <c r="H53" i="1"/>
  <c r="AG53" i="1"/>
  <c r="K53" i="1"/>
  <c r="AW53" i="1" s="1"/>
  <c r="V52" i="1"/>
  <c r="Q513" i="1" s="1"/>
  <c r="R513" i="1" s="1"/>
  <c r="I513" i="1"/>
  <c r="U513" i="1" s="1"/>
  <c r="AW52" i="1"/>
  <c r="G54" i="1"/>
  <c r="I54" i="1"/>
  <c r="J54" i="1"/>
  <c r="U53" i="1"/>
  <c r="G514" i="1"/>
  <c r="G55" i="1" l="1"/>
  <c r="I55" i="1"/>
  <c r="J55" i="1"/>
  <c r="U54" i="1"/>
  <c r="H54" i="1"/>
  <c r="AG54" i="1"/>
  <c r="L54" i="1"/>
  <c r="K54" i="1"/>
  <c r="V53" i="1"/>
  <c r="H514" i="1"/>
  <c r="L514" i="1"/>
  <c r="K514" i="1"/>
  <c r="B551" i="1"/>
  <c r="B319" i="1"/>
  <c r="B320" i="1" s="1"/>
  <c r="B321" i="1" s="1"/>
  <c r="B322" i="1" s="1"/>
  <c r="B323" i="1" s="1"/>
  <c r="B324" i="1" s="1"/>
  <c r="B325" i="1" s="1"/>
  <c r="AW54" i="1" l="1"/>
  <c r="B552" i="1"/>
  <c r="B326" i="1"/>
  <c r="B327" i="1" s="1"/>
  <c r="B328" i="1" s="1"/>
  <c r="B329" i="1" s="1"/>
  <c r="B330" i="1" s="1"/>
  <c r="B331" i="1" s="1"/>
  <c r="B332" i="1" s="1"/>
  <c r="AG55" i="1"/>
  <c r="L55" i="1"/>
  <c r="K55" i="1"/>
  <c r="AW55" i="1" s="1"/>
  <c r="V54" i="1"/>
  <c r="H55" i="1"/>
  <c r="T514" i="1"/>
  <c r="M514" i="1"/>
  <c r="N514" i="1"/>
  <c r="G56" i="1"/>
  <c r="I56" i="1"/>
  <c r="J56" i="1"/>
  <c r="U55" i="1"/>
  <c r="L56" i="1" l="1"/>
  <c r="K56" i="1"/>
  <c r="H56" i="1"/>
  <c r="V55" i="1"/>
  <c r="AG56" i="1"/>
  <c r="B553" i="1"/>
  <c r="B333" i="1"/>
  <c r="B334" i="1" s="1"/>
  <c r="B335" i="1" s="1"/>
  <c r="B336" i="1" s="1"/>
  <c r="B337" i="1" s="1"/>
  <c r="B338" i="1" s="1"/>
  <c r="B339" i="1" s="1"/>
  <c r="G57" i="1"/>
  <c r="I57" i="1"/>
  <c r="J57" i="1"/>
  <c r="U56" i="1"/>
  <c r="B554" i="1" l="1"/>
  <c r="B340" i="1"/>
  <c r="B341" i="1" s="1"/>
  <c r="B342" i="1" s="1"/>
  <c r="B343" i="1" s="1"/>
  <c r="B344" i="1" s="1"/>
  <c r="B345" i="1" s="1"/>
  <c r="B346" i="1" s="1"/>
  <c r="G58" i="1"/>
  <c r="I58" i="1"/>
  <c r="U57" i="1"/>
  <c r="J58" i="1"/>
  <c r="V56" i="1"/>
  <c r="H57" i="1"/>
  <c r="AG57" i="1"/>
  <c r="K57" i="1"/>
  <c r="AW57" i="1" s="1"/>
  <c r="L57" i="1"/>
  <c r="AW56" i="1"/>
  <c r="G59" i="1" l="1"/>
  <c r="I59" i="1"/>
  <c r="J59" i="1"/>
  <c r="U58" i="1"/>
  <c r="AG58" i="1"/>
  <c r="L58" i="1"/>
  <c r="K58" i="1"/>
  <c r="H58" i="1"/>
  <c r="V57" i="1"/>
  <c r="B555" i="1"/>
  <c r="B347" i="1"/>
  <c r="B348" i="1" s="1"/>
  <c r="B349" i="1" s="1"/>
  <c r="B350" i="1" s="1"/>
  <c r="B351" i="1" s="1"/>
  <c r="B352" i="1" s="1"/>
  <c r="B353" i="1" s="1"/>
  <c r="AW58" i="1" l="1"/>
  <c r="B556" i="1"/>
  <c r="B354" i="1"/>
  <c r="B355" i="1" s="1"/>
  <c r="B356" i="1" s="1"/>
  <c r="B357" i="1" s="1"/>
  <c r="B358" i="1" s="1"/>
  <c r="B359" i="1" s="1"/>
  <c r="B360" i="1" s="1"/>
  <c r="G60" i="1"/>
  <c r="I60" i="1"/>
  <c r="J60" i="1"/>
  <c r="U59" i="1"/>
  <c r="P514" i="1" s="1"/>
  <c r="J514" i="1"/>
  <c r="L59" i="1"/>
  <c r="K59" i="1"/>
  <c r="AW59" i="1" s="1"/>
  <c r="H59" i="1"/>
  <c r="V58" i="1"/>
  <c r="AG59" i="1"/>
  <c r="I61" i="1" l="1"/>
  <c r="J61" i="1"/>
  <c r="U60" i="1"/>
  <c r="G61" i="1"/>
  <c r="G515" i="1"/>
  <c r="B557" i="1"/>
  <c r="B361" i="1"/>
  <c r="B362" i="1" s="1"/>
  <c r="B363" i="1" s="1"/>
  <c r="B364" i="1" s="1"/>
  <c r="B365" i="1" s="1"/>
  <c r="B366" i="1" s="1"/>
  <c r="B367" i="1" s="1"/>
  <c r="AG60" i="1"/>
  <c r="L60" i="1"/>
  <c r="K60" i="1"/>
  <c r="AW60" i="1" s="1"/>
  <c r="H60" i="1"/>
  <c r="V59" i="1"/>
  <c r="Q514" i="1" s="1"/>
  <c r="R514" i="1" s="1"/>
  <c r="I514" i="1"/>
  <c r="U514" i="1" s="1"/>
  <c r="AG61" i="1" l="1"/>
  <c r="H61" i="1"/>
  <c r="K61" i="1"/>
  <c r="L61" i="1"/>
  <c r="V60" i="1"/>
  <c r="H515" i="1"/>
  <c r="B558" i="1"/>
  <c r="B368" i="1"/>
  <c r="B369" i="1" s="1"/>
  <c r="B370" i="1" s="1"/>
  <c r="B371" i="1" s="1"/>
  <c r="B372" i="1" s="1"/>
  <c r="B373" i="1" s="1"/>
  <c r="B374" i="1" s="1"/>
  <c r="L515" i="1"/>
  <c r="K515" i="1"/>
  <c r="I62" i="1"/>
  <c r="J62" i="1"/>
  <c r="G62" i="1"/>
  <c r="U61" i="1"/>
  <c r="B559" i="1" l="1"/>
  <c r="B375" i="1"/>
  <c r="B376" i="1" s="1"/>
  <c r="B377" i="1" s="1"/>
  <c r="B378" i="1" s="1"/>
  <c r="T515" i="1"/>
  <c r="N515" i="1"/>
  <c r="M515" i="1"/>
  <c r="AW61" i="1"/>
  <c r="AG62" i="1"/>
  <c r="H62" i="1"/>
  <c r="K62" i="1"/>
  <c r="V61" i="1"/>
  <c r="L62" i="1"/>
  <c r="I63" i="1"/>
  <c r="J63" i="1"/>
  <c r="G63" i="1"/>
  <c r="U62" i="1"/>
  <c r="AW62" i="1" l="1"/>
  <c r="AG63" i="1"/>
  <c r="H63" i="1"/>
  <c r="K63" i="1"/>
  <c r="V62" i="1"/>
  <c r="L63" i="1"/>
  <c r="I64" i="1"/>
  <c r="J64" i="1"/>
  <c r="G64" i="1"/>
  <c r="U63" i="1"/>
  <c r="B379" i="1"/>
  <c r="B380" i="1" s="1"/>
  <c r="B381" i="1" s="1"/>
  <c r="B560" i="1" l="1"/>
  <c r="B382" i="1"/>
  <c r="B383" i="1" s="1"/>
  <c r="B384" i="1" s="1"/>
  <c r="B385" i="1" s="1"/>
  <c r="B386" i="1" s="1"/>
  <c r="B387" i="1" s="1"/>
  <c r="B388" i="1" s="1"/>
  <c r="AW63" i="1"/>
  <c r="AG64" i="1"/>
  <c r="H64" i="1"/>
  <c r="K64" i="1"/>
  <c r="AW64" i="1" s="1"/>
  <c r="V63" i="1"/>
  <c r="L64" i="1"/>
  <c r="I65" i="1"/>
  <c r="J65" i="1"/>
  <c r="G65" i="1"/>
  <c r="U64" i="1"/>
  <c r="AG65" i="1" l="1"/>
  <c r="H65" i="1"/>
  <c r="K65" i="1"/>
  <c r="V64" i="1"/>
  <c r="L65" i="1"/>
  <c r="I66" i="1"/>
  <c r="J66" i="1"/>
  <c r="G66" i="1"/>
  <c r="U65" i="1"/>
  <c r="B561" i="1"/>
  <c r="B389" i="1"/>
  <c r="B390" i="1" s="1"/>
  <c r="B391" i="1" s="1"/>
  <c r="B392" i="1" s="1"/>
  <c r="B393" i="1" s="1"/>
  <c r="B394" i="1" s="1"/>
  <c r="B395" i="1" s="1"/>
  <c r="I67" i="1" l="1"/>
  <c r="J67" i="1"/>
  <c r="G67" i="1"/>
  <c r="U66" i="1"/>
  <c r="P515" i="1" s="1"/>
  <c r="J515" i="1"/>
  <c r="B562" i="1"/>
  <c r="B396" i="1"/>
  <c r="B397" i="1" s="1"/>
  <c r="B398" i="1" s="1"/>
  <c r="B399" i="1" s="1"/>
  <c r="B400" i="1" s="1"/>
  <c r="B401" i="1" s="1"/>
  <c r="B402" i="1" s="1"/>
  <c r="AW65" i="1"/>
  <c r="AG66" i="1"/>
  <c r="H66" i="1"/>
  <c r="K66" i="1"/>
  <c r="AW66" i="1" s="1"/>
  <c r="V65" i="1"/>
  <c r="L66" i="1"/>
  <c r="H67" i="1" l="1"/>
  <c r="AG67" i="1"/>
  <c r="K67" i="1"/>
  <c r="V66" i="1"/>
  <c r="Q515" i="1" s="1"/>
  <c r="L67" i="1"/>
  <c r="I515" i="1"/>
  <c r="U515" i="1" s="1"/>
  <c r="B563" i="1"/>
  <c r="B403" i="1"/>
  <c r="B404" i="1" s="1"/>
  <c r="B405" i="1" s="1"/>
  <c r="B406" i="1" s="1"/>
  <c r="B407" i="1" s="1"/>
  <c r="B408" i="1" s="1"/>
  <c r="B409" i="1" s="1"/>
  <c r="R515" i="1"/>
  <c r="J68" i="1"/>
  <c r="U67" i="1"/>
  <c r="I68" i="1"/>
  <c r="G68" i="1"/>
  <c r="G516" i="1"/>
  <c r="B564" i="1" l="1"/>
  <c r="B410" i="1"/>
  <c r="B411" i="1" s="1"/>
  <c r="B412" i="1" s="1"/>
  <c r="B413" i="1" s="1"/>
  <c r="B414" i="1" s="1"/>
  <c r="B415" i="1" s="1"/>
  <c r="B416" i="1" s="1"/>
  <c r="K516" i="1"/>
  <c r="L516" i="1"/>
  <c r="AW67" i="1"/>
  <c r="J69" i="1"/>
  <c r="U68" i="1"/>
  <c r="G69" i="1"/>
  <c r="I69" i="1"/>
  <c r="K68" i="1"/>
  <c r="AW68" i="1" s="1"/>
  <c r="AG68" i="1"/>
  <c r="H68" i="1"/>
  <c r="V67" i="1"/>
  <c r="L68" i="1"/>
  <c r="H516" i="1"/>
  <c r="J70" i="1" l="1"/>
  <c r="U69" i="1"/>
  <c r="I70" i="1"/>
  <c r="G70" i="1"/>
  <c r="T516" i="1"/>
  <c r="M516" i="1"/>
  <c r="N516" i="1"/>
  <c r="B565" i="1"/>
  <c r="B417" i="1"/>
  <c r="B418" i="1" s="1"/>
  <c r="B419" i="1" s="1"/>
  <c r="B420" i="1" s="1"/>
  <c r="B421" i="1" s="1"/>
  <c r="B422" i="1" s="1"/>
  <c r="B423" i="1" s="1"/>
  <c r="K69" i="1"/>
  <c r="AW69" i="1" s="1"/>
  <c r="V68" i="1"/>
  <c r="AG69" i="1"/>
  <c r="H69" i="1"/>
  <c r="L69" i="1"/>
  <c r="J71" i="1" l="1"/>
  <c r="U70" i="1"/>
  <c r="I71" i="1"/>
  <c r="G71" i="1"/>
  <c r="K70" i="1"/>
  <c r="AW70" i="1" s="1"/>
  <c r="V69" i="1"/>
  <c r="AG70" i="1"/>
  <c r="H70" i="1"/>
  <c r="L70" i="1"/>
  <c r="B566" i="1"/>
  <c r="B424" i="1"/>
  <c r="B425" i="1" s="1"/>
  <c r="B426" i="1" s="1"/>
  <c r="B427" i="1" s="1"/>
  <c r="B428" i="1" s="1"/>
  <c r="B429" i="1" s="1"/>
  <c r="B430" i="1" s="1"/>
  <c r="J72" i="1" l="1"/>
  <c r="U71" i="1"/>
  <c r="I72" i="1"/>
  <c r="G72" i="1"/>
  <c r="B567" i="1"/>
  <c r="B431" i="1"/>
  <c r="B432" i="1" s="1"/>
  <c r="B433" i="1" s="1"/>
  <c r="B434" i="1" s="1"/>
  <c r="B435" i="1" s="1"/>
  <c r="B436" i="1" s="1"/>
  <c r="B437" i="1" s="1"/>
  <c r="K71" i="1"/>
  <c r="V70" i="1"/>
  <c r="AG71" i="1"/>
  <c r="H71" i="1"/>
  <c r="L71" i="1"/>
  <c r="B568" i="1" l="1"/>
  <c r="B438" i="1"/>
  <c r="B439" i="1" s="1"/>
  <c r="J73" i="1"/>
  <c r="U72" i="1"/>
  <c r="G73" i="1"/>
  <c r="I73" i="1"/>
  <c r="AW71" i="1"/>
  <c r="K72" i="1"/>
  <c r="AW72" i="1" s="1"/>
  <c r="V71" i="1"/>
  <c r="AG72" i="1"/>
  <c r="H72" i="1"/>
  <c r="L72" i="1"/>
  <c r="B440" i="1" l="1"/>
  <c r="B441" i="1" s="1"/>
  <c r="B442" i="1" s="1"/>
  <c r="B443" i="1" s="1"/>
  <c r="B444" i="1" s="1"/>
  <c r="K73" i="1"/>
  <c r="AW73" i="1" s="1"/>
  <c r="V72" i="1"/>
  <c r="AG73" i="1"/>
  <c r="H73" i="1"/>
  <c r="L73" i="1"/>
  <c r="J74" i="1"/>
  <c r="U73" i="1"/>
  <c r="P516" i="1" s="1"/>
  <c r="I74" i="1"/>
  <c r="G74" i="1"/>
  <c r="J516" i="1"/>
  <c r="U74" i="1" l="1"/>
  <c r="J75" i="1"/>
  <c r="G75" i="1"/>
  <c r="I75" i="1"/>
  <c r="G517" i="1"/>
  <c r="K74" i="1"/>
  <c r="AW74" i="1" s="1"/>
  <c r="V73" i="1"/>
  <c r="Q516" i="1" s="1"/>
  <c r="R516" i="1" s="1"/>
  <c r="H74" i="1"/>
  <c r="AG74" i="1"/>
  <c r="L74" i="1"/>
  <c r="I516" i="1"/>
  <c r="U516" i="1" s="1"/>
  <c r="B569" i="1"/>
  <c r="B445" i="1"/>
  <c r="B446" i="1" s="1"/>
  <c r="B447" i="1" s="1"/>
  <c r="B448" i="1" s="1"/>
  <c r="B449" i="1" s="1"/>
  <c r="B450" i="1" s="1"/>
  <c r="B451" i="1" s="1"/>
  <c r="K517" i="1" l="1"/>
  <c r="L517" i="1"/>
  <c r="J76" i="1"/>
  <c r="U75" i="1"/>
  <c r="G76" i="1"/>
  <c r="I76" i="1"/>
  <c r="B570" i="1"/>
  <c r="B452" i="1"/>
  <c r="B453" i="1" s="1"/>
  <c r="B454" i="1" s="1"/>
  <c r="B455" i="1" s="1"/>
  <c r="B456" i="1" s="1"/>
  <c r="B457" i="1" s="1"/>
  <c r="B458" i="1" s="1"/>
  <c r="V74" i="1"/>
  <c r="L75" i="1"/>
  <c r="AG75" i="1"/>
  <c r="K75" i="1"/>
  <c r="H75" i="1"/>
  <c r="H517" i="1"/>
  <c r="L76" i="1" l="1"/>
  <c r="AG76" i="1"/>
  <c r="K76" i="1"/>
  <c r="AW76" i="1" s="1"/>
  <c r="H76" i="1"/>
  <c r="V75" i="1"/>
  <c r="J77" i="1"/>
  <c r="U76" i="1"/>
  <c r="G77" i="1"/>
  <c r="I77" i="1"/>
  <c r="AW75" i="1"/>
  <c r="B571" i="1"/>
  <c r="B459" i="1"/>
  <c r="B460" i="1" s="1"/>
  <c r="B461" i="1" s="1"/>
  <c r="B462" i="1" s="1"/>
  <c r="B463" i="1" s="1"/>
  <c r="B464" i="1" s="1"/>
  <c r="B465" i="1" s="1"/>
  <c r="T517" i="1"/>
  <c r="N517" i="1"/>
  <c r="M517" i="1"/>
  <c r="J78" i="1" l="1"/>
  <c r="U77" i="1"/>
  <c r="G78" i="1"/>
  <c r="I78" i="1"/>
  <c r="L77" i="1"/>
  <c r="AG77" i="1"/>
  <c r="K77" i="1"/>
  <c r="AW77" i="1" s="1"/>
  <c r="V76" i="1"/>
  <c r="H77" i="1"/>
  <c r="B572" i="1"/>
  <c r="B466" i="1"/>
  <c r="B467" i="1" s="1"/>
  <c r="B468" i="1" s="1"/>
  <c r="B469" i="1" s="1"/>
  <c r="B470" i="1" s="1"/>
  <c r="J79" i="1" l="1"/>
  <c r="U78" i="1"/>
  <c r="G79" i="1"/>
  <c r="I79" i="1"/>
  <c r="L78" i="1"/>
  <c r="H78" i="1"/>
  <c r="K78" i="1"/>
  <c r="AG78" i="1"/>
  <c r="V77" i="1"/>
  <c r="B471" i="1"/>
  <c r="B472" i="1" s="1"/>
  <c r="B573" i="1" l="1"/>
  <c r="B473" i="1"/>
  <c r="B474" i="1" s="1"/>
  <c r="B475" i="1" s="1"/>
  <c r="B476" i="1" s="1"/>
  <c r="B477" i="1" s="1"/>
  <c r="B478" i="1" s="1"/>
  <c r="B479" i="1" s="1"/>
  <c r="AW78" i="1"/>
  <c r="L79" i="1"/>
  <c r="AG79" i="1"/>
  <c r="K79" i="1"/>
  <c r="AW79" i="1" s="1"/>
  <c r="V78" i="1"/>
  <c r="H79" i="1"/>
  <c r="J80" i="1"/>
  <c r="U79" i="1"/>
  <c r="G80" i="1"/>
  <c r="I80" i="1"/>
  <c r="L80" i="1" l="1"/>
  <c r="V79" i="1"/>
  <c r="AG80" i="1"/>
  <c r="K80" i="1"/>
  <c r="AW80" i="1" s="1"/>
  <c r="H80" i="1"/>
  <c r="J81" i="1"/>
  <c r="U80" i="1"/>
  <c r="P517" i="1" s="1"/>
  <c r="G81" i="1"/>
  <c r="I81" i="1"/>
  <c r="J517" i="1"/>
  <c r="B574" i="1"/>
  <c r="B480" i="1"/>
  <c r="B481" i="1" s="1"/>
  <c r="B482" i="1" s="1"/>
  <c r="B483" i="1" s="1"/>
  <c r="B484" i="1" s="1"/>
  <c r="B485" i="1" s="1"/>
  <c r="B486" i="1" s="1"/>
  <c r="G82" i="1" l="1"/>
  <c r="U81" i="1"/>
  <c r="I82" i="1"/>
  <c r="J82" i="1"/>
  <c r="G518" i="1"/>
  <c r="L81" i="1"/>
  <c r="AG81" i="1"/>
  <c r="K81" i="1"/>
  <c r="V80" i="1"/>
  <c r="Q517" i="1" s="1"/>
  <c r="H81" i="1"/>
  <c r="I517" i="1"/>
  <c r="U517" i="1" s="1"/>
  <c r="B575" i="1"/>
  <c r="B487" i="1"/>
  <c r="B488" i="1" s="1"/>
  <c r="B489" i="1" s="1"/>
  <c r="B490" i="1" s="1"/>
  <c r="B491" i="1" s="1"/>
  <c r="B492" i="1" s="1"/>
  <c r="B493" i="1" s="1"/>
  <c r="R517" i="1"/>
  <c r="AW81" i="1" l="1"/>
  <c r="B576" i="1"/>
  <c r="B494" i="1"/>
  <c r="B495" i="1" s="1"/>
  <c r="B496" i="1" s="1"/>
  <c r="B497" i="1" s="1"/>
  <c r="B498" i="1" s="1"/>
  <c r="B499" i="1" s="1"/>
  <c r="B500" i="1" s="1"/>
  <c r="B577" i="1" s="1"/>
  <c r="L518" i="1"/>
  <c r="K518" i="1"/>
  <c r="L82" i="1"/>
  <c r="AG82" i="1"/>
  <c r="K82" i="1"/>
  <c r="H82" i="1"/>
  <c r="V81" i="1"/>
  <c r="H518" i="1"/>
  <c r="G83" i="1"/>
  <c r="I83" i="1"/>
  <c r="J83" i="1"/>
  <c r="U82" i="1"/>
  <c r="G84" i="1" l="1"/>
  <c r="I84" i="1"/>
  <c r="J84" i="1"/>
  <c r="U83" i="1"/>
  <c r="T518" i="1"/>
  <c r="M518" i="1"/>
  <c r="N518" i="1"/>
  <c r="L83" i="1"/>
  <c r="AG83" i="1"/>
  <c r="K83" i="1"/>
  <c r="AW83" i="1" s="1"/>
  <c r="H83" i="1"/>
  <c r="V82" i="1"/>
  <c r="AW82" i="1"/>
  <c r="L84" i="1" l="1"/>
  <c r="K84" i="1"/>
  <c r="AW84" i="1" s="1"/>
  <c r="H84" i="1"/>
  <c r="V83" i="1"/>
  <c r="AG84" i="1"/>
  <c r="G85" i="1"/>
  <c r="I85" i="1"/>
  <c r="J85" i="1"/>
  <c r="U84" i="1"/>
  <c r="G86" i="1" l="1"/>
  <c r="I86" i="1"/>
  <c r="J86" i="1"/>
  <c r="U85" i="1"/>
  <c r="L85" i="1"/>
  <c r="K85" i="1"/>
  <c r="AW85" i="1" s="1"/>
  <c r="H85" i="1"/>
  <c r="V84" i="1"/>
  <c r="AG85" i="1"/>
  <c r="AG86" i="1" l="1"/>
  <c r="H86" i="1"/>
  <c r="L86" i="1"/>
  <c r="K86" i="1"/>
  <c r="AW86" i="1" s="1"/>
  <c r="V85" i="1"/>
  <c r="G87" i="1"/>
  <c r="I87" i="1"/>
  <c r="U86" i="1"/>
  <c r="J87" i="1"/>
  <c r="G88" i="1" l="1"/>
  <c r="I88" i="1"/>
  <c r="J88" i="1"/>
  <c r="U87" i="1"/>
  <c r="P518" i="1" s="1"/>
  <c r="J518" i="1"/>
  <c r="AG87" i="1"/>
  <c r="H87" i="1"/>
  <c r="L87" i="1"/>
  <c r="V86" i="1"/>
  <c r="K87" i="1"/>
  <c r="AW87" i="1" s="1"/>
  <c r="H88" i="1" l="1"/>
  <c r="AG88" i="1"/>
  <c r="L88" i="1"/>
  <c r="V87" i="1"/>
  <c r="Q518" i="1" s="1"/>
  <c r="K88" i="1"/>
  <c r="I518" i="1"/>
  <c r="U518" i="1" s="1"/>
  <c r="R518" i="1"/>
  <c r="J89" i="1"/>
  <c r="I89" i="1"/>
  <c r="U88" i="1"/>
  <c r="G89" i="1"/>
  <c r="G519" i="1"/>
  <c r="AW88" i="1" l="1"/>
  <c r="K519" i="1"/>
  <c r="L519" i="1"/>
  <c r="J90" i="1"/>
  <c r="U89" i="1"/>
  <c r="I90" i="1"/>
  <c r="G90" i="1"/>
  <c r="AG89" i="1"/>
  <c r="H89" i="1"/>
  <c r="K89" i="1"/>
  <c r="AW89" i="1" s="1"/>
  <c r="L89" i="1"/>
  <c r="V88" i="1"/>
  <c r="H519" i="1"/>
  <c r="J91" i="1" l="1"/>
  <c r="U90" i="1"/>
  <c r="I91" i="1"/>
  <c r="G91" i="1"/>
  <c r="AG90" i="1"/>
  <c r="H90" i="1"/>
  <c r="K90" i="1"/>
  <c r="AW90" i="1" s="1"/>
  <c r="V89" i="1"/>
  <c r="L90" i="1"/>
  <c r="T519" i="1"/>
  <c r="M519" i="1"/>
  <c r="N519" i="1"/>
  <c r="AG91" i="1" l="1"/>
  <c r="H91" i="1"/>
  <c r="K91" i="1"/>
  <c r="AW91" i="1" s="1"/>
  <c r="V90" i="1"/>
  <c r="L91" i="1"/>
  <c r="J92" i="1"/>
  <c r="U91" i="1"/>
  <c r="I92" i="1"/>
  <c r="G92" i="1"/>
  <c r="AG92" i="1" l="1"/>
  <c r="H92" i="1"/>
  <c r="K92" i="1"/>
  <c r="V91" i="1"/>
  <c r="L92" i="1"/>
  <c r="J93" i="1"/>
  <c r="U92" i="1"/>
  <c r="I93" i="1"/>
  <c r="G93" i="1"/>
  <c r="AW92" i="1" l="1"/>
  <c r="AG93" i="1"/>
  <c r="H93" i="1"/>
  <c r="K93" i="1"/>
  <c r="AW93" i="1" s="1"/>
  <c r="V92" i="1"/>
  <c r="L93" i="1"/>
  <c r="J94" i="1"/>
  <c r="U93" i="1"/>
  <c r="I94" i="1"/>
  <c r="G94" i="1"/>
  <c r="AG94" i="1" l="1"/>
  <c r="H94" i="1"/>
  <c r="K94" i="1"/>
  <c r="V93" i="1"/>
  <c r="L94" i="1"/>
  <c r="J95" i="1"/>
  <c r="U94" i="1"/>
  <c r="P519" i="1" s="1"/>
  <c r="I95" i="1"/>
  <c r="G95" i="1"/>
  <c r="J519" i="1"/>
  <c r="AW94" i="1" l="1"/>
  <c r="H95" i="1"/>
  <c r="AG95" i="1"/>
  <c r="K95" i="1"/>
  <c r="V94" i="1"/>
  <c r="Q519" i="1" s="1"/>
  <c r="R519" i="1" s="1"/>
  <c r="L95" i="1"/>
  <c r="I519" i="1"/>
  <c r="U519" i="1" s="1"/>
  <c r="I96" i="1"/>
  <c r="G96" i="1"/>
  <c r="U95" i="1"/>
  <c r="J96" i="1"/>
  <c r="G520" i="1"/>
  <c r="L520" i="1" l="1"/>
  <c r="K520" i="1"/>
  <c r="AW95" i="1"/>
  <c r="L96" i="1"/>
  <c r="AG96" i="1"/>
  <c r="V95" i="1"/>
  <c r="H96" i="1"/>
  <c r="K96" i="1"/>
  <c r="H520" i="1"/>
  <c r="I97" i="1"/>
  <c r="G97" i="1"/>
  <c r="J97" i="1"/>
  <c r="U96" i="1"/>
  <c r="H97" i="1" l="1"/>
  <c r="K97" i="1"/>
  <c r="AW97" i="1" s="1"/>
  <c r="V96" i="1"/>
  <c r="AG97" i="1"/>
  <c r="L97" i="1"/>
  <c r="I98" i="1"/>
  <c r="G98" i="1"/>
  <c r="U97" i="1"/>
  <c r="J98" i="1"/>
  <c r="T520" i="1"/>
  <c r="M520" i="1"/>
  <c r="N520" i="1"/>
  <c r="AW96" i="1"/>
  <c r="J99" i="1" l="1"/>
  <c r="I99" i="1"/>
  <c r="G99" i="1"/>
  <c r="U98" i="1"/>
  <c r="L98" i="1"/>
  <c r="AG98" i="1"/>
  <c r="V97" i="1"/>
  <c r="K98" i="1"/>
  <c r="H98" i="1"/>
  <c r="J100" i="1" l="1"/>
  <c r="U99" i="1"/>
  <c r="I100" i="1"/>
  <c r="G100" i="1"/>
  <c r="L99" i="1"/>
  <c r="K99" i="1"/>
  <c r="AW99" i="1" s="1"/>
  <c r="H99" i="1"/>
  <c r="V98" i="1"/>
  <c r="AG99" i="1"/>
  <c r="AW98" i="1"/>
  <c r="K100" i="1" l="1"/>
  <c r="H100" i="1"/>
  <c r="V99" i="1"/>
  <c r="L100" i="1"/>
  <c r="AG100" i="1"/>
  <c r="J101" i="1"/>
  <c r="U100" i="1"/>
  <c r="I101" i="1"/>
  <c r="G101" i="1"/>
  <c r="H101" i="1" l="1"/>
  <c r="V100" i="1"/>
  <c r="AG101" i="1"/>
  <c r="K101" i="1"/>
  <c r="AW101" i="1" s="1"/>
  <c r="L101" i="1"/>
  <c r="J102" i="1"/>
  <c r="U101" i="1"/>
  <c r="P520" i="1" s="1"/>
  <c r="I102" i="1"/>
  <c r="G102" i="1"/>
  <c r="J520" i="1"/>
  <c r="AW100" i="1"/>
  <c r="U102" i="1" l="1"/>
  <c r="I103" i="1"/>
  <c r="J103" i="1"/>
  <c r="G103" i="1"/>
  <c r="G521" i="1"/>
  <c r="V101" i="1"/>
  <c r="Q520" i="1" s="1"/>
  <c r="R520" i="1" s="1"/>
  <c r="AG102" i="1"/>
  <c r="H102" i="1"/>
  <c r="K102" i="1"/>
  <c r="AW102" i="1" s="1"/>
  <c r="L102" i="1"/>
  <c r="I520" i="1"/>
  <c r="U520" i="1" s="1"/>
  <c r="L521" i="1" l="1"/>
  <c r="K521" i="1"/>
  <c r="I104" i="1"/>
  <c r="J104" i="1"/>
  <c r="U103" i="1"/>
  <c r="G104" i="1"/>
  <c r="L103" i="1"/>
  <c r="K103" i="1"/>
  <c r="AW103" i="1" s="1"/>
  <c r="AG103" i="1"/>
  <c r="V102" i="1"/>
  <c r="H103" i="1"/>
  <c r="H521" i="1"/>
  <c r="M521" i="1" l="1"/>
  <c r="N521" i="1"/>
  <c r="T521" i="1"/>
  <c r="I105" i="1"/>
  <c r="G105" i="1"/>
  <c r="J105" i="1"/>
  <c r="U104" i="1"/>
  <c r="L104" i="1"/>
  <c r="K104" i="1"/>
  <c r="V103" i="1"/>
  <c r="H104" i="1"/>
  <c r="AG104" i="1"/>
  <c r="I106" i="1" l="1"/>
  <c r="U105" i="1"/>
  <c r="G106" i="1"/>
  <c r="J106" i="1"/>
  <c r="L105" i="1"/>
  <c r="K105" i="1"/>
  <c r="AW105" i="1" s="1"/>
  <c r="V104" i="1"/>
  <c r="H105" i="1"/>
  <c r="AG105" i="1"/>
  <c r="AW104" i="1"/>
  <c r="L106" i="1" l="1"/>
  <c r="K106" i="1"/>
  <c r="AW106" i="1" s="1"/>
  <c r="V105" i="1"/>
  <c r="AG106" i="1"/>
  <c r="H106" i="1"/>
  <c r="I107" i="1"/>
  <c r="U106" i="1"/>
  <c r="J107" i="1"/>
  <c r="G107" i="1"/>
  <c r="L107" i="1" l="1"/>
  <c r="K107" i="1"/>
  <c r="V106" i="1"/>
  <c r="AG107" i="1"/>
  <c r="H107" i="1"/>
  <c r="I108" i="1"/>
  <c r="J108" i="1"/>
  <c r="U107" i="1"/>
  <c r="G108" i="1"/>
  <c r="L108" i="1" l="1"/>
  <c r="K108" i="1"/>
  <c r="AW108" i="1" s="1"/>
  <c r="V107" i="1"/>
  <c r="H108" i="1"/>
  <c r="AG108" i="1"/>
  <c r="AW107" i="1"/>
  <c r="I109" i="1"/>
  <c r="J109" i="1"/>
  <c r="G109" i="1"/>
  <c r="U108" i="1"/>
  <c r="P521" i="1" s="1"/>
  <c r="J521" i="1"/>
  <c r="AG109" i="1" l="1"/>
  <c r="L109" i="1"/>
  <c r="K109" i="1"/>
  <c r="AW109" i="1" s="1"/>
  <c r="V108" i="1"/>
  <c r="Q521" i="1" s="1"/>
  <c r="H109" i="1"/>
  <c r="I521" i="1"/>
  <c r="U521" i="1" s="1"/>
  <c r="R521" i="1"/>
  <c r="J110" i="1"/>
  <c r="I110" i="1"/>
  <c r="G110" i="1"/>
  <c r="U109" i="1"/>
  <c r="G522" i="1"/>
  <c r="AG110" i="1" l="1"/>
  <c r="H110" i="1"/>
  <c r="V109" i="1"/>
  <c r="K110" i="1"/>
  <c r="L110" i="1"/>
  <c r="H522" i="1"/>
  <c r="K522" i="1"/>
  <c r="L522" i="1"/>
  <c r="J111" i="1"/>
  <c r="U110" i="1"/>
  <c r="I111" i="1"/>
  <c r="G111" i="1"/>
  <c r="N522" i="1" l="1"/>
  <c r="M522" i="1"/>
  <c r="T522" i="1"/>
  <c r="G112" i="1"/>
  <c r="U111" i="1"/>
  <c r="I112" i="1"/>
  <c r="J112" i="1"/>
  <c r="AW110" i="1"/>
  <c r="AG111" i="1"/>
  <c r="H111" i="1"/>
  <c r="K111" i="1"/>
  <c r="V110" i="1"/>
  <c r="L111" i="1"/>
  <c r="AW111" i="1" l="1"/>
  <c r="G113" i="1"/>
  <c r="I113" i="1"/>
  <c r="U112" i="1"/>
  <c r="J113" i="1"/>
  <c r="AG112" i="1"/>
  <c r="H112" i="1"/>
  <c r="K112" i="1"/>
  <c r="V111" i="1"/>
  <c r="L112" i="1"/>
  <c r="I114" i="1" l="1"/>
  <c r="G114" i="1"/>
  <c r="J114" i="1"/>
  <c r="U113" i="1"/>
  <c r="AW112" i="1"/>
  <c r="AG113" i="1"/>
  <c r="H113" i="1"/>
  <c r="K113" i="1"/>
  <c r="V112" i="1"/>
  <c r="L113" i="1"/>
  <c r="AG114" i="1" l="1"/>
  <c r="H114" i="1"/>
  <c r="K114" i="1"/>
  <c r="V113" i="1"/>
  <c r="L114" i="1"/>
  <c r="J115" i="1"/>
  <c r="U114" i="1"/>
  <c r="I115" i="1"/>
  <c r="G115" i="1"/>
  <c r="AW113" i="1"/>
  <c r="AW114" i="1" l="1"/>
  <c r="AG115" i="1"/>
  <c r="H115" i="1"/>
  <c r="K115" i="1"/>
  <c r="V114" i="1"/>
  <c r="L115" i="1"/>
  <c r="J116" i="1"/>
  <c r="U115" i="1"/>
  <c r="P522" i="1" s="1"/>
  <c r="I116" i="1"/>
  <c r="G116" i="1"/>
  <c r="J522" i="1"/>
  <c r="AW115" i="1" l="1"/>
  <c r="H116" i="1"/>
  <c r="AG116" i="1"/>
  <c r="K116" i="1"/>
  <c r="V115" i="1"/>
  <c r="Q522" i="1" s="1"/>
  <c r="R522" i="1" s="1"/>
  <c r="L116" i="1"/>
  <c r="I522" i="1"/>
  <c r="U522" i="1" s="1"/>
  <c r="J117" i="1"/>
  <c r="G117" i="1"/>
  <c r="U116" i="1"/>
  <c r="I117" i="1"/>
  <c r="G523" i="1"/>
  <c r="L523" i="1" l="1"/>
  <c r="K523" i="1"/>
  <c r="AW116" i="1"/>
  <c r="AG117" i="1"/>
  <c r="H117" i="1"/>
  <c r="V116" i="1"/>
  <c r="K117" i="1"/>
  <c r="AW117" i="1" s="1"/>
  <c r="L117" i="1"/>
  <c r="H523" i="1"/>
  <c r="J118" i="1"/>
  <c r="U117" i="1"/>
  <c r="G118" i="1"/>
  <c r="I118" i="1"/>
  <c r="AG118" i="1" l="1"/>
  <c r="H118" i="1"/>
  <c r="L118" i="1"/>
  <c r="K118" i="1"/>
  <c r="AW118" i="1" s="1"/>
  <c r="V117" i="1"/>
  <c r="J119" i="1"/>
  <c r="U118" i="1"/>
  <c r="G119" i="1"/>
  <c r="I119" i="1"/>
  <c r="M523" i="1"/>
  <c r="T523" i="1"/>
  <c r="N523" i="1"/>
  <c r="AG119" i="1" l="1"/>
  <c r="H119" i="1"/>
  <c r="K119" i="1"/>
  <c r="V118" i="1"/>
  <c r="L119" i="1"/>
  <c r="J120" i="1"/>
  <c r="U119" i="1"/>
  <c r="G120" i="1"/>
  <c r="I120" i="1"/>
  <c r="AW119" i="1" l="1"/>
  <c r="AG120" i="1"/>
  <c r="H120" i="1"/>
  <c r="V119" i="1"/>
  <c r="L120" i="1"/>
  <c r="K120" i="1"/>
  <c r="AW120" i="1" s="1"/>
  <c r="J121" i="1"/>
  <c r="U120" i="1"/>
  <c r="G121" i="1"/>
  <c r="I121" i="1"/>
  <c r="AG121" i="1" l="1"/>
  <c r="H121" i="1"/>
  <c r="V120" i="1"/>
  <c r="K121" i="1"/>
  <c r="AW121" i="1" s="1"/>
  <c r="L121" i="1"/>
  <c r="J122" i="1"/>
  <c r="U121" i="1"/>
  <c r="G122" i="1"/>
  <c r="I122" i="1"/>
  <c r="AG122" i="1" l="1"/>
  <c r="H122" i="1"/>
  <c r="V121" i="1"/>
  <c r="L122" i="1"/>
  <c r="K122" i="1"/>
  <c r="J123" i="1"/>
  <c r="U122" i="1"/>
  <c r="P523" i="1" s="1"/>
  <c r="I123" i="1"/>
  <c r="G123" i="1"/>
  <c r="J523" i="1"/>
  <c r="AW122" i="1" l="1"/>
  <c r="H123" i="1"/>
  <c r="AG123" i="1"/>
  <c r="L123" i="1"/>
  <c r="K123" i="1"/>
  <c r="AW123" i="1" s="1"/>
  <c r="V122" i="1"/>
  <c r="Q523" i="1" s="1"/>
  <c r="R523" i="1" s="1"/>
  <c r="I523" i="1"/>
  <c r="U523" i="1" s="1"/>
  <c r="U123" i="1"/>
  <c r="J124" i="1"/>
  <c r="I124" i="1"/>
  <c r="G124" i="1"/>
  <c r="G524" i="1"/>
  <c r="K524" i="1" l="1"/>
  <c r="L524" i="1"/>
  <c r="J125" i="1"/>
  <c r="U124" i="1"/>
  <c r="I125" i="1"/>
  <c r="G125" i="1"/>
  <c r="L124" i="1"/>
  <c r="K124" i="1"/>
  <c r="AW124" i="1" s="1"/>
  <c r="AG124" i="1"/>
  <c r="H124" i="1"/>
  <c r="V123" i="1"/>
  <c r="H524" i="1"/>
  <c r="J126" i="1" l="1"/>
  <c r="U125" i="1"/>
  <c r="I126" i="1"/>
  <c r="G126" i="1"/>
  <c r="M524" i="1"/>
  <c r="N524" i="1"/>
  <c r="T524" i="1"/>
  <c r="L125" i="1"/>
  <c r="K125" i="1"/>
  <c r="AW125" i="1" s="1"/>
  <c r="V124" i="1"/>
  <c r="AG125" i="1"/>
  <c r="H125" i="1"/>
  <c r="J127" i="1" l="1"/>
  <c r="U126" i="1"/>
  <c r="I127" i="1"/>
  <c r="G127" i="1"/>
  <c r="L126" i="1"/>
  <c r="K126" i="1"/>
  <c r="AW126" i="1" s="1"/>
  <c r="V125" i="1"/>
  <c r="AG126" i="1"/>
  <c r="H126" i="1"/>
  <c r="J128" i="1" l="1"/>
  <c r="U127" i="1"/>
  <c r="I128" i="1"/>
  <c r="G128" i="1"/>
  <c r="L127" i="1"/>
  <c r="K127" i="1"/>
  <c r="AW127" i="1" s="1"/>
  <c r="V126" i="1"/>
  <c r="AG127" i="1"/>
  <c r="H127" i="1"/>
  <c r="J129" i="1" l="1"/>
  <c r="U128" i="1"/>
  <c r="I129" i="1"/>
  <c r="G129" i="1"/>
  <c r="L128" i="1"/>
  <c r="K128" i="1"/>
  <c r="AW128" i="1" s="1"/>
  <c r="V127" i="1"/>
  <c r="AG128" i="1"/>
  <c r="H128" i="1"/>
  <c r="J130" i="1" l="1"/>
  <c r="U129" i="1"/>
  <c r="P524" i="1" s="1"/>
  <c r="I130" i="1"/>
  <c r="G130" i="1"/>
  <c r="J524" i="1"/>
  <c r="L129" i="1"/>
  <c r="K129" i="1"/>
  <c r="AW129" i="1" s="1"/>
  <c r="V128" i="1"/>
  <c r="AG129" i="1"/>
  <c r="H129" i="1"/>
  <c r="U130" i="1" l="1"/>
  <c r="J131" i="1"/>
  <c r="I131" i="1"/>
  <c r="G131" i="1"/>
  <c r="G525" i="1"/>
  <c r="L130" i="1"/>
  <c r="K130" i="1"/>
  <c r="AW130" i="1" s="1"/>
  <c r="V129" i="1"/>
  <c r="Q524" i="1" s="1"/>
  <c r="R524" i="1" s="1"/>
  <c r="H130" i="1"/>
  <c r="AG130" i="1"/>
  <c r="I524" i="1"/>
  <c r="U524" i="1" s="1"/>
  <c r="K525" i="1" l="1"/>
  <c r="L525" i="1"/>
  <c r="J132" i="1"/>
  <c r="U131" i="1"/>
  <c r="I132" i="1"/>
  <c r="G132" i="1"/>
  <c r="V130" i="1"/>
  <c r="L131" i="1"/>
  <c r="K131" i="1"/>
  <c r="H131" i="1"/>
  <c r="AG131" i="1"/>
  <c r="H525" i="1"/>
  <c r="J133" i="1" l="1"/>
  <c r="U132" i="1"/>
  <c r="I133" i="1"/>
  <c r="G133" i="1"/>
  <c r="M525" i="1"/>
  <c r="T525" i="1"/>
  <c r="N525" i="1"/>
  <c r="L132" i="1"/>
  <c r="K132" i="1"/>
  <c r="AW132" i="1" s="1"/>
  <c r="V131" i="1"/>
  <c r="AG132" i="1"/>
  <c r="H132" i="1"/>
  <c r="AW131" i="1"/>
  <c r="L133" i="1" l="1"/>
  <c r="K133" i="1"/>
  <c r="V132" i="1"/>
  <c r="AG133" i="1"/>
  <c r="H133" i="1"/>
  <c r="J134" i="1"/>
  <c r="U133" i="1"/>
  <c r="I134" i="1"/>
  <c r="G134" i="1"/>
  <c r="AW133" i="1" l="1"/>
  <c r="J135" i="1"/>
  <c r="U134" i="1"/>
  <c r="I135" i="1"/>
  <c r="G135" i="1"/>
  <c r="L134" i="1"/>
  <c r="K134" i="1"/>
  <c r="AW134" i="1" s="1"/>
  <c r="V133" i="1"/>
  <c r="AG134" i="1"/>
  <c r="H134" i="1"/>
  <c r="L135" i="1" l="1"/>
  <c r="K135" i="1"/>
  <c r="AW135" i="1" s="1"/>
  <c r="V134" i="1"/>
  <c r="AG135" i="1"/>
  <c r="H135" i="1"/>
  <c r="J136" i="1"/>
  <c r="U135" i="1"/>
  <c r="I136" i="1"/>
  <c r="G136" i="1"/>
  <c r="L136" i="1" l="1"/>
  <c r="K136" i="1"/>
  <c r="AW136" i="1" s="1"/>
  <c r="V135" i="1"/>
  <c r="AG136" i="1"/>
  <c r="H136" i="1"/>
  <c r="J137" i="1"/>
  <c r="U136" i="1"/>
  <c r="P525" i="1" s="1"/>
  <c r="I137" i="1"/>
  <c r="G137" i="1"/>
  <c r="J525" i="1"/>
  <c r="AG137" i="1" l="1"/>
  <c r="L137" i="1"/>
  <c r="K137" i="1"/>
  <c r="V136" i="1"/>
  <c r="Q525" i="1" s="1"/>
  <c r="R525" i="1" s="1"/>
  <c r="H137" i="1"/>
  <c r="I525" i="1"/>
  <c r="U525" i="1" s="1"/>
  <c r="G138" i="1"/>
  <c r="U137" i="1"/>
  <c r="J138" i="1"/>
  <c r="I138" i="1"/>
  <c r="G526" i="1"/>
  <c r="G139" i="1" l="1"/>
  <c r="J139" i="1"/>
  <c r="U138" i="1"/>
  <c r="I139" i="1"/>
  <c r="AG138" i="1"/>
  <c r="H138" i="1"/>
  <c r="V137" i="1"/>
  <c r="L138" i="1"/>
  <c r="K138" i="1"/>
  <c r="H526" i="1"/>
  <c r="K526" i="1"/>
  <c r="L526" i="1"/>
  <c r="AW137" i="1"/>
  <c r="AG139" i="1" l="1"/>
  <c r="H139" i="1"/>
  <c r="L139" i="1"/>
  <c r="K139" i="1"/>
  <c r="AW139" i="1" s="1"/>
  <c r="V138" i="1"/>
  <c r="M526" i="1"/>
  <c r="N526" i="1"/>
  <c r="T526" i="1"/>
  <c r="AW138" i="1"/>
  <c r="G140" i="1"/>
  <c r="U139" i="1"/>
  <c r="I140" i="1"/>
  <c r="J140" i="1"/>
  <c r="G141" i="1" l="1"/>
  <c r="U140" i="1"/>
  <c r="J141" i="1"/>
  <c r="I141" i="1"/>
  <c r="AG140" i="1"/>
  <c r="H140" i="1"/>
  <c r="L140" i="1"/>
  <c r="K140" i="1"/>
  <c r="AW140" i="1" s="1"/>
  <c r="V139" i="1"/>
  <c r="AG141" i="1" l="1"/>
  <c r="H141" i="1"/>
  <c r="L141" i="1"/>
  <c r="K141" i="1"/>
  <c r="AW141" i="1" s="1"/>
  <c r="V140" i="1"/>
  <c r="G142" i="1"/>
  <c r="U141" i="1"/>
  <c r="I142" i="1"/>
  <c r="J142" i="1"/>
  <c r="G143" i="1" l="1"/>
  <c r="U142" i="1"/>
  <c r="J143" i="1"/>
  <c r="I143" i="1"/>
  <c r="AG142" i="1"/>
  <c r="H142" i="1"/>
  <c r="L142" i="1"/>
  <c r="K142" i="1"/>
  <c r="V141" i="1"/>
  <c r="AG143" i="1" l="1"/>
  <c r="H143" i="1"/>
  <c r="L143" i="1"/>
  <c r="K143" i="1"/>
  <c r="AW143" i="1" s="1"/>
  <c r="V142" i="1"/>
  <c r="G144" i="1"/>
  <c r="U143" i="1"/>
  <c r="P526" i="1" s="1"/>
  <c r="I144" i="1"/>
  <c r="J144" i="1"/>
  <c r="J526" i="1"/>
  <c r="AW142" i="1"/>
  <c r="J145" i="1" l="1"/>
  <c r="I145" i="1"/>
  <c r="G145" i="1"/>
  <c r="U144" i="1"/>
  <c r="G527" i="1"/>
  <c r="H144" i="1"/>
  <c r="AG144" i="1"/>
  <c r="L144" i="1"/>
  <c r="K144" i="1"/>
  <c r="AW144" i="1" s="1"/>
  <c r="V143" i="1"/>
  <c r="Q526" i="1" s="1"/>
  <c r="R526" i="1" s="1"/>
  <c r="I526" i="1"/>
  <c r="U526" i="1" s="1"/>
  <c r="L527" i="1" l="1"/>
  <c r="K527" i="1"/>
  <c r="J146" i="1"/>
  <c r="U145" i="1"/>
  <c r="I146" i="1"/>
  <c r="G146" i="1"/>
  <c r="AG145" i="1"/>
  <c r="H145" i="1"/>
  <c r="V144" i="1"/>
  <c r="L145" i="1"/>
  <c r="K145" i="1"/>
  <c r="AW145" i="1" s="1"/>
  <c r="H527" i="1"/>
  <c r="J147" i="1" l="1"/>
  <c r="U146" i="1"/>
  <c r="I147" i="1"/>
  <c r="G147" i="1"/>
  <c r="T527" i="1"/>
  <c r="M527" i="1"/>
  <c r="N527" i="1"/>
  <c r="AG146" i="1"/>
  <c r="H146" i="1"/>
  <c r="L146" i="1"/>
  <c r="V145" i="1"/>
  <c r="K146" i="1"/>
  <c r="AW146" i="1" s="1"/>
  <c r="J148" i="1" l="1"/>
  <c r="U147" i="1"/>
  <c r="I148" i="1"/>
  <c r="G148" i="1"/>
  <c r="AG147" i="1"/>
  <c r="H147" i="1"/>
  <c r="L147" i="1"/>
  <c r="K147" i="1"/>
  <c r="AW147" i="1" s="1"/>
  <c r="V146" i="1"/>
  <c r="AG148" i="1" l="1"/>
  <c r="H148" i="1"/>
  <c r="V147" i="1"/>
  <c r="K148" i="1"/>
  <c r="L148" i="1"/>
  <c r="J149" i="1"/>
  <c r="U148" i="1"/>
  <c r="I149" i="1"/>
  <c r="G149" i="1"/>
  <c r="AW148" i="1" l="1"/>
  <c r="AG149" i="1"/>
  <c r="H149" i="1"/>
  <c r="V148" i="1"/>
  <c r="L149" i="1"/>
  <c r="K149" i="1"/>
  <c r="J150" i="1"/>
  <c r="U149" i="1"/>
  <c r="I150" i="1"/>
  <c r="G150" i="1"/>
  <c r="AW149" i="1" l="1"/>
  <c r="AG150" i="1"/>
  <c r="H150" i="1"/>
  <c r="L150" i="1"/>
  <c r="K150" i="1"/>
  <c r="V149" i="1"/>
  <c r="J151" i="1"/>
  <c r="U150" i="1"/>
  <c r="P527" i="1" s="1"/>
  <c r="I151" i="1"/>
  <c r="G151" i="1"/>
  <c r="J527" i="1"/>
  <c r="AW150" i="1" l="1"/>
  <c r="H151" i="1"/>
  <c r="AG151" i="1"/>
  <c r="L151" i="1"/>
  <c r="K151" i="1"/>
  <c r="AW151" i="1" s="1"/>
  <c r="V150" i="1"/>
  <c r="Q527" i="1" s="1"/>
  <c r="R527" i="1" s="1"/>
  <c r="I527" i="1"/>
  <c r="U527" i="1" s="1"/>
  <c r="U151" i="1"/>
  <c r="J152" i="1"/>
  <c r="I152" i="1"/>
  <c r="G152" i="1"/>
  <c r="G528" i="1"/>
  <c r="K528" i="1" l="1"/>
  <c r="L528" i="1"/>
  <c r="J153" i="1"/>
  <c r="U152" i="1"/>
  <c r="I153" i="1"/>
  <c r="G153" i="1"/>
  <c r="L152" i="1"/>
  <c r="K152" i="1"/>
  <c r="AG152" i="1"/>
  <c r="H152" i="1"/>
  <c r="V151" i="1"/>
  <c r="H528" i="1"/>
  <c r="AW152" i="1" l="1"/>
  <c r="J154" i="1"/>
  <c r="U153" i="1"/>
  <c r="I154" i="1"/>
  <c r="G154" i="1"/>
  <c r="N528" i="1"/>
  <c r="M528" i="1"/>
  <c r="T528" i="1"/>
  <c r="L153" i="1"/>
  <c r="K153" i="1"/>
  <c r="V152" i="1"/>
  <c r="AG153" i="1"/>
  <c r="H153" i="1"/>
  <c r="L154" i="1" l="1"/>
  <c r="K154" i="1"/>
  <c r="V153" i="1"/>
  <c r="AG154" i="1"/>
  <c r="H154" i="1"/>
  <c r="J155" i="1"/>
  <c r="U154" i="1"/>
  <c r="I155" i="1"/>
  <c r="G155" i="1"/>
  <c r="AW153" i="1"/>
  <c r="L155" i="1" l="1"/>
  <c r="K155" i="1"/>
  <c r="AW155" i="1" s="1"/>
  <c r="V154" i="1"/>
  <c r="AG155" i="1"/>
  <c r="H155" i="1"/>
  <c r="AW154" i="1"/>
  <c r="J156" i="1"/>
  <c r="U155" i="1"/>
  <c r="I156" i="1"/>
  <c r="G156" i="1"/>
  <c r="L156" i="1" l="1"/>
  <c r="K156" i="1"/>
  <c r="AW156" i="1" s="1"/>
  <c r="V155" i="1"/>
  <c r="AG156" i="1"/>
  <c r="H156" i="1"/>
  <c r="J157" i="1"/>
  <c r="U156" i="1"/>
  <c r="I157" i="1"/>
  <c r="G157" i="1"/>
  <c r="L157" i="1" l="1"/>
  <c r="K157" i="1"/>
  <c r="AW157" i="1" s="1"/>
  <c r="V156" i="1"/>
  <c r="H157" i="1"/>
  <c r="AG157" i="1"/>
  <c r="G158" i="1"/>
  <c r="U157" i="1"/>
  <c r="P528" i="1" s="1"/>
  <c r="J158" i="1"/>
  <c r="I158" i="1"/>
  <c r="J528" i="1"/>
  <c r="G159" i="1" l="1"/>
  <c r="J159" i="1"/>
  <c r="I159" i="1"/>
  <c r="U158" i="1"/>
  <c r="G529" i="1"/>
  <c r="V157" i="1"/>
  <c r="Q528" i="1" s="1"/>
  <c r="R528" i="1" s="1"/>
  <c r="AG158" i="1"/>
  <c r="L158" i="1"/>
  <c r="K158" i="1"/>
  <c r="H158" i="1"/>
  <c r="I528" i="1"/>
  <c r="U528" i="1" s="1"/>
  <c r="K529" i="1" l="1"/>
  <c r="L529" i="1"/>
  <c r="K159" i="1"/>
  <c r="AW159" i="1" s="1"/>
  <c r="H159" i="1"/>
  <c r="AG159" i="1"/>
  <c r="V158" i="1"/>
  <c r="L159" i="1"/>
  <c r="H529" i="1"/>
  <c r="AW158" i="1"/>
  <c r="G160" i="1"/>
  <c r="U159" i="1"/>
  <c r="J160" i="1"/>
  <c r="I160" i="1"/>
  <c r="V159" i="1" l="1"/>
  <c r="L160" i="1"/>
  <c r="K160" i="1"/>
  <c r="AW160" i="1" s="1"/>
  <c r="H160" i="1"/>
  <c r="AG160" i="1"/>
  <c r="G161" i="1"/>
  <c r="U160" i="1"/>
  <c r="J161" i="1"/>
  <c r="I161" i="1"/>
  <c r="M529" i="1"/>
  <c r="T529" i="1"/>
  <c r="N529" i="1"/>
  <c r="G162" i="1" l="1"/>
  <c r="J162" i="1"/>
  <c r="I162" i="1"/>
  <c r="U161" i="1"/>
  <c r="AG161" i="1"/>
  <c r="V160" i="1"/>
  <c r="L161" i="1"/>
  <c r="K161" i="1"/>
  <c r="H161" i="1"/>
  <c r="L162" i="1" l="1"/>
  <c r="H162" i="1"/>
  <c r="V161" i="1"/>
  <c r="AG162" i="1"/>
  <c r="K162" i="1"/>
  <c r="AW162" i="1" s="1"/>
  <c r="G163" i="1"/>
  <c r="U162" i="1"/>
  <c r="J163" i="1"/>
  <c r="I163" i="1"/>
  <c r="AW161" i="1"/>
  <c r="L163" i="1" l="1"/>
  <c r="V162" i="1"/>
  <c r="AG163" i="1"/>
  <c r="K163" i="1"/>
  <c r="AW163" i="1" s="1"/>
  <c r="H163" i="1"/>
  <c r="G164" i="1"/>
  <c r="J164" i="1"/>
  <c r="I164" i="1"/>
  <c r="U163" i="1"/>
  <c r="L164" i="1" l="1"/>
  <c r="H164" i="1"/>
  <c r="V163" i="1"/>
  <c r="AG164" i="1"/>
  <c r="K164" i="1"/>
  <c r="AW164" i="1" s="1"/>
  <c r="G165" i="1"/>
  <c r="I165" i="1"/>
  <c r="U164" i="1"/>
  <c r="P529" i="1" s="1"/>
  <c r="J165" i="1"/>
  <c r="J529" i="1"/>
  <c r="I166" i="1" l="1"/>
  <c r="J166" i="1"/>
  <c r="U165" i="1"/>
  <c r="G166" i="1"/>
  <c r="G530" i="1"/>
  <c r="L165" i="1"/>
  <c r="V164" i="1"/>
  <c r="Q529" i="1" s="1"/>
  <c r="R529" i="1" s="1"/>
  <c r="AG165" i="1"/>
  <c r="K165" i="1"/>
  <c r="H165" i="1"/>
  <c r="I529" i="1"/>
  <c r="U529" i="1" s="1"/>
  <c r="L530" i="1" l="1"/>
  <c r="K530" i="1"/>
  <c r="I167" i="1"/>
  <c r="J167" i="1"/>
  <c r="G167" i="1"/>
  <c r="U166" i="1"/>
  <c r="K166" i="1"/>
  <c r="AW166" i="1" s="1"/>
  <c r="AG166" i="1"/>
  <c r="L166" i="1"/>
  <c r="H166" i="1"/>
  <c r="V165" i="1"/>
  <c r="H530" i="1"/>
  <c r="AW165" i="1"/>
  <c r="I168" i="1" l="1"/>
  <c r="G168" i="1"/>
  <c r="J168" i="1"/>
  <c r="U167" i="1"/>
  <c r="M530" i="1"/>
  <c r="N530" i="1"/>
  <c r="T530" i="1"/>
  <c r="K167" i="1"/>
  <c r="V166" i="1"/>
  <c r="L167" i="1"/>
  <c r="H167" i="1"/>
  <c r="AG167" i="1"/>
  <c r="K168" i="1" l="1"/>
  <c r="V167" i="1"/>
  <c r="L168" i="1"/>
  <c r="H168" i="1"/>
  <c r="AG168" i="1"/>
  <c r="I169" i="1"/>
  <c r="G169" i="1"/>
  <c r="J169" i="1"/>
  <c r="U168" i="1"/>
  <c r="AW167" i="1"/>
  <c r="K169" i="1" l="1"/>
  <c r="V168" i="1"/>
  <c r="L169" i="1"/>
  <c r="H169" i="1"/>
  <c r="AG169" i="1"/>
  <c r="AW168" i="1"/>
  <c r="J170" i="1"/>
  <c r="I170" i="1"/>
  <c r="G170" i="1"/>
  <c r="U169" i="1"/>
  <c r="K170" i="1" l="1"/>
  <c r="V169" i="1"/>
  <c r="AG170" i="1"/>
  <c r="L170" i="1"/>
  <c r="H170" i="1"/>
  <c r="J171" i="1"/>
  <c r="U170" i="1"/>
  <c r="I171" i="1"/>
  <c r="G171" i="1"/>
  <c r="AW169" i="1"/>
  <c r="K171" i="1" l="1"/>
  <c r="V170" i="1"/>
  <c r="AG171" i="1"/>
  <c r="L171" i="1"/>
  <c r="H171" i="1"/>
  <c r="J172" i="1"/>
  <c r="U171" i="1"/>
  <c r="P530" i="1" s="1"/>
  <c r="I172" i="1"/>
  <c r="G172" i="1"/>
  <c r="J530" i="1"/>
  <c r="AW170" i="1"/>
  <c r="AG172" i="1" l="1"/>
  <c r="K172" i="1"/>
  <c r="V171" i="1"/>
  <c r="Q530" i="1" s="1"/>
  <c r="R530" i="1" s="1"/>
  <c r="L172" i="1"/>
  <c r="H172" i="1"/>
  <c r="I530" i="1"/>
  <c r="U530" i="1" s="1"/>
  <c r="U172" i="1"/>
  <c r="I173" i="1"/>
  <c r="J173" i="1"/>
  <c r="G173" i="1"/>
  <c r="G531" i="1"/>
  <c r="AW171" i="1"/>
  <c r="L173" i="1" l="1"/>
  <c r="K173" i="1"/>
  <c r="AW173" i="1" s="1"/>
  <c r="AG173" i="1"/>
  <c r="H173" i="1"/>
  <c r="V172" i="1"/>
  <c r="H531" i="1"/>
  <c r="L531" i="1"/>
  <c r="K531" i="1"/>
  <c r="I174" i="1"/>
  <c r="J174" i="1"/>
  <c r="U173" i="1"/>
  <c r="G174" i="1"/>
  <c r="AW172" i="1"/>
  <c r="T531" i="1" l="1"/>
  <c r="M531" i="1"/>
  <c r="N531" i="1"/>
  <c r="G175" i="1"/>
  <c r="J175" i="1"/>
  <c r="I175" i="1"/>
  <c r="U174" i="1"/>
  <c r="L174" i="1"/>
  <c r="K174" i="1"/>
  <c r="AW174" i="1" s="1"/>
  <c r="V173" i="1"/>
  <c r="AG174" i="1"/>
  <c r="H174" i="1"/>
  <c r="L175" i="1" l="1"/>
  <c r="V174" i="1"/>
  <c r="K175" i="1"/>
  <c r="AW175" i="1" s="1"/>
  <c r="H175" i="1"/>
  <c r="AG175" i="1"/>
  <c r="I176" i="1"/>
  <c r="G176" i="1"/>
  <c r="J176" i="1"/>
  <c r="U175" i="1"/>
  <c r="H176" i="1" l="1"/>
  <c r="V175" i="1"/>
  <c r="AG176" i="1"/>
  <c r="K176" i="1"/>
  <c r="AW176" i="1" s="1"/>
  <c r="L176" i="1"/>
  <c r="I177" i="1"/>
  <c r="G177" i="1"/>
  <c r="J177" i="1"/>
  <c r="U176" i="1"/>
  <c r="H177" i="1" l="1"/>
  <c r="AG177" i="1"/>
  <c r="K177" i="1"/>
  <c r="V176" i="1"/>
  <c r="L177" i="1"/>
  <c r="I178" i="1"/>
  <c r="G178" i="1"/>
  <c r="J178" i="1"/>
  <c r="U177" i="1"/>
  <c r="I179" i="1" l="1"/>
  <c r="G179" i="1"/>
  <c r="J179" i="1"/>
  <c r="U178" i="1"/>
  <c r="P531" i="1" s="1"/>
  <c r="J531" i="1"/>
  <c r="AW177" i="1"/>
  <c r="H178" i="1"/>
  <c r="AG178" i="1"/>
  <c r="K178" i="1"/>
  <c r="V177" i="1"/>
  <c r="L178" i="1"/>
  <c r="AG179" i="1" l="1"/>
  <c r="H179" i="1"/>
  <c r="K179" i="1"/>
  <c r="AW179" i="1" s="1"/>
  <c r="V178" i="1"/>
  <c r="Q531" i="1" s="1"/>
  <c r="L179" i="1"/>
  <c r="I531" i="1"/>
  <c r="U531" i="1" s="1"/>
  <c r="R531" i="1"/>
  <c r="I180" i="1"/>
  <c r="G180" i="1"/>
  <c r="J180" i="1"/>
  <c r="U179" i="1"/>
  <c r="G532" i="1"/>
  <c r="AW178" i="1"/>
  <c r="L532" i="1" l="1"/>
  <c r="K532" i="1"/>
  <c r="K180" i="1"/>
  <c r="AG180" i="1"/>
  <c r="H180" i="1"/>
  <c r="L180" i="1"/>
  <c r="V179" i="1"/>
  <c r="H532" i="1"/>
  <c r="I181" i="1"/>
  <c r="G181" i="1"/>
  <c r="J181" i="1"/>
  <c r="U180" i="1"/>
  <c r="K181" i="1" l="1"/>
  <c r="V180" i="1"/>
  <c r="AG181" i="1"/>
  <c r="H181" i="1"/>
  <c r="L181" i="1"/>
  <c r="AW180" i="1"/>
  <c r="I182" i="1"/>
  <c r="G182" i="1"/>
  <c r="J182" i="1"/>
  <c r="U181" i="1"/>
  <c r="M532" i="1"/>
  <c r="N532" i="1"/>
  <c r="T532" i="1"/>
  <c r="K182" i="1" l="1"/>
  <c r="V181" i="1"/>
  <c r="AG182" i="1"/>
  <c r="H182" i="1"/>
  <c r="L182" i="1"/>
  <c r="AW181" i="1"/>
  <c r="I183" i="1"/>
  <c r="G183" i="1"/>
  <c r="J183" i="1"/>
  <c r="U182" i="1"/>
  <c r="K183" i="1" l="1"/>
  <c r="V182" i="1"/>
  <c r="AG183" i="1"/>
  <c r="H183" i="1"/>
  <c r="L183" i="1"/>
  <c r="AW182" i="1"/>
  <c r="I184" i="1"/>
  <c r="G184" i="1"/>
  <c r="U183" i="1"/>
  <c r="J184" i="1"/>
  <c r="K184" i="1" l="1"/>
  <c r="V183" i="1"/>
  <c r="AG184" i="1"/>
  <c r="H184" i="1"/>
  <c r="L184" i="1"/>
  <c r="AW183" i="1"/>
  <c r="I185" i="1"/>
  <c r="G185" i="1"/>
  <c r="U184" i="1"/>
  <c r="J185" i="1"/>
  <c r="I186" i="1" l="1"/>
  <c r="G186" i="1"/>
  <c r="U185" i="1"/>
  <c r="P532" i="1" s="1"/>
  <c r="J186" i="1"/>
  <c r="J532" i="1"/>
  <c r="K185" i="1"/>
  <c r="AW185" i="1" s="1"/>
  <c r="V184" i="1"/>
  <c r="AG185" i="1"/>
  <c r="H185" i="1"/>
  <c r="L185" i="1"/>
  <c r="AW184" i="1"/>
  <c r="J187" i="1" l="1"/>
  <c r="I187" i="1"/>
  <c r="G187" i="1"/>
  <c r="U186" i="1"/>
  <c r="G533" i="1"/>
  <c r="K186" i="1"/>
  <c r="AW186" i="1" s="1"/>
  <c r="V185" i="1"/>
  <c r="Q532" i="1" s="1"/>
  <c r="R532" i="1" s="1"/>
  <c r="H186" i="1"/>
  <c r="AG186" i="1"/>
  <c r="L186" i="1"/>
  <c r="I532" i="1"/>
  <c r="U532" i="1" s="1"/>
  <c r="K533" i="1" l="1"/>
  <c r="L533" i="1"/>
  <c r="J188" i="1"/>
  <c r="U187" i="1"/>
  <c r="I188" i="1"/>
  <c r="G188" i="1"/>
  <c r="V186" i="1"/>
  <c r="K187" i="1"/>
  <c r="AG187" i="1"/>
  <c r="H187" i="1"/>
  <c r="L187" i="1"/>
  <c r="H533" i="1"/>
  <c r="N533" i="1" l="1"/>
  <c r="T533" i="1"/>
  <c r="M533" i="1"/>
  <c r="K188" i="1"/>
  <c r="AW188" i="1" s="1"/>
  <c r="V187" i="1"/>
  <c r="AG188" i="1"/>
  <c r="H188" i="1"/>
  <c r="L188" i="1"/>
  <c r="J189" i="1"/>
  <c r="U188" i="1"/>
  <c r="I189" i="1"/>
  <c r="G189" i="1"/>
  <c r="AW187" i="1"/>
  <c r="J190" i="1" l="1"/>
  <c r="U189" i="1"/>
  <c r="I190" i="1"/>
  <c r="G190" i="1"/>
  <c r="K189" i="1"/>
  <c r="AW189" i="1" s="1"/>
  <c r="V188" i="1"/>
  <c r="AG189" i="1"/>
  <c r="H189" i="1"/>
  <c r="L189" i="1"/>
  <c r="J191" i="1" l="1"/>
  <c r="U190" i="1"/>
  <c r="I191" i="1"/>
  <c r="G191" i="1"/>
  <c r="K190" i="1"/>
  <c r="AW190" i="1" s="1"/>
  <c r="V189" i="1"/>
  <c r="AG190" i="1"/>
  <c r="H190" i="1"/>
  <c r="L190" i="1"/>
  <c r="J192" i="1" l="1"/>
  <c r="U191" i="1"/>
  <c r="I192" i="1"/>
  <c r="G192" i="1"/>
  <c r="K191" i="1"/>
  <c r="AW191" i="1" s="1"/>
  <c r="V190" i="1"/>
  <c r="AG191" i="1"/>
  <c r="H191" i="1"/>
  <c r="L191" i="1"/>
  <c r="K192" i="1" l="1"/>
  <c r="V191" i="1"/>
  <c r="AG192" i="1"/>
  <c r="H192" i="1"/>
  <c r="L192" i="1"/>
  <c r="J193" i="1"/>
  <c r="U192" i="1"/>
  <c r="P533" i="1" s="1"/>
  <c r="I193" i="1"/>
  <c r="G193" i="1"/>
  <c r="J533" i="1"/>
  <c r="K193" i="1" l="1"/>
  <c r="AW193" i="1" s="1"/>
  <c r="V192" i="1"/>
  <c r="Q533" i="1" s="1"/>
  <c r="R533" i="1" s="1"/>
  <c r="H193" i="1"/>
  <c r="L193" i="1"/>
  <c r="AG193" i="1"/>
  <c r="I533" i="1"/>
  <c r="U533" i="1" s="1"/>
  <c r="G194" i="1"/>
  <c r="U193" i="1"/>
  <c r="J194" i="1"/>
  <c r="I194" i="1"/>
  <c r="G534" i="1"/>
  <c r="AW192" i="1"/>
  <c r="G195" i="1" l="1"/>
  <c r="J195" i="1"/>
  <c r="U194" i="1"/>
  <c r="I195" i="1"/>
  <c r="V193" i="1"/>
  <c r="L194" i="1"/>
  <c r="K194" i="1"/>
  <c r="AW194" i="1" s="1"/>
  <c r="AG194" i="1"/>
  <c r="H194" i="1"/>
  <c r="H534" i="1"/>
  <c r="L534" i="1"/>
  <c r="K534" i="1"/>
  <c r="N534" i="1" l="1"/>
  <c r="T534" i="1"/>
  <c r="M534" i="1"/>
  <c r="L195" i="1"/>
  <c r="K195" i="1"/>
  <c r="AW195" i="1" s="1"/>
  <c r="V194" i="1"/>
  <c r="AG195" i="1"/>
  <c r="H195" i="1"/>
  <c r="G196" i="1"/>
  <c r="J196" i="1"/>
  <c r="U195" i="1"/>
  <c r="I196" i="1"/>
  <c r="G197" i="1" l="1"/>
  <c r="J197" i="1"/>
  <c r="U196" i="1"/>
  <c r="I197" i="1"/>
  <c r="L196" i="1"/>
  <c r="K196" i="1"/>
  <c r="V195" i="1"/>
  <c r="AG196" i="1"/>
  <c r="H196" i="1"/>
  <c r="AW196" i="1" l="1"/>
  <c r="L197" i="1"/>
  <c r="K197" i="1"/>
  <c r="AW197" i="1" s="1"/>
  <c r="V196" i="1"/>
  <c r="AG197" i="1"/>
  <c r="H197" i="1"/>
  <c r="G198" i="1"/>
  <c r="J198" i="1"/>
  <c r="U197" i="1"/>
  <c r="I198" i="1"/>
  <c r="L198" i="1" l="1"/>
  <c r="K198" i="1"/>
  <c r="AW198" i="1" s="1"/>
  <c r="V197" i="1"/>
  <c r="AG198" i="1"/>
  <c r="H198" i="1"/>
  <c r="G199" i="1"/>
  <c r="J199" i="1"/>
  <c r="U198" i="1"/>
  <c r="I199" i="1"/>
  <c r="G200" i="1" l="1"/>
  <c r="J200" i="1"/>
  <c r="U199" i="1"/>
  <c r="P534" i="1" s="1"/>
  <c r="I200" i="1"/>
  <c r="J534" i="1"/>
  <c r="L199" i="1"/>
  <c r="K199" i="1"/>
  <c r="AW199" i="1" s="1"/>
  <c r="V198" i="1"/>
  <c r="AG199" i="1"/>
  <c r="H199" i="1"/>
  <c r="L200" i="1" l="1"/>
  <c r="K200" i="1"/>
  <c r="AW200" i="1" s="1"/>
  <c r="V199" i="1"/>
  <c r="Q534" i="1" s="1"/>
  <c r="R534" i="1" s="1"/>
  <c r="AG200" i="1"/>
  <c r="H200" i="1"/>
  <c r="I534" i="1"/>
  <c r="U534" i="1" s="1"/>
  <c r="I201" i="1"/>
  <c r="G201" i="1"/>
  <c r="U200" i="1"/>
  <c r="J201" i="1"/>
  <c r="G535" i="1"/>
  <c r="V200" i="1" l="1"/>
  <c r="L201" i="1"/>
  <c r="AG201" i="1"/>
  <c r="K201" i="1"/>
  <c r="H201" i="1"/>
  <c r="H535" i="1"/>
  <c r="L535" i="1"/>
  <c r="K535" i="1"/>
  <c r="I202" i="1"/>
  <c r="G202" i="1"/>
  <c r="J202" i="1"/>
  <c r="U201" i="1"/>
  <c r="N535" i="1" l="1"/>
  <c r="M535" i="1"/>
  <c r="T535" i="1"/>
  <c r="L202" i="1"/>
  <c r="AG202" i="1"/>
  <c r="K202" i="1"/>
  <c r="AW202" i="1" s="1"/>
  <c r="H202" i="1"/>
  <c r="V201" i="1"/>
  <c r="AW201" i="1"/>
  <c r="I203" i="1"/>
  <c r="G203" i="1"/>
  <c r="U202" i="1"/>
  <c r="J203" i="1"/>
  <c r="L203" i="1" l="1"/>
  <c r="AG203" i="1"/>
  <c r="K203" i="1"/>
  <c r="AW203" i="1" s="1"/>
  <c r="V202" i="1"/>
  <c r="H203" i="1"/>
  <c r="I204" i="1"/>
  <c r="G204" i="1"/>
  <c r="J204" i="1"/>
  <c r="U203" i="1"/>
  <c r="L204" i="1" l="1"/>
  <c r="H204" i="1"/>
  <c r="AG204" i="1"/>
  <c r="K204" i="1"/>
  <c r="AW204" i="1" s="1"/>
  <c r="V203" i="1"/>
  <c r="I205" i="1"/>
  <c r="G205" i="1"/>
  <c r="J205" i="1"/>
  <c r="U204" i="1"/>
  <c r="I206" i="1" l="1"/>
  <c r="G206" i="1"/>
  <c r="J206" i="1"/>
  <c r="U205" i="1"/>
  <c r="L205" i="1"/>
  <c r="H205" i="1"/>
  <c r="AG205" i="1"/>
  <c r="K205" i="1"/>
  <c r="AW205" i="1" s="1"/>
  <c r="V204" i="1"/>
  <c r="L206" i="1" l="1"/>
  <c r="K206" i="1"/>
  <c r="AW206" i="1" s="1"/>
  <c r="V205" i="1"/>
  <c r="H206" i="1"/>
  <c r="AG206" i="1"/>
  <c r="I207" i="1"/>
  <c r="G207" i="1"/>
  <c r="J207" i="1"/>
  <c r="U206" i="1"/>
  <c r="P535" i="1" s="1"/>
  <c r="J535" i="1"/>
  <c r="AG207" i="1" l="1"/>
  <c r="L207" i="1"/>
  <c r="K207" i="1"/>
  <c r="AW207" i="1" s="1"/>
  <c r="V206" i="1"/>
  <c r="Q535" i="1" s="1"/>
  <c r="H207" i="1"/>
  <c r="I535" i="1"/>
  <c r="U535" i="1" s="1"/>
  <c r="I208" i="1"/>
  <c r="G208" i="1"/>
  <c r="U207" i="1"/>
  <c r="J208" i="1"/>
  <c r="G536" i="1"/>
  <c r="R535" i="1"/>
  <c r="I209" i="1" l="1"/>
  <c r="G209" i="1"/>
  <c r="J209" i="1"/>
  <c r="U208" i="1"/>
  <c r="K208" i="1"/>
  <c r="AW208" i="1" s="1"/>
  <c r="AG208" i="1"/>
  <c r="H208" i="1"/>
  <c r="V207" i="1"/>
  <c r="L208" i="1"/>
  <c r="H536" i="1"/>
  <c r="K536" i="1"/>
  <c r="L536" i="1"/>
  <c r="K209" i="1" l="1"/>
  <c r="V208" i="1"/>
  <c r="AG209" i="1"/>
  <c r="H209" i="1"/>
  <c r="L209" i="1"/>
  <c r="N536" i="1"/>
  <c r="M536" i="1"/>
  <c r="T536" i="1"/>
  <c r="I210" i="1"/>
  <c r="G210" i="1"/>
  <c r="U209" i="1"/>
  <c r="J210" i="1"/>
  <c r="K210" i="1" l="1"/>
  <c r="V209" i="1"/>
  <c r="AG210" i="1"/>
  <c r="H210" i="1"/>
  <c r="L210" i="1"/>
  <c r="I211" i="1"/>
  <c r="G211" i="1"/>
  <c r="U210" i="1"/>
  <c r="J211" i="1"/>
  <c r="AW209" i="1"/>
  <c r="K211" i="1" l="1"/>
  <c r="V210" i="1"/>
  <c r="AG211" i="1"/>
  <c r="H211" i="1"/>
  <c r="L211" i="1"/>
  <c r="AW210" i="1"/>
  <c r="I212" i="1"/>
  <c r="G212" i="1"/>
  <c r="U211" i="1"/>
  <c r="J212" i="1"/>
  <c r="K212" i="1" l="1"/>
  <c r="V211" i="1"/>
  <c r="AG212" i="1"/>
  <c r="H212" i="1"/>
  <c r="L212" i="1"/>
  <c r="AW211" i="1"/>
  <c r="I213" i="1"/>
  <c r="G213" i="1"/>
  <c r="J213" i="1"/>
  <c r="U212" i="1"/>
  <c r="K213" i="1" l="1"/>
  <c r="V212" i="1"/>
  <c r="AG213" i="1"/>
  <c r="H213" i="1"/>
  <c r="L213" i="1"/>
  <c r="I214" i="1"/>
  <c r="G214" i="1"/>
  <c r="U213" i="1"/>
  <c r="P536" i="1" s="1"/>
  <c r="J214" i="1"/>
  <c r="J536" i="1"/>
  <c r="AW212" i="1"/>
  <c r="J215" i="1" l="1"/>
  <c r="I215" i="1"/>
  <c r="G215" i="1"/>
  <c r="U214" i="1"/>
  <c r="G537" i="1"/>
  <c r="K214" i="1"/>
  <c r="AW214" i="1" s="1"/>
  <c r="V213" i="1"/>
  <c r="Q536" i="1" s="1"/>
  <c r="R536" i="1" s="1"/>
  <c r="H214" i="1"/>
  <c r="AG214" i="1"/>
  <c r="L214" i="1"/>
  <c r="I536" i="1"/>
  <c r="U536" i="1" s="1"/>
  <c r="AW213" i="1"/>
  <c r="K537" i="1" l="1"/>
  <c r="L537" i="1"/>
  <c r="J216" i="1"/>
  <c r="U215" i="1"/>
  <c r="I216" i="1"/>
  <c r="G216" i="1"/>
  <c r="L215" i="1"/>
  <c r="V214" i="1"/>
  <c r="AG215" i="1"/>
  <c r="H215" i="1"/>
  <c r="K215" i="1"/>
  <c r="H537" i="1"/>
  <c r="N537" i="1" l="1"/>
  <c r="T537" i="1"/>
  <c r="M537" i="1"/>
  <c r="AW215" i="1"/>
  <c r="L216" i="1"/>
  <c r="K216" i="1"/>
  <c r="AW216" i="1" s="1"/>
  <c r="V215" i="1"/>
  <c r="AG216" i="1"/>
  <c r="H216" i="1"/>
  <c r="J217" i="1"/>
  <c r="U216" i="1"/>
  <c r="I217" i="1"/>
  <c r="G217" i="1"/>
  <c r="J218" i="1" l="1"/>
  <c r="U217" i="1"/>
  <c r="I218" i="1"/>
  <c r="G218" i="1"/>
  <c r="L217" i="1"/>
  <c r="K217" i="1"/>
  <c r="AW217" i="1" s="1"/>
  <c r="V216" i="1"/>
  <c r="AG217" i="1"/>
  <c r="H217" i="1"/>
  <c r="J219" i="1" l="1"/>
  <c r="U218" i="1"/>
  <c r="I219" i="1"/>
  <c r="G219" i="1"/>
  <c r="L218" i="1"/>
  <c r="K218" i="1"/>
  <c r="AW218" i="1" s="1"/>
  <c r="V217" i="1"/>
  <c r="AG218" i="1"/>
  <c r="H218" i="1"/>
  <c r="J220" i="1" l="1"/>
  <c r="U219" i="1"/>
  <c r="I220" i="1"/>
  <c r="G220" i="1"/>
  <c r="L219" i="1"/>
  <c r="K219" i="1"/>
  <c r="AW219" i="1" s="1"/>
  <c r="V218" i="1"/>
  <c r="AG219" i="1"/>
  <c r="H219" i="1"/>
  <c r="J221" i="1" l="1"/>
  <c r="U220" i="1"/>
  <c r="P537" i="1" s="1"/>
  <c r="I221" i="1"/>
  <c r="G221" i="1"/>
  <c r="J537" i="1"/>
  <c r="L220" i="1"/>
  <c r="K220" i="1"/>
  <c r="AW220" i="1" s="1"/>
  <c r="V219" i="1"/>
  <c r="AG220" i="1"/>
  <c r="H220" i="1"/>
  <c r="U221" i="1" l="1"/>
  <c r="J222" i="1"/>
  <c r="I222" i="1"/>
  <c r="G222" i="1"/>
  <c r="G538" i="1"/>
  <c r="L221" i="1"/>
  <c r="K221" i="1"/>
  <c r="AW221" i="1" s="1"/>
  <c r="V220" i="1"/>
  <c r="Q537" i="1" s="1"/>
  <c r="R537" i="1" s="1"/>
  <c r="H221" i="1"/>
  <c r="AG221" i="1"/>
  <c r="I537" i="1"/>
  <c r="U537" i="1" s="1"/>
  <c r="K538" i="1" l="1"/>
  <c r="L538" i="1"/>
  <c r="J223" i="1"/>
  <c r="U222" i="1"/>
  <c r="I223" i="1"/>
  <c r="G223" i="1"/>
  <c r="L222" i="1"/>
  <c r="V221" i="1"/>
  <c r="K222" i="1"/>
  <c r="AG222" i="1"/>
  <c r="H222" i="1"/>
  <c r="H538" i="1"/>
  <c r="J224" i="1" l="1"/>
  <c r="U223" i="1"/>
  <c r="I224" i="1"/>
  <c r="G224" i="1"/>
  <c r="T538" i="1"/>
  <c r="M538" i="1"/>
  <c r="N538" i="1"/>
  <c r="L223" i="1"/>
  <c r="K223" i="1"/>
  <c r="AW223" i="1" s="1"/>
  <c r="V222" i="1"/>
  <c r="AG223" i="1"/>
  <c r="H223" i="1"/>
  <c r="AW222" i="1"/>
  <c r="L224" i="1" l="1"/>
  <c r="K224" i="1"/>
  <c r="AW224" i="1" s="1"/>
  <c r="V223" i="1"/>
  <c r="AG224" i="1"/>
  <c r="H224" i="1"/>
  <c r="J225" i="1"/>
  <c r="U224" i="1"/>
  <c r="I225" i="1"/>
  <c r="G225" i="1"/>
  <c r="L225" i="1" l="1"/>
  <c r="K225" i="1"/>
  <c r="AW225" i="1" s="1"/>
  <c r="V224" i="1"/>
  <c r="AG225" i="1"/>
  <c r="H225" i="1"/>
  <c r="J226" i="1"/>
  <c r="U225" i="1"/>
  <c r="I226" i="1"/>
  <c r="G226" i="1"/>
  <c r="L226" i="1" l="1"/>
  <c r="K226" i="1"/>
  <c r="AW226" i="1" s="1"/>
  <c r="V225" i="1"/>
  <c r="AG226" i="1"/>
  <c r="H226" i="1"/>
  <c r="J227" i="1"/>
  <c r="U226" i="1"/>
  <c r="I227" i="1"/>
  <c r="G227" i="1"/>
  <c r="L227" i="1" l="1"/>
  <c r="K227" i="1"/>
  <c r="AW227" i="1" s="1"/>
  <c r="V226" i="1"/>
  <c r="AG227" i="1"/>
  <c r="H227" i="1"/>
  <c r="J228" i="1"/>
  <c r="U227" i="1"/>
  <c r="P538" i="1" s="1"/>
  <c r="I228" i="1"/>
  <c r="G228" i="1"/>
  <c r="J538" i="1"/>
  <c r="L228" i="1" l="1"/>
  <c r="K228" i="1"/>
  <c r="AW228" i="1" s="1"/>
  <c r="V227" i="1"/>
  <c r="Q538" i="1" s="1"/>
  <c r="R538" i="1" s="1"/>
  <c r="H228" i="1"/>
  <c r="AG228" i="1"/>
  <c r="I538" i="1"/>
  <c r="U538" i="1" s="1"/>
  <c r="U228" i="1"/>
  <c r="J229" i="1"/>
  <c r="I229" i="1"/>
  <c r="G229" i="1"/>
  <c r="G539" i="1"/>
  <c r="L229" i="1" l="1"/>
  <c r="V228" i="1"/>
  <c r="K229" i="1"/>
  <c r="AW229" i="1" s="1"/>
  <c r="H229" i="1"/>
  <c r="AG229" i="1"/>
  <c r="H539" i="1"/>
  <c r="K539" i="1"/>
  <c r="L539" i="1"/>
  <c r="J230" i="1"/>
  <c r="U229" i="1"/>
  <c r="I230" i="1"/>
  <c r="G230" i="1"/>
  <c r="N539" i="1" l="1"/>
  <c r="T539" i="1"/>
  <c r="M539" i="1"/>
  <c r="J231" i="1"/>
  <c r="U230" i="1"/>
  <c r="I231" i="1"/>
  <c r="G231" i="1"/>
  <c r="L230" i="1"/>
  <c r="K230" i="1"/>
  <c r="AW230" i="1" s="1"/>
  <c r="V229" i="1"/>
  <c r="AG230" i="1"/>
  <c r="H230" i="1"/>
  <c r="J232" i="1" l="1"/>
  <c r="U231" i="1"/>
  <c r="I232" i="1"/>
  <c r="G232" i="1"/>
  <c r="L231" i="1"/>
  <c r="K231" i="1"/>
  <c r="AW231" i="1" s="1"/>
  <c r="V230" i="1"/>
  <c r="AG231" i="1"/>
  <c r="H231" i="1"/>
  <c r="J233" i="1" l="1"/>
  <c r="U232" i="1"/>
  <c r="I233" i="1"/>
  <c r="G233" i="1"/>
  <c r="L232" i="1"/>
  <c r="K232" i="1"/>
  <c r="AW232" i="1" s="1"/>
  <c r="V231" i="1"/>
  <c r="AG232" i="1"/>
  <c r="H232" i="1"/>
  <c r="J234" i="1" l="1"/>
  <c r="I234" i="1"/>
  <c r="G234" i="1"/>
  <c r="U233" i="1"/>
  <c r="L233" i="1"/>
  <c r="AG233" i="1"/>
  <c r="K233" i="1"/>
  <c r="AW233" i="1" s="1"/>
  <c r="V232" i="1"/>
  <c r="H233" i="1"/>
  <c r="U234" i="1" l="1"/>
  <c r="P539" i="1" s="1"/>
  <c r="J235" i="1"/>
  <c r="I235" i="1"/>
  <c r="G235" i="1"/>
  <c r="J539" i="1"/>
  <c r="L234" i="1"/>
  <c r="H234" i="1"/>
  <c r="AG234" i="1"/>
  <c r="V233" i="1"/>
  <c r="K234" i="1"/>
  <c r="L235" i="1" l="1"/>
  <c r="V234" i="1"/>
  <c r="Q539" i="1" s="1"/>
  <c r="AG235" i="1"/>
  <c r="K235" i="1"/>
  <c r="AW235" i="1" s="1"/>
  <c r="H235" i="1"/>
  <c r="I539" i="1"/>
  <c r="U539" i="1" s="1"/>
  <c r="G236" i="1"/>
  <c r="J236" i="1"/>
  <c r="I236" i="1"/>
  <c r="U235" i="1"/>
  <c r="G540" i="1"/>
  <c r="AW234" i="1"/>
  <c r="R539" i="1"/>
  <c r="L236" i="1" l="1"/>
  <c r="K236" i="1"/>
  <c r="AW236" i="1" s="1"/>
  <c r="V235" i="1"/>
  <c r="H236" i="1"/>
  <c r="AG236" i="1"/>
  <c r="H540" i="1"/>
  <c r="L540" i="1"/>
  <c r="K540" i="1"/>
  <c r="G237" i="1"/>
  <c r="J237" i="1"/>
  <c r="I237" i="1"/>
  <c r="U236" i="1"/>
  <c r="N540" i="1" l="1"/>
  <c r="M540" i="1"/>
  <c r="T540" i="1"/>
  <c r="H237" i="1"/>
  <c r="V236" i="1"/>
  <c r="AG237" i="1"/>
  <c r="K237" i="1"/>
  <c r="AW237" i="1" s="1"/>
  <c r="L237" i="1"/>
  <c r="G238" i="1"/>
  <c r="U237" i="1"/>
  <c r="J238" i="1"/>
  <c r="I238" i="1"/>
  <c r="AG238" i="1" l="1"/>
  <c r="L238" i="1"/>
  <c r="K238" i="1"/>
  <c r="AW238" i="1" s="1"/>
  <c r="V237" i="1"/>
  <c r="H238" i="1"/>
  <c r="G239" i="1"/>
  <c r="J239" i="1"/>
  <c r="I239" i="1"/>
  <c r="U238" i="1"/>
  <c r="G240" i="1" l="1"/>
  <c r="I240" i="1"/>
  <c r="U239" i="1"/>
  <c r="J240" i="1"/>
  <c r="L239" i="1"/>
  <c r="K239" i="1"/>
  <c r="H239" i="1"/>
  <c r="V238" i="1"/>
  <c r="AG239" i="1"/>
  <c r="H240" i="1" l="1"/>
  <c r="V239" i="1"/>
  <c r="AG240" i="1"/>
  <c r="L240" i="1"/>
  <c r="K240" i="1"/>
  <c r="AW240" i="1" s="1"/>
  <c r="AW239" i="1"/>
  <c r="G241" i="1"/>
  <c r="J241" i="1"/>
  <c r="I241" i="1"/>
  <c r="U240" i="1"/>
  <c r="G242" i="1" l="1"/>
  <c r="J242" i="1"/>
  <c r="I242" i="1"/>
  <c r="U241" i="1"/>
  <c r="P540" i="1" s="1"/>
  <c r="J540" i="1"/>
  <c r="AG241" i="1"/>
  <c r="L241" i="1"/>
  <c r="K241" i="1"/>
  <c r="V240" i="1"/>
  <c r="H241" i="1"/>
  <c r="AW241" i="1" l="1"/>
  <c r="AG242" i="1"/>
  <c r="K242" i="1"/>
  <c r="H242" i="1"/>
  <c r="V241" i="1"/>
  <c r="Q540" i="1" s="1"/>
  <c r="R540" i="1" s="1"/>
  <c r="L242" i="1"/>
  <c r="I540" i="1"/>
  <c r="U540" i="1" s="1"/>
  <c r="G243" i="1"/>
  <c r="U242" i="1"/>
  <c r="J243" i="1"/>
  <c r="I243" i="1"/>
  <c r="G541" i="1"/>
  <c r="K541" i="1" l="1"/>
  <c r="L541" i="1"/>
  <c r="AG243" i="1"/>
  <c r="H243" i="1"/>
  <c r="V242" i="1"/>
  <c r="L243" i="1"/>
  <c r="K243" i="1"/>
  <c r="AW243" i="1" s="1"/>
  <c r="H541" i="1"/>
  <c r="AW242" i="1"/>
  <c r="J244" i="1"/>
  <c r="I244" i="1"/>
  <c r="G244" i="1"/>
  <c r="U243" i="1"/>
  <c r="T541" i="1" l="1"/>
  <c r="N541" i="1"/>
  <c r="M541" i="1"/>
  <c r="J245" i="1"/>
  <c r="G245" i="1"/>
  <c r="U244" i="1"/>
  <c r="I245" i="1"/>
  <c r="AG244" i="1"/>
  <c r="H244" i="1"/>
  <c r="L244" i="1"/>
  <c r="K244" i="1"/>
  <c r="AW244" i="1" s="1"/>
  <c r="V243" i="1"/>
  <c r="J246" i="1" l="1"/>
  <c r="U245" i="1"/>
  <c r="I246" i="1"/>
  <c r="G246" i="1"/>
  <c r="AG245" i="1"/>
  <c r="H245" i="1"/>
  <c r="V244" i="1"/>
  <c r="L245" i="1"/>
  <c r="K245" i="1"/>
  <c r="AW245" i="1" s="1"/>
  <c r="AG246" i="1" l="1"/>
  <c r="H246" i="1"/>
  <c r="L246" i="1"/>
  <c r="K246" i="1"/>
  <c r="AW246" i="1" s="1"/>
  <c r="V245" i="1"/>
  <c r="J247" i="1"/>
  <c r="U246" i="1"/>
  <c r="I247" i="1"/>
  <c r="G247" i="1"/>
  <c r="AG247" i="1" l="1"/>
  <c r="H247" i="1"/>
  <c r="L247" i="1"/>
  <c r="K247" i="1"/>
  <c r="AW247" i="1" s="1"/>
  <c r="V246" i="1"/>
  <c r="J248" i="1"/>
  <c r="U247" i="1"/>
  <c r="I248" i="1"/>
  <c r="G248" i="1"/>
  <c r="AG248" i="1" l="1"/>
  <c r="H248" i="1"/>
  <c r="L248" i="1"/>
  <c r="K248" i="1"/>
  <c r="AW248" i="1" s="1"/>
  <c r="V247" i="1"/>
  <c r="J249" i="1"/>
  <c r="U248" i="1"/>
  <c r="P541" i="1" s="1"/>
  <c r="I249" i="1"/>
  <c r="G249" i="1"/>
  <c r="J541" i="1"/>
  <c r="H249" i="1" l="1"/>
  <c r="L249" i="1"/>
  <c r="AG249" i="1"/>
  <c r="K249" i="1"/>
  <c r="AW249" i="1" s="1"/>
  <c r="V248" i="1"/>
  <c r="Q541" i="1" s="1"/>
  <c r="I541" i="1"/>
  <c r="U541" i="1" s="1"/>
  <c r="R541" i="1"/>
  <c r="U249" i="1"/>
  <c r="J250" i="1"/>
  <c r="I250" i="1"/>
  <c r="G250" i="1"/>
  <c r="G542" i="1"/>
  <c r="L542" i="1" l="1"/>
  <c r="K542" i="1"/>
  <c r="J251" i="1"/>
  <c r="U250" i="1"/>
  <c r="I251" i="1"/>
  <c r="G251" i="1"/>
  <c r="K250" i="1"/>
  <c r="AW250" i="1" s="1"/>
  <c r="H250" i="1"/>
  <c r="V249" i="1"/>
  <c r="AG250" i="1"/>
  <c r="L250" i="1"/>
  <c r="H542" i="1"/>
  <c r="T542" i="1" l="1"/>
  <c r="M542" i="1"/>
  <c r="N542" i="1"/>
  <c r="J252" i="1"/>
  <c r="U251" i="1"/>
  <c r="I252" i="1"/>
  <c r="G252" i="1"/>
  <c r="K251" i="1"/>
  <c r="V250" i="1"/>
  <c r="AG251" i="1"/>
  <c r="L251" i="1"/>
  <c r="H251" i="1"/>
  <c r="J253" i="1" l="1"/>
  <c r="U252" i="1"/>
  <c r="I253" i="1"/>
  <c r="G253" i="1"/>
  <c r="K252" i="1"/>
  <c r="AW252" i="1" s="1"/>
  <c r="V251" i="1"/>
  <c r="H252" i="1"/>
  <c r="L252" i="1"/>
  <c r="AG252" i="1"/>
  <c r="AW251" i="1"/>
  <c r="J254" i="1" l="1"/>
  <c r="U253" i="1"/>
  <c r="I254" i="1"/>
  <c r="G254" i="1"/>
  <c r="K253" i="1"/>
  <c r="AW253" i="1" s="1"/>
  <c r="V252" i="1"/>
  <c r="AG253" i="1"/>
  <c r="L253" i="1"/>
  <c r="H253" i="1"/>
  <c r="J255" i="1" l="1"/>
  <c r="U254" i="1"/>
  <c r="I255" i="1"/>
  <c r="G255" i="1"/>
  <c r="K254" i="1"/>
  <c r="V253" i="1"/>
  <c r="AG254" i="1"/>
  <c r="L254" i="1"/>
  <c r="H254" i="1"/>
  <c r="AW254" i="1" l="1"/>
  <c r="J256" i="1"/>
  <c r="U255" i="1"/>
  <c r="P542" i="1" s="1"/>
  <c r="I256" i="1"/>
  <c r="G256" i="1"/>
  <c r="J542" i="1"/>
  <c r="K255" i="1"/>
  <c r="AW255" i="1" s="1"/>
  <c r="V254" i="1"/>
  <c r="AG255" i="1"/>
  <c r="H255" i="1"/>
  <c r="L255" i="1"/>
  <c r="U256" i="1" l="1"/>
  <c r="J257" i="1"/>
  <c r="G257" i="1"/>
  <c r="I257" i="1"/>
  <c r="G543" i="1"/>
  <c r="R542" i="1"/>
  <c r="K256" i="1"/>
  <c r="AW256" i="1" s="1"/>
  <c r="V255" i="1"/>
  <c r="Q542" i="1" s="1"/>
  <c r="AG256" i="1"/>
  <c r="L256" i="1"/>
  <c r="H256" i="1"/>
  <c r="I542" i="1"/>
  <c r="U542" i="1" s="1"/>
  <c r="K543" i="1" l="1"/>
  <c r="L543" i="1"/>
  <c r="L257" i="1"/>
  <c r="V256" i="1"/>
  <c r="K257" i="1"/>
  <c r="AW257" i="1" s="1"/>
  <c r="AG257" i="1"/>
  <c r="H257" i="1"/>
  <c r="H543" i="1"/>
  <c r="J258" i="1"/>
  <c r="U257" i="1"/>
  <c r="G258" i="1"/>
  <c r="I258" i="1"/>
  <c r="T543" i="1" l="1"/>
  <c r="M543" i="1"/>
  <c r="N543" i="1"/>
  <c r="L258" i="1"/>
  <c r="K258" i="1"/>
  <c r="V257" i="1"/>
  <c r="AG258" i="1"/>
  <c r="H258" i="1"/>
  <c r="J259" i="1"/>
  <c r="U258" i="1"/>
  <c r="G259" i="1"/>
  <c r="I259" i="1"/>
  <c r="AW258" i="1" l="1"/>
  <c r="J260" i="1"/>
  <c r="U259" i="1"/>
  <c r="G260" i="1"/>
  <c r="I260" i="1"/>
  <c r="L259" i="1"/>
  <c r="K259" i="1"/>
  <c r="V258" i="1"/>
  <c r="AG259" i="1"/>
  <c r="H259" i="1"/>
  <c r="J261" i="1" l="1"/>
  <c r="U260" i="1"/>
  <c r="G261" i="1"/>
  <c r="I261" i="1"/>
  <c r="L260" i="1"/>
  <c r="K260" i="1"/>
  <c r="AW260" i="1" s="1"/>
  <c r="V259" i="1"/>
  <c r="AG260" i="1"/>
  <c r="H260" i="1"/>
  <c r="AW259" i="1"/>
  <c r="J262" i="1" l="1"/>
  <c r="U261" i="1"/>
  <c r="G262" i="1"/>
  <c r="I262" i="1"/>
  <c r="L261" i="1"/>
  <c r="K261" i="1"/>
  <c r="AW261" i="1" s="1"/>
  <c r="V260" i="1"/>
  <c r="AG261" i="1"/>
  <c r="H261" i="1"/>
  <c r="J263" i="1" l="1"/>
  <c r="U262" i="1"/>
  <c r="P543" i="1" s="1"/>
  <c r="G263" i="1"/>
  <c r="I263" i="1"/>
  <c r="J543" i="1"/>
  <c r="L262" i="1"/>
  <c r="K262" i="1"/>
  <c r="AW262" i="1" s="1"/>
  <c r="V261" i="1"/>
  <c r="AG262" i="1"/>
  <c r="H262" i="1"/>
  <c r="U263" i="1" l="1"/>
  <c r="J264" i="1"/>
  <c r="I264" i="1"/>
  <c r="G264" i="1"/>
  <c r="G544" i="1"/>
  <c r="L263" i="1"/>
  <c r="K263" i="1"/>
  <c r="AW263" i="1" s="1"/>
  <c r="V262" i="1"/>
  <c r="Q543" i="1" s="1"/>
  <c r="R543" i="1" s="1"/>
  <c r="H263" i="1"/>
  <c r="AG263" i="1"/>
  <c r="I543" i="1"/>
  <c r="U543" i="1" s="1"/>
  <c r="K544" i="1" l="1"/>
  <c r="L544" i="1"/>
  <c r="J265" i="1"/>
  <c r="U264" i="1"/>
  <c r="I265" i="1"/>
  <c r="G265" i="1"/>
  <c r="V263" i="1"/>
  <c r="L264" i="1"/>
  <c r="AG264" i="1"/>
  <c r="H264" i="1"/>
  <c r="K264" i="1"/>
  <c r="H544" i="1"/>
  <c r="J266" i="1" l="1"/>
  <c r="U265" i="1"/>
  <c r="I266" i="1"/>
  <c r="G266" i="1"/>
  <c r="N544" i="1"/>
  <c r="M544" i="1"/>
  <c r="T544" i="1"/>
  <c r="AW264" i="1"/>
  <c r="L265" i="1"/>
  <c r="AG265" i="1"/>
  <c r="H265" i="1"/>
  <c r="K265" i="1"/>
  <c r="AW265" i="1" s="1"/>
  <c r="V264" i="1"/>
  <c r="J267" i="1" l="1"/>
  <c r="U266" i="1"/>
  <c r="I267" i="1"/>
  <c r="G267" i="1"/>
  <c r="L266" i="1"/>
  <c r="AG266" i="1"/>
  <c r="H266" i="1"/>
  <c r="V265" i="1"/>
  <c r="K266" i="1"/>
  <c r="AW266" i="1" s="1"/>
  <c r="L267" i="1" l="1"/>
  <c r="AG267" i="1"/>
  <c r="H267" i="1"/>
  <c r="K267" i="1"/>
  <c r="AW267" i="1" s="1"/>
  <c r="V266" i="1"/>
  <c r="J268" i="1"/>
  <c r="U267" i="1"/>
  <c r="I268" i="1"/>
  <c r="G268" i="1"/>
  <c r="L268" i="1" l="1"/>
  <c r="AG268" i="1"/>
  <c r="H268" i="1"/>
  <c r="V267" i="1"/>
  <c r="K268" i="1"/>
  <c r="AW268" i="1" s="1"/>
  <c r="J269" i="1"/>
  <c r="U268" i="1"/>
  <c r="I269" i="1"/>
  <c r="G269" i="1"/>
  <c r="L269" i="1" l="1"/>
  <c r="AG269" i="1"/>
  <c r="H269" i="1"/>
  <c r="V268" i="1"/>
  <c r="K269" i="1"/>
  <c r="AW269" i="1" s="1"/>
  <c r="J270" i="1"/>
  <c r="U269" i="1"/>
  <c r="P544" i="1" s="1"/>
  <c r="I270" i="1"/>
  <c r="G270" i="1"/>
  <c r="J544" i="1"/>
  <c r="L270" i="1" l="1"/>
  <c r="H270" i="1"/>
  <c r="AG270" i="1"/>
  <c r="K270" i="1"/>
  <c r="AW270" i="1" s="1"/>
  <c r="V269" i="1"/>
  <c r="Q544" i="1" s="1"/>
  <c r="R544" i="1" s="1"/>
  <c r="I544" i="1"/>
  <c r="U544" i="1" s="1"/>
  <c r="G271" i="1"/>
  <c r="U270" i="1"/>
  <c r="J271" i="1"/>
  <c r="I271" i="1"/>
  <c r="G545" i="1"/>
  <c r="K545" i="1" l="1"/>
  <c r="L545" i="1"/>
  <c r="G272" i="1"/>
  <c r="J272" i="1"/>
  <c r="U271" i="1"/>
  <c r="I272" i="1"/>
  <c r="K271" i="1"/>
  <c r="AW271" i="1" s="1"/>
  <c r="V270" i="1"/>
  <c r="H271" i="1"/>
  <c r="AG271" i="1"/>
  <c r="L271" i="1"/>
  <c r="H545" i="1"/>
  <c r="N545" i="1" l="1"/>
  <c r="T545" i="1"/>
  <c r="M545" i="1"/>
  <c r="G273" i="1"/>
  <c r="J273" i="1"/>
  <c r="U272" i="1"/>
  <c r="I273" i="1"/>
  <c r="K272" i="1"/>
  <c r="V271" i="1"/>
  <c r="AG272" i="1"/>
  <c r="L272" i="1"/>
  <c r="H272" i="1"/>
  <c r="G274" i="1" l="1"/>
  <c r="J274" i="1"/>
  <c r="U273" i="1"/>
  <c r="I274" i="1"/>
  <c r="K273" i="1"/>
  <c r="AW273" i="1" s="1"/>
  <c r="V272" i="1"/>
  <c r="AG273" i="1"/>
  <c r="L273" i="1"/>
  <c r="H273" i="1"/>
  <c r="AW272" i="1"/>
  <c r="K274" i="1" l="1"/>
  <c r="V273" i="1"/>
  <c r="AG274" i="1"/>
  <c r="L274" i="1"/>
  <c r="H274" i="1"/>
  <c r="G275" i="1"/>
  <c r="J275" i="1"/>
  <c r="U274" i="1"/>
  <c r="I275" i="1"/>
  <c r="K275" i="1" l="1"/>
  <c r="V274" i="1"/>
  <c r="AG275" i="1"/>
  <c r="L275" i="1"/>
  <c r="H275" i="1"/>
  <c r="G276" i="1"/>
  <c r="J276" i="1"/>
  <c r="U275" i="1"/>
  <c r="I276" i="1"/>
  <c r="AW274" i="1"/>
  <c r="G277" i="1" l="1"/>
  <c r="J277" i="1"/>
  <c r="U276" i="1"/>
  <c r="P545" i="1" s="1"/>
  <c r="I277" i="1"/>
  <c r="J545" i="1"/>
  <c r="K276" i="1"/>
  <c r="AW276" i="1" s="1"/>
  <c r="V275" i="1"/>
  <c r="H276" i="1"/>
  <c r="L276" i="1"/>
  <c r="AG276" i="1"/>
  <c r="AW275" i="1"/>
  <c r="AG277" i="1" l="1"/>
  <c r="K277" i="1"/>
  <c r="AW277" i="1" s="1"/>
  <c r="V276" i="1"/>
  <c r="Q545" i="1" s="1"/>
  <c r="L277" i="1"/>
  <c r="H277" i="1"/>
  <c r="I545" i="1"/>
  <c r="U545" i="1" s="1"/>
  <c r="R545" i="1"/>
  <c r="I278" i="1"/>
  <c r="G278" i="1"/>
  <c r="U277" i="1"/>
  <c r="J278" i="1"/>
  <c r="G546" i="1"/>
  <c r="AG278" i="1" l="1"/>
  <c r="H278" i="1"/>
  <c r="V277" i="1"/>
  <c r="L278" i="1"/>
  <c r="K278" i="1"/>
  <c r="AW278" i="1" s="1"/>
  <c r="H546" i="1"/>
  <c r="L546" i="1"/>
  <c r="K546" i="1"/>
  <c r="I279" i="1"/>
  <c r="G279" i="1"/>
  <c r="U278" i="1"/>
  <c r="J279" i="1"/>
  <c r="N546" i="1" l="1"/>
  <c r="M546" i="1"/>
  <c r="T546" i="1"/>
  <c r="I280" i="1"/>
  <c r="G280" i="1"/>
  <c r="J280" i="1"/>
  <c r="U279" i="1"/>
  <c r="AG279" i="1"/>
  <c r="H279" i="1"/>
  <c r="L279" i="1"/>
  <c r="K279" i="1"/>
  <c r="AW279" i="1" s="1"/>
  <c r="V278" i="1"/>
  <c r="I281" i="1" l="1"/>
  <c r="G281" i="1"/>
  <c r="U280" i="1"/>
  <c r="J281" i="1"/>
  <c r="AG280" i="1"/>
  <c r="H280" i="1"/>
  <c r="L280" i="1"/>
  <c r="K280" i="1"/>
  <c r="AW280" i="1" s="1"/>
  <c r="V279" i="1"/>
  <c r="AG281" i="1" l="1"/>
  <c r="H281" i="1"/>
  <c r="L281" i="1"/>
  <c r="K281" i="1"/>
  <c r="AW281" i="1" s="1"/>
  <c r="V280" i="1"/>
  <c r="I282" i="1"/>
  <c r="G282" i="1"/>
  <c r="U281" i="1"/>
  <c r="J282" i="1"/>
  <c r="J283" i="1" l="1"/>
  <c r="I283" i="1"/>
  <c r="G283" i="1"/>
  <c r="U282" i="1"/>
  <c r="H282" i="1"/>
  <c r="AG282" i="1"/>
  <c r="L282" i="1"/>
  <c r="K282" i="1"/>
  <c r="V281" i="1"/>
  <c r="L283" i="1" l="1"/>
  <c r="H283" i="1"/>
  <c r="AG283" i="1"/>
  <c r="V282" i="1"/>
  <c r="K283" i="1"/>
  <c r="AW283" i="1" s="1"/>
  <c r="U283" i="1"/>
  <c r="P546" i="1" s="1"/>
  <c r="J284" i="1"/>
  <c r="G284" i="1"/>
  <c r="I284" i="1"/>
  <c r="J546" i="1"/>
  <c r="AW282" i="1"/>
  <c r="I285" i="1" l="1"/>
  <c r="G285" i="1"/>
  <c r="J285" i="1"/>
  <c r="U284" i="1"/>
  <c r="G547" i="1"/>
  <c r="R546" i="1"/>
  <c r="L284" i="1"/>
  <c r="V283" i="1"/>
  <c r="Q546" i="1" s="1"/>
  <c r="K284" i="1"/>
  <c r="H284" i="1"/>
  <c r="AG284" i="1"/>
  <c r="I546" i="1"/>
  <c r="U546" i="1" s="1"/>
  <c r="K547" i="1" l="1"/>
  <c r="L547" i="1"/>
  <c r="H285" i="1"/>
  <c r="AG285" i="1"/>
  <c r="V284" i="1"/>
  <c r="L285" i="1"/>
  <c r="K285" i="1"/>
  <c r="AW285" i="1" s="1"/>
  <c r="H547" i="1"/>
  <c r="J286" i="1"/>
  <c r="G286" i="1"/>
  <c r="I286" i="1"/>
  <c r="U285" i="1"/>
  <c r="AW284" i="1"/>
  <c r="L286" i="1" l="1"/>
  <c r="K286" i="1"/>
  <c r="AW286" i="1" s="1"/>
  <c r="H286" i="1"/>
  <c r="AG286" i="1"/>
  <c r="V285" i="1"/>
  <c r="I287" i="1"/>
  <c r="G287" i="1"/>
  <c r="U286" i="1"/>
  <c r="J287" i="1"/>
  <c r="N547" i="1"/>
  <c r="M547" i="1"/>
  <c r="T547" i="1"/>
  <c r="H287" i="1" l="1"/>
  <c r="V286" i="1"/>
  <c r="AG287" i="1"/>
  <c r="L287" i="1"/>
  <c r="K287" i="1"/>
  <c r="AW287" i="1" s="1"/>
  <c r="J288" i="1"/>
  <c r="I288" i="1"/>
  <c r="U287" i="1"/>
  <c r="G288" i="1"/>
  <c r="J289" i="1" l="1"/>
  <c r="I289" i="1"/>
  <c r="G289" i="1"/>
  <c r="U288" i="1"/>
  <c r="L288" i="1"/>
  <c r="H288" i="1"/>
  <c r="V287" i="1"/>
  <c r="AG288" i="1"/>
  <c r="K288" i="1"/>
  <c r="K289" i="1" l="1"/>
  <c r="AG289" i="1"/>
  <c r="H289" i="1"/>
  <c r="V288" i="1"/>
  <c r="L289" i="1"/>
  <c r="G290" i="1"/>
  <c r="U289" i="1"/>
  <c r="J290" i="1"/>
  <c r="I290" i="1"/>
  <c r="AW288" i="1"/>
  <c r="I291" i="1" l="1"/>
  <c r="G291" i="1"/>
  <c r="U290" i="1"/>
  <c r="P547" i="1" s="1"/>
  <c r="J291" i="1"/>
  <c r="J547" i="1"/>
  <c r="H290" i="1"/>
  <c r="V289" i="1"/>
  <c r="AG290" i="1"/>
  <c r="L290" i="1"/>
  <c r="K290" i="1"/>
  <c r="AW290" i="1" s="1"/>
  <c r="AW289" i="1"/>
  <c r="AG291" i="1" l="1"/>
  <c r="L291" i="1"/>
  <c r="K291" i="1"/>
  <c r="AW291" i="1" s="1"/>
  <c r="H291" i="1"/>
  <c r="V290" i="1"/>
  <c r="Q547" i="1" s="1"/>
  <c r="I547" i="1"/>
  <c r="U547" i="1" s="1"/>
  <c r="R547" i="1"/>
  <c r="G292" i="1"/>
  <c r="J292" i="1"/>
  <c r="I292" i="1"/>
  <c r="U291" i="1"/>
  <c r="G548" i="1"/>
  <c r="L548" i="1" l="1"/>
  <c r="K548" i="1"/>
  <c r="AG292" i="1"/>
  <c r="H292" i="1"/>
  <c r="K292" i="1"/>
  <c r="V291" i="1"/>
  <c r="L292" i="1"/>
  <c r="H548" i="1"/>
  <c r="G293" i="1"/>
  <c r="U292" i="1"/>
  <c r="J293" i="1"/>
  <c r="I293" i="1"/>
  <c r="M548" i="1" l="1"/>
  <c r="N548" i="1"/>
  <c r="T548" i="1"/>
  <c r="AW292" i="1"/>
  <c r="AG293" i="1"/>
  <c r="H293" i="1"/>
  <c r="V292" i="1"/>
  <c r="K293" i="1"/>
  <c r="L293" i="1"/>
  <c r="G294" i="1"/>
  <c r="J294" i="1"/>
  <c r="I294" i="1"/>
  <c r="U293" i="1"/>
  <c r="AG294" i="1" l="1"/>
  <c r="H294" i="1"/>
  <c r="K294" i="1"/>
  <c r="V293" i="1"/>
  <c r="L294" i="1"/>
  <c r="G295" i="1"/>
  <c r="U294" i="1"/>
  <c r="J295" i="1"/>
  <c r="I295" i="1"/>
  <c r="AW293" i="1"/>
  <c r="I296" i="1" l="1"/>
  <c r="G296" i="1"/>
  <c r="J296" i="1"/>
  <c r="U295" i="1"/>
  <c r="AW294" i="1"/>
  <c r="AG295" i="1"/>
  <c r="H295" i="1"/>
  <c r="V294" i="1"/>
  <c r="K295" i="1"/>
  <c r="L295" i="1"/>
  <c r="AG296" i="1" l="1"/>
  <c r="H296" i="1"/>
  <c r="L296" i="1"/>
  <c r="V295" i="1"/>
  <c r="K296" i="1"/>
  <c r="AW295" i="1"/>
  <c r="I297" i="1"/>
  <c r="G297" i="1"/>
  <c r="J297" i="1"/>
  <c r="U296" i="1"/>
  <c r="J298" i="1" l="1"/>
  <c r="I298" i="1"/>
  <c r="G298" i="1"/>
  <c r="U297" i="1"/>
  <c r="P548" i="1" s="1"/>
  <c r="J548" i="1"/>
  <c r="AW296" i="1"/>
  <c r="AG297" i="1"/>
  <c r="H297" i="1"/>
  <c r="L297" i="1"/>
  <c r="K297" i="1"/>
  <c r="AW297" i="1" s="1"/>
  <c r="V296" i="1"/>
  <c r="U298" i="1" l="1"/>
  <c r="J299" i="1"/>
  <c r="I299" i="1"/>
  <c r="G299" i="1"/>
  <c r="G549" i="1"/>
  <c r="H298" i="1"/>
  <c r="AG298" i="1"/>
  <c r="L298" i="1"/>
  <c r="K298" i="1"/>
  <c r="AW298" i="1" s="1"/>
  <c r="V297" i="1"/>
  <c r="Q548" i="1" s="1"/>
  <c r="R548" i="1" s="1"/>
  <c r="I548" i="1"/>
  <c r="U548" i="1" s="1"/>
  <c r="K549" i="1" l="1"/>
  <c r="L549" i="1"/>
  <c r="J300" i="1"/>
  <c r="U299" i="1"/>
  <c r="I300" i="1"/>
  <c r="G300" i="1"/>
  <c r="K299" i="1"/>
  <c r="AW299" i="1" s="1"/>
  <c r="AG299" i="1"/>
  <c r="H299" i="1"/>
  <c r="V298" i="1"/>
  <c r="L299" i="1"/>
  <c r="H549" i="1"/>
  <c r="N549" i="1" l="1"/>
  <c r="M549" i="1"/>
  <c r="T549" i="1"/>
  <c r="J301" i="1"/>
  <c r="U300" i="1"/>
  <c r="I301" i="1"/>
  <c r="G301" i="1"/>
  <c r="K300" i="1"/>
  <c r="V299" i="1"/>
  <c r="AG300" i="1"/>
  <c r="H300" i="1"/>
  <c r="L300" i="1"/>
  <c r="J302" i="1" l="1"/>
  <c r="U301" i="1"/>
  <c r="I302" i="1"/>
  <c r="G302" i="1"/>
  <c r="K301" i="1"/>
  <c r="AW301" i="1" s="1"/>
  <c r="V300" i="1"/>
  <c r="AG301" i="1"/>
  <c r="H301" i="1"/>
  <c r="L301" i="1"/>
  <c r="AW300" i="1"/>
  <c r="J303" i="1" l="1"/>
  <c r="U302" i="1"/>
  <c r="I303" i="1"/>
  <c r="G303" i="1"/>
  <c r="K302" i="1"/>
  <c r="AW302" i="1" s="1"/>
  <c r="V301" i="1"/>
  <c r="AG302" i="1"/>
  <c r="H302" i="1"/>
  <c r="L302" i="1"/>
  <c r="J304" i="1" l="1"/>
  <c r="U303" i="1"/>
  <c r="I304" i="1"/>
  <c r="G304" i="1"/>
  <c r="K303" i="1"/>
  <c r="AW303" i="1" s="1"/>
  <c r="V302" i="1"/>
  <c r="AG303" i="1"/>
  <c r="H303" i="1"/>
  <c r="L303" i="1"/>
  <c r="J305" i="1" l="1"/>
  <c r="U304" i="1"/>
  <c r="P549" i="1" s="1"/>
  <c r="I305" i="1"/>
  <c r="G305" i="1"/>
  <c r="J549" i="1"/>
  <c r="K304" i="1"/>
  <c r="AW304" i="1" s="1"/>
  <c r="V303" i="1"/>
  <c r="AG304" i="1"/>
  <c r="H304" i="1"/>
  <c r="L304" i="1"/>
  <c r="U305" i="1" l="1"/>
  <c r="J306" i="1"/>
  <c r="I306" i="1"/>
  <c r="G306" i="1"/>
  <c r="G550" i="1"/>
  <c r="K305" i="1"/>
  <c r="AW305" i="1" s="1"/>
  <c r="V304" i="1"/>
  <c r="Q549" i="1" s="1"/>
  <c r="R549" i="1" s="1"/>
  <c r="H305" i="1"/>
  <c r="AG305" i="1"/>
  <c r="L305" i="1"/>
  <c r="I549" i="1"/>
  <c r="U549" i="1" s="1"/>
  <c r="J307" i="1" l="1"/>
  <c r="U306" i="1"/>
  <c r="I307" i="1"/>
  <c r="G307" i="1"/>
  <c r="K550" i="1"/>
  <c r="L550" i="1"/>
  <c r="L306" i="1"/>
  <c r="V305" i="1"/>
  <c r="K306" i="1"/>
  <c r="AG306" i="1"/>
  <c r="H306" i="1"/>
  <c r="H550" i="1"/>
  <c r="N550" i="1" l="1"/>
  <c r="M550" i="1"/>
  <c r="T550" i="1"/>
  <c r="J308" i="1"/>
  <c r="U307" i="1"/>
  <c r="I308" i="1"/>
  <c r="G308" i="1"/>
  <c r="L307" i="1"/>
  <c r="K307" i="1"/>
  <c r="AW307" i="1" s="1"/>
  <c r="V306" i="1"/>
  <c r="AG307" i="1"/>
  <c r="H307" i="1"/>
  <c r="AW306" i="1"/>
  <c r="J309" i="1" l="1"/>
  <c r="U308" i="1"/>
  <c r="I309" i="1"/>
  <c r="G309" i="1"/>
  <c r="L308" i="1"/>
  <c r="K308" i="1"/>
  <c r="AW308" i="1" s="1"/>
  <c r="V307" i="1"/>
  <c r="AG308" i="1"/>
  <c r="H308" i="1"/>
  <c r="J310" i="1" l="1"/>
  <c r="U309" i="1"/>
  <c r="I310" i="1"/>
  <c r="G310" i="1"/>
  <c r="L309" i="1"/>
  <c r="K309" i="1"/>
  <c r="AW309" i="1" s="1"/>
  <c r="V308" i="1"/>
  <c r="AG309" i="1"/>
  <c r="H309" i="1"/>
  <c r="J311" i="1" l="1"/>
  <c r="U310" i="1"/>
  <c r="I311" i="1"/>
  <c r="G311" i="1"/>
  <c r="L310" i="1"/>
  <c r="K310" i="1"/>
  <c r="AW310" i="1" s="1"/>
  <c r="V309" i="1"/>
  <c r="AG310" i="1"/>
  <c r="H310" i="1"/>
  <c r="J312" i="1" l="1"/>
  <c r="U311" i="1"/>
  <c r="P550" i="1" s="1"/>
  <c r="I312" i="1"/>
  <c r="G312" i="1"/>
  <c r="J550" i="1"/>
  <c r="L311" i="1"/>
  <c r="K311" i="1"/>
  <c r="V310" i="1"/>
  <c r="AG311" i="1"/>
  <c r="H311" i="1"/>
  <c r="AW311" i="1" l="1"/>
  <c r="U312" i="1"/>
  <c r="J313" i="1"/>
  <c r="I313" i="1"/>
  <c r="G313" i="1"/>
  <c r="G551" i="1"/>
  <c r="L312" i="1"/>
  <c r="K312" i="1"/>
  <c r="AW312" i="1" s="1"/>
  <c r="V311" i="1"/>
  <c r="Q550" i="1" s="1"/>
  <c r="H312" i="1"/>
  <c r="AG312" i="1"/>
  <c r="I550" i="1"/>
  <c r="U550" i="1" s="1"/>
  <c r="R550" i="1"/>
  <c r="L551" i="1" l="1"/>
  <c r="K551" i="1"/>
  <c r="J314" i="1"/>
  <c r="U313" i="1"/>
  <c r="I314" i="1"/>
  <c r="G314" i="1"/>
  <c r="V312" i="1"/>
  <c r="L313" i="1"/>
  <c r="K313" i="1"/>
  <c r="AG313" i="1"/>
  <c r="H313" i="1"/>
  <c r="H551" i="1"/>
  <c r="J315" i="1" l="1"/>
  <c r="U314" i="1"/>
  <c r="I315" i="1"/>
  <c r="G315" i="1"/>
  <c r="M551" i="1"/>
  <c r="N551" i="1"/>
  <c r="T551" i="1"/>
  <c r="L314" i="1"/>
  <c r="K314" i="1"/>
  <c r="AW314" i="1" s="1"/>
  <c r="V313" i="1"/>
  <c r="AG314" i="1"/>
  <c r="H314" i="1"/>
  <c r="AW313" i="1"/>
  <c r="L315" i="1" l="1"/>
  <c r="K315" i="1"/>
  <c r="AW315" i="1" s="1"/>
  <c r="V314" i="1"/>
  <c r="AG315" i="1"/>
  <c r="H315" i="1"/>
  <c r="J316" i="1"/>
  <c r="U315" i="1"/>
  <c r="I316" i="1"/>
  <c r="G316" i="1"/>
  <c r="L316" i="1" l="1"/>
  <c r="K316" i="1"/>
  <c r="V315" i="1"/>
  <c r="AG316" i="1"/>
  <c r="H316" i="1"/>
  <c r="J317" i="1"/>
  <c r="U316" i="1"/>
  <c r="I317" i="1"/>
  <c r="G317" i="1"/>
  <c r="L317" i="1" l="1"/>
  <c r="K317" i="1"/>
  <c r="AW317" i="1" s="1"/>
  <c r="V316" i="1"/>
  <c r="AG317" i="1"/>
  <c r="H317" i="1"/>
  <c r="AW316" i="1"/>
  <c r="J318" i="1"/>
  <c r="U317" i="1"/>
  <c r="I318" i="1"/>
  <c r="G318" i="1"/>
  <c r="L318" i="1" l="1"/>
  <c r="K318" i="1"/>
  <c r="AW318" i="1" s="1"/>
  <c r="V317" i="1"/>
  <c r="AG318" i="1"/>
  <c r="H318" i="1"/>
  <c r="J319" i="1"/>
  <c r="U318" i="1"/>
  <c r="P551" i="1" s="1"/>
  <c r="I319" i="1"/>
  <c r="G319" i="1"/>
  <c r="J551" i="1"/>
  <c r="L319" i="1" l="1"/>
  <c r="K319" i="1"/>
  <c r="AW319" i="1" s="1"/>
  <c r="V318" i="1"/>
  <c r="Q551" i="1" s="1"/>
  <c r="H319" i="1"/>
  <c r="AG319" i="1"/>
  <c r="I551" i="1"/>
  <c r="U551" i="1" s="1"/>
  <c r="R551" i="1"/>
  <c r="G320" i="1"/>
  <c r="U319" i="1"/>
  <c r="J320" i="1"/>
  <c r="I320" i="1"/>
  <c r="G552" i="1"/>
  <c r="G321" i="1" l="1"/>
  <c r="J321" i="1"/>
  <c r="U320" i="1"/>
  <c r="I321" i="1"/>
  <c r="K552" i="1"/>
  <c r="L552" i="1"/>
  <c r="L320" i="1"/>
  <c r="V319" i="1"/>
  <c r="K320" i="1"/>
  <c r="AG320" i="1"/>
  <c r="H320" i="1"/>
  <c r="H552" i="1"/>
  <c r="M552" i="1" l="1"/>
  <c r="N552" i="1"/>
  <c r="T552" i="1"/>
  <c r="L321" i="1"/>
  <c r="K321" i="1"/>
  <c r="AW321" i="1" s="1"/>
  <c r="V320" i="1"/>
  <c r="AG321" i="1"/>
  <c r="H321" i="1"/>
  <c r="AW320" i="1"/>
  <c r="G322" i="1"/>
  <c r="J322" i="1"/>
  <c r="U321" i="1"/>
  <c r="I322" i="1"/>
  <c r="G323" i="1" l="1"/>
  <c r="J323" i="1"/>
  <c r="U322" i="1"/>
  <c r="I323" i="1"/>
  <c r="L322" i="1"/>
  <c r="K322" i="1"/>
  <c r="V321" i="1"/>
  <c r="AG322" i="1"/>
  <c r="H322" i="1"/>
  <c r="AW322" i="1" l="1"/>
  <c r="L323" i="1"/>
  <c r="K323" i="1"/>
  <c r="AW323" i="1" s="1"/>
  <c r="V322" i="1"/>
  <c r="AG323" i="1"/>
  <c r="H323" i="1"/>
  <c r="G324" i="1"/>
  <c r="J324" i="1"/>
  <c r="U323" i="1"/>
  <c r="I324" i="1"/>
  <c r="L324" i="1" l="1"/>
  <c r="K324" i="1"/>
  <c r="AW324" i="1" s="1"/>
  <c r="V323" i="1"/>
  <c r="AG324" i="1"/>
  <c r="H324" i="1"/>
  <c r="G325" i="1"/>
  <c r="J325" i="1"/>
  <c r="U324" i="1"/>
  <c r="I325" i="1"/>
  <c r="G326" i="1" l="1"/>
  <c r="J326" i="1"/>
  <c r="U325" i="1"/>
  <c r="P552" i="1" s="1"/>
  <c r="I326" i="1"/>
  <c r="J552" i="1"/>
  <c r="L325" i="1"/>
  <c r="K325" i="1"/>
  <c r="AW325" i="1" s="1"/>
  <c r="V324" i="1"/>
  <c r="AG325" i="1"/>
  <c r="H325" i="1"/>
  <c r="AG326" i="1" l="1"/>
  <c r="L326" i="1"/>
  <c r="K326" i="1"/>
  <c r="AW326" i="1" s="1"/>
  <c r="V325" i="1"/>
  <c r="Q552" i="1" s="1"/>
  <c r="R552" i="1" s="1"/>
  <c r="H326" i="1"/>
  <c r="I552" i="1"/>
  <c r="U552" i="1" s="1"/>
  <c r="G327" i="1"/>
  <c r="U326" i="1"/>
  <c r="J327" i="1"/>
  <c r="I327" i="1"/>
  <c r="G553" i="1"/>
  <c r="G328" i="1" l="1"/>
  <c r="U327" i="1"/>
  <c r="J328" i="1"/>
  <c r="I328" i="1"/>
  <c r="AG327" i="1"/>
  <c r="H327" i="1"/>
  <c r="L327" i="1"/>
  <c r="V326" i="1"/>
  <c r="K327" i="1"/>
  <c r="H553" i="1"/>
  <c r="K553" i="1"/>
  <c r="L553" i="1"/>
  <c r="AG328" i="1" l="1"/>
  <c r="H328" i="1"/>
  <c r="L328" i="1"/>
  <c r="K328" i="1"/>
  <c r="AW328" i="1" s="1"/>
  <c r="V327" i="1"/>
  <c r="T553" i="1"/>
  <c r="N553" i="1"/>
  <c r="M553" i="1"/>
  <c r="AW327" i="1"/>
  <c r="G329" i="1"/>
  <c r="U328" i="1"/>
  <c r="J329" i="1"/>
  <c r="I329" i="1"/>
  <c r="G330" i="1" l="1"/>
  <c r="J330" i="1"/>
  <c r="I330" i="1"/>
  <c r="U329" i="1"/>
  <c r="AG329" i="1"/>
  <c r="H329" i="1"/>
  <c r="L329" i="1"/>
  <c r="K329" i="1"/>
  <c r="AW329" i="1" s="1"/>
  <c r="V328" i="1"/>
  <c r="AG330" i="1" l="1"/>
  <c r="H330" i="1"/>
  <c r="L330" i="1"/>
  <c r="K330" i="1"/>
  <c r="AW330" i="1" s="1"/>
  <c r="V329" i="1"/>
  <c r="G331" i="1"/>
  <c r="U330" i="1"/>
  <c r="J331" i="1"/>
  <c r="I331" i="1"/>
  <c r="G332" i="1" l="1"/>
  <c r="J332" i="1"/>
  <c r="I332" i="1"/>
  <c r="U331" i="1"/>
  <c r="AG331" i="1"/>
  <c r="H331" i="1"/>
  <c r="L331" i="1"/>
  <c r="K331" i="1"/>
  <c r="V330" i="1"/>
  <c r="AW331" i="1" l="1"/>
  <c r="AG332" i="1"/>
  <c r="H332" i="1"/>
  <c r="L332" i="1"/>
  <c r="K332" i="1"/>
  <c r="AW332" i="1" s="1"/>
  <c r="V331" i="1"/>
  <c r="G333" i="1"/>
  <c r="U332" i="1"/>
  <c r="P553" i="1" s="1"/>
  <c r="J333" i="1"/>
  <c r="I333" i="1"/>
  <c r="J553" i="1"/>
  <c r="I334" i="1" l="1"/>
  <c r="G334" i="1"/>
  <c r="J334" i="1"/>
  <c r="U333" i="1"/>
  <c r="G554" i="1"/>
  <c r="H333" i="1"/>
  <c r="AG333" i="1"/>
  <c r="L333" i="1"/>
  <c r="K333" i="1"/>
  <c r="AW333" i="1" s="1"/>
  <c r="V332" i="1"/>
  <c r="Q553" i="1" s="1"/>
  <c r="R553" i="1" s="1"/>
  <c r="I553" i="1"/>
  <c r="U553" i="1" s="1"/>
  <c r="K554" i="1" l="1"/>
  <c r="L554" i="1"/>
  <c r="AG334" i="1"/>
  <c r="H334" i="1"/>
  <c r="L334" i="1"/>
  <c r="V333" i="1"/>
  <c r="K334" i="1"/>
  <c r="AW334" i="1" s="1"/>
  <c r="H554" i="1"/>
  <c r="I335" i="1"/>
  <c r="G335" i="1"/>
  <c r="U334" i="1"/>
  <c r="J335" i="1"/>
  <c r="AG335" i="1" l="1"/>
  <c r="H335" i="1"/>
  <c r="L335" i="1"/>
  <c r="V334" i="1"/>
  <c r="K335" i="1"/>
  <c r="AW335" i="1" s="1"/>
  <c r="I336" i="1"/>
  <c r="G336" i="1"/>
  <c r="U335" i="1"/>
  <c r="J336" i="1"/>
  <c r="M554" i="1"/>
  <c r="T554" i="1"/>
  <c r="N554" i="1"/>
  <c r="AG336" i="1" l="1"/>
  <c r="H336" i="1"/>
  <c r="L336" i="1"/>
  <c r="V335" i="1"/>
  <c r="K336" i="1"/>
  <c r="AW336" i="1" s="1"/>
  <c r="I337" i="1"/>
  <c r="G337" i="1"/>
  <c r="U336" i="1"/>
  <c r="J337" i="1"/>
  <c r="I338" i="1" l="1"/>
  <c r="G338" i="1"/>
  <c r="U337" i="1"/>
  <c r="J338" i="1"/>
  <c r="AG337" i="1"/>
  <c r="H337" i="1"/>
  <c r="L337" i="1"/>
  <c r="K337" i="1"/>
  <c r="V336" i="1"/>
  <c r="AG338" i="1" l="1"/>
  <c r="H338" i="1"/>
  <c r="L338" i="1"/>
  <c r="V337" i="1"/>
  <c r="K338" i="1"/>
  <c r="AW338" i="1" s="1"/>
  <c r="I339" i="1"/>
  <c r="G339" i="1"/>
  <c r="J339" i="1"/>
  <c r="U338" i="1"/>
  <c r="AW337" i="1"/>
  <c r="I340" i="1" l="1"/>
  <c r="G340" i="1"/>
  <c r="U339" i="1"/>
  <c r="P554" i="1" s="1"/>
  <c r="J340" i="1"/>
  <c r="J554" i="1"/>
  <c r="AG339" i="1"/>
  <c r="H339" i="1"/>
  <c r="L339" i="1"/>
  <c r="V338" i="1"/>
  <c r="K339" i="1"/>
  <c r="AW339" i="1" s="1"/>
  <c r="H340" i="1" l="1"/>
  <c r="AG340" i="1"/>
  <c r="L340" i="1"/>
  <c r="V339" i="1"/>
  <c r="Q554" i="1" s="1"/>
  <c r="K340" i="1"/>
  <c r="AW340" i="1" s="1"/>
  <c r="I554" i="1"/>
  <c r="U554" i="1" s="1"/>
  <c r="R554" i="1"/>
  <c r="J341" i="1"/>
  <c r="I341" i="1"/>
  <c r="G341" i="1"/>
  <c r="U340" i="1"/>
  <c r="G555" i="1"/>
  <c r="K555" i="1" l="1"/>
  <c r="L555" i="1"/>
  <c r="J342" i="1"/>
  <c r="U341" i="1"/>
  <c r="I342" i="1"/>
  <c r="G342" i="1"/>
  <c r="K341" i="1"/>
  <c r="AW341" i="1" s="1"/>
  <c r="AG341" i="1"/>
  <c r="H341" i="1"/>
  <c r="V340" i="1"/>
  <c r="L341" i="1"/>
  <c r="H555" i="1"/>
  <c r="T555" i="1" l="1"/>
  <c r="M555" i="1"/>
  <c r="N555" i="1"/>
  <c r="K342" i="1"/>
  <c r="AW342" i="1" s="1"/>
  <c r="V341" i="1"/>
  <c r="AG342" i="1"/>
  <c r="H342" i="1"/>
  <c r="L342" i="1"/>
  <c r="J343" i="1"/>
  <c r="U342" i="1"/>
  <c r="I343" i="1"/>
  <c r="G343" i="1"/>
  <c r="J344" i="1" l="1"/>
  <c r="U343" i="1"/>
  <c r="I344" i="1"/>
  <c r="G344" i="1"/>
  <c r="K343" i="1"/>
  <c r="AW343" i="1" s="1"/>
  <c r="V342" i="1"/>
  <c r="AG343" i="1"/>
  <c r="H343" i="1"/>
  <c r="L343" i="1"/>
  <c r="U344" i="1" l="1"/>
  <c r="J345" i="1"/>
  <c r="I345" i="1"/>
  <c r="G345" i="1"/>
  <c r="K344" i="1"/>
  <c r="AW344" i="1" s="1"/>
  <c r="V343" i="1"/>
  <c r="H344" i="1"/>
  <c r="AG344" i="1"/>
  <c r="L344" i="1"/>
  <c r="L345" i="1" l="1"/>
  <c r="V344" i="1"/>
  <c r="K345" i="1"/>
  <c r="AW345" i="1" s="1"/>
  <c r="H345" i="1"/>
  <c r="AG345" i="1"/>
  <c r="J346" i="1"/>
  <c r="U345" i="1"/>
  <c r="G346" i="1"/>
  <c r="I346" i="1"/>
  <c r="J347" i="1" l="1"/>
  <c r="U346" i="1"/>
  <c r="P555" i="1" s="1"/>
  <c r="I347" i="1"/>
  <c r="G347" i="1"/>
  <c r="J555" i="1"/>
  <c r="L346" i="1"/>
  <c r="H346" i="1"/>
  <c r="V345" i="1"/>
  <c r="AG346" i="1"/>
  <c r="K346" i="1"/>
  <c r="L347" i="1" l="1"/>
  <c r="V346" i="1"/>
  <c r="Q555" i="1" s="1"/>
  <c r="AG347" i="1"/>
  <c r="K347" i="1"/>
  <c r="AW347" i="1" s="1"/>
  <c r="H347" i="1"/>
  <c r="I555" i="1"/>
  <c r="U555" i="1" s="1"/>
  <c r="U347" i="1"/>
  <c r="J348" i="1"/>
  <c r="I348" i="1"/>
  <c r="G348" i="1"/>
  <c r="G556" i="1"/>
  <c r="AW346" i="1"/>
  <c r="R555" i="1"/>
  <c r="K348" i="1" l="1"/>
  <c r="AW348" i="1" s="1"/>
  <c r="L348" i="1"/>
  <c r="H348" i="1"/>
  <c r="V347" i="1"/>
  <c r="AG348" i="1"/>
  <c r="H556" i="1"/>
  <c r="K556" i="1"/>
  <c r="L556" i="1"/>
  <c r="I349" i="1"/>
  <c r="G349" i="1"/>
  <c r="U348" i="1"/>
  <c r="J349" i="1"/>
  <c r="K349" i="1" l="1"/>
  <c r="V348" i="1"/>
  <c r="H349" i="1"/>
  <c r="AG349" i="1"/>
  <c r="L349" i="1"/>
  <c r="U349" i="1"/>
  <c r="J350" i="1"/>
  <c r="I350" i="1"/>
  <c r="G350" i="1"/>
  <c r="N556" i="1"/>
  <c r="M556" i="1"/>
  <c r="T556" i="1"/>
  <c r="K350" i="1" l="1"/>
  <c r="AW350" i="1" s="1"/>
  <c r="V349" i="1"/>
  <c r="AG350" i="1"/>
  <c r="L350" i="1"/>
  <c r="H350" i="1"/>
  <c r="J351" i="1"/>
  <c r="I351" i="1"/>
  <c r="G351" i="1"/>
  <c r="U350" i="1"/>
  <c r="AW349" i="1"/>
  <c r="K351" i="1" l="1"/>
  <c r="V350" i="1"/>
  <c r="L351" i="1"/>
  <c r="H351" i="1"/>
  <c r="AG351" i="1"/>
  <c r="G352" i="1"/>
  <c r="U351" i="1"/>
  <c r="J352" i="1"/>
  <c r="I352" i="1"/>
  <c r="J353" i="1" l="1"/>
  <c r="I353" i="1"/>
  <c r="U352" i="1"/>
  <c r="G353" i="1"/>
  <c r="K352" i="1"/>
  <c r="AW352" i="1" s="1"/>
  <c r="V351" i="1"/>
  <c r="H352" i="1"/>
  <c r="AG352" i="1"/>
  <c r="L352" i="1"/>
  <c r="AW351" i="1"/>
  <c r="K353" i="1" l="1"/>
  <c r="V352" i="1"/>
  <c r="AG353" i="1"/>
  <c r="L353" i="1"/>
  <c r="H353" i="1"/>
  <c r="J354" i="1"/>
  <c r="I354" i="1"/>
  <c r="G354" i="1"/>
  <c r="U353" i="1"/>
  <c r="P556" i="1" s="1"/>
  <c r="J556" i="1"/>
  <c r="G355" i="1" l="1"/>
  <c r="U354" i="1"/>
  <c r="J355" i="1"/>
  <c r="I355" i="1"/>
  <c r="G557" i="1"/>
  <c r="K354" i="1"/>
  <c r="V353" i="1"/>
  <c r="Q556" i="1" s="1"/>
  <c r="R556" i="1" s="1"/>
  <c r="L354" i="1"/>
  <c r="AG354" i="1"/>
  <c r="H354" i="1"/>
  <c r="I556" i="1"/>
  <c r="U556" i="1" s="1"/>
  <c r="AW353" i="1"/>
  <c r="AW354" i="1" l="1"/>
  <c r="L557" i="1"/>
  <c r="K557" i="1"/>
  <c r="V354" i="1"/>
  <c r="L355" i="1"/>
  <c r="K355" i="1"/>
  <c r="AW355" i="1" s="1"/>
  <c r="H355" i="1"/>
  <c r="AG355" i="1"/>
  <c r="H557" i="1"/>
  <c r="G356" i="1"/>
  <c r="J356" i="1"/>
  <c r="I356" i="1"/>
  <c r="U355" i="1"/>
  <c r="L356" i="1" l="1"/>
  <c r="H356" i="1"/>
  <c r="V355" i="1"/>
  <c r="K356" i="1"/>
  <c r="AW356" i="1" s="1"/>
  <c r="AG356" i="1"/>
  <c r="G357" i="1"/>
  <c r="I357" i="1"/>
  <c r="U356" i="1"/>
  <c r="J357" i="1"/>
  <c r="N557" i="1"/>
  <c r="M557" i="1"/>
  <c r="T557" i="1"/>
  <c r="G358" i="1" l="1"/>
  <c r="J358" i="1"/>
  <c r="I358" i="1"/>
  <c r="U357" i="1"/>
  <c r="L357" i="1"/>
  <c r="V356" i="1"/>
  <c r="H357" i="1"/>
  <c r="AG357" i="1"/>
  <c r="K357" i="1"/>
  <c r="L358" i="1" l="1"/>
  <c r="AG358" i="1"/>
  <c r="H358" i="1"/>
  <c r="K358" i="1"/>
  <c r="AW358" i="1" s="1"/>
  <c r="V357" i="1"/>
  <c r="AW357" i="1"/>
  <c r="G359" i="1"/>
  <c r="J359" i="1"/>
  <c r="U358" i="1"/>
  <c r="I359" i="1"/>
  <c r="G360" i="1" l="1"/>
  <c r="J360" i="1"/>
  <c r="U359" i="1"/>
  <c r="I360" i="1"/>
  <c r="L359" i="1"/>
  <c r="K359" i="1"/>
  <c r="AW359" i="1" s="1"/>
  <c r="V358" i="1"/>
  <c r="AG359" i="1"/>
  <c r="H359" i="1"/>
  <c r="L360" i="1" l="1"/>
  <c r="K360" i="1"/>
  <c r="AW360" i="1" s="1"/>
  <c r="V359" i="1"/>
  <c r="AG360" i="1"/>
  <c r="H360" i="1"/>
  <c r="G361" i="1"/>
  <c r="J361" i="1"/>
  <c r="U360" i="1"/>
  <c r="P557" i="1" s="1"/>
  <c r="I361" i="1"/>
  <c r="J557" i="1"/>
  <c r="AG361" i="1" l="1"/>
  <c r="L361" i="1"/>
  <c r="K361" i="1"/>
  <c r="AW361" i="1" s="1"/>
  <c r="V360" i="1"/>
  <c r="Q557" i="1" s="1"/>
  <c r="H361" i="1"/>
  <c r="I557" i="1"/>
  <c r="U557" i="1" s="1"/>
  <c r="G362" i="1"/>
  <c r="U361" i="1"/>
  <c r="J362" i="1"/>
  <c r="I362" i="1"/>
  <c r="G558" i="1"/>
  <c r="R557" i="1"/>
  <c r="AG362" i="1" l="1"/>
  <c r="H362" i="1"/>
  <c r="L362" i="1"/>
  <c r="V361" i="1"/>
  <c r="K362" i="1"/>
  <c r="AW362" i="1" s="1"/>
  <c r="H558" i="1"/>
  <c r="G363" i="1"/>
  <c r="J363" i="1"/>
  <c r="U362" i="1"/>
  <c r="I363" i="1"/>
  <c r="L558" i="1"/>
  <c r="K558" i="1"/>
  <c r="N558" i="1" l="1"/>
  <c r="M558" i="1"/>
  <c r="T558" i="1"/>
  <c r="G364" i="1"/>
  <c r="J364" i="1"/>
  <c r="I364" i="1"/>
  <c r="U363" i="1"/>
  <c r="AG363" i="1"/>
  <c r="H363" i="1"/>
  <c r="L363" i="1"/>
  <c r="K363" i="1"/>
  <c r="AW363" i="1" s="1"/>
  <c r="V362" i="1"/>
  <c r="G365" i="1" l="1"/>
  <c r="J365" i="1"/>
  <c r="U364" i="1"/>
  <c r="I365" i="1"/>
  <c r="AG364" i="1"/>
  <c r="H364" i="1"/>
  <c r="L364" i="1"/>
  <c r="K364" i="1"/>
  <c r="AW364" i="1" s="1"/>
  <c r="V363" i="1"/>
  <c r="AG365" i="1" l="1"/>
  <c r="H365" i="1"/>
  <c r="L365" i="1"/>
  <c r="K365" i="1"/>
  <c r="V364" i="1"/>
  <c r="G366" i="1"/>
  <c r="J366" i="1"/>
  <c r="U365" i="1"/>
  <c r="I366" i="1"/>
  <c r="G367" i="1" l="1"/>
  <c r="J367" i="1"/>
  <c r="U366" i="1"/>
  <c r="I367" i="1"/>
  <c r="AW365" i="1"/>
  <c r="AG366" i="1"/>
  <c r="H366" i="1"/>
  <c r="L366" i="1"/>
  <c r="K366" i="1"/>
  <c r="V365" i="1"/>
  <c r="AG367" i="1" l="1"/>
  <c r="H367" i="1"/>
  <c r="L367" i="1"/>
  <c r="K367" i="1"/>
  <c r="AW367" i="1" s="1"/>
  <c r="V366" i="1"/>
  <c r="AW366" i="1"/>
  <c r="G368" i="1"/>
  <c r="J368" i="1"/>
  <c r="U367" i="1"/>
  <c r="P558" i="1" s="1"/>
  <c r="I368" i="1"/>
  <c r="J558" i="1"/>
  <c r="I369" i="1" l="1"/>
  <c r="G369" i="1"/>
  <c r="U368" i="1"/>
  <c r="J369" i="1"/>
  <c r="G559" i="1"/>
  <c r="H368" i="1"/>
  <c r="AG368" i="1"/>
  <c r="L368" i="1"/>
  <c r="K368" i="1"/>
  <c r="V367" i="1"/>
  <c r="Q558" i="1" s="1"/>
  <c r="I558" i="1"/>
  <c r="U558" i="1" s="1"/>
  <c r="R558" i="1"/>
  <c r="AG369" i="1" l="1"/>
  <c r="H369" i="1"/>
  <c r="L369" i="1"/>
  <c r="V368" i="1"/>
  <c r="K369" i="1"/>
  <c r="AW369" i="1" s="1"/>
  <c r="H559" i="1"/>
  <c r="L559" i="1"/>
  <c r="K559" i="1"/>
  <c r="I370" i="1"/>
  <c r="G370" i="1"/>
  <c r="J370" i="1"/>
  <c r="U369" i="1"/>
  <c r="AW368" i="1"/>
  <c r="N559" i="1" l="1"/>
  <c r="M559" i="1"/>
  <c r="T559" i="1"/>
  <c r="I371" i="1"/>
  <c r="G371" i="1"/>
  <c r="U370" i="1"/>
  <c r="J371" i="1"/>
  <c r="AG370" i="1"/>
  <c r="H370" i="1"/>
  <c r="L370" i="1"/>
  <c r="K370" i="1"/>
  <c r="AW370" i="1" s="1"/>
  <c r="V369" i="1"/>
  <c r="I372" i="1" l="1"/>
  <c r="G372" i="1"/>
  <c r="U371" i="1"/>
  <c r="J372" i="1"/>
  <c r="AG371" i="1"/>
  <c r="H371" i="1"/>
  <c r="L371" i="1"/>
  <c r="K371" i="1"/>
  <c r="V370" i="1"/>
  <c r="AG372" i="1" l="1"/>
  <c r="H372" i="1"/>
  <c r="L372" i="1"/>
  <c r="K372" i="1"/>
  <c r="AW372" i="1" s="1"/>
  <c r="V371" i="1"/>
  <c r="I373" i="1"/>
  <c r="G373" i="1"/>
  <c r="J373" i="1"/>
  <c r="U372" i="1"/>
  <c r="AW371" i="1"/>
  <c r="I374" i="1" l="1"/>
  <c r="G374" i="1"/>
  <c r="J374" i="1"/>
  <c r="U373" i="1"/>
  <c r="AG373" i="1"/>
  <c r="H373" i="1"/>
  <c r="L373" i="1"/>
  <c r="K373" i="1"/>
  <c r="V372" i="1"/>
  <c r="AG374" i="1" l="1"/>
  <c r="H374" i="1"/>
  <c r="L374" i="1"/>
  <c r="K374" i="1"/>
  <c r="V373" i="1"/>
  <c r="I375" i="1"/>
  <c r="G375" i="1"/>
  <c r="U374" i="1"/>
  <c r="P559" i="1" s="1"/>
  <c r="J375" i="1"/>
  <c r="J559" i="1"/>
  <c r="AW373" i="1"/>
  <c r="J376" i="1" l="1"/>
  <c r="I376" i="1"/>
  <c r="G376" i="1"/>
  <c r="U375" i="1"/>
  <c r="G560" i="1"/>
  <c r="AW374" i="1"/>
  <c r="H375" i="1"/>
  <c r="AG375" i="1"/>
  <c r="L375" i="1"/>
  <c r="K375" i="1"/>
  <c r="AW375" i="1" s="1"/>
  <c r="V374" i="1"/>
  <c r="Q559" i="1" s="1"/>
  <c r="R559" i="1" s="1"/>
  <c r="I559" i="1"/>
  <c r="U559" i="1" s="1"/>
  <c r="AG376" i="1" l="1"/>
  <c r="H376" i="1"/>
  <c r="L376" i="1"/>
  <c r="V375" i="1"/>
  <c r="K376" i="1"/>
  <c r="AW376" i="1" s="1"/>
  <c r="H560" i="1"/>
  <c r="K560" i="1"/>
  <c r="L560" i="1"/>
  <c r="J377" i="1"/>
  <c r="U376" i="1"/>
  <c r="I377" i="1"/>
  <c r="G377" i="1"/>
  <c r="AG377" i="1" l="1"/>
  <c r="H377" i="1"/>
  <c r="L377" i="1"/>
  <c r="V376" i="1"/>
  <c r="K377" i="1"/>
  <c r="AW377" i="1" s="1"/>
  <c r="N560" i="1"/>
  <c r="M560" i="1"/>
  <c r="T560" i="1"/>
  <c r="J378" i="1"/>
  <c r="U377" i="1"/>
  <c r="I378" i="1"/>
  <c r="G378" i="1"/>
  <c r="J379" i="1" l="1"/>
  <c r="U378" i="1"/>
  <c r="I379" i="1"/>
  <c r="G379" i="1"/>
  <c r="AG378" i="1"/>
  <c r="H378" i="1"/>
  <c r="L378" i="1"/>
  <c r="V377" i="1"/>
  <c r="K378" i="1"/>
  <c r="AW378" i="1" s="1"/>
  <c r="AG379" i="1" l="1"/>
  <c r="H379" i="1"/>
  <c r="L379" i="1"/>
  <c r="V378" i="1"/>
  <c r="K379" i="1"/>
  <c r="AW379" i="1" s="1"/>
  <c r="J380" i="1"/>
  <c r="U379" i="1"/>
  <c r="I380" i="1"/>
  <c r="G380" i="1"/>
  <c r="AG380" i="1" l="1"/>
  <c r="H380" i="1"/>
  <c r="L380" i="1"/>
  <c r="V379" i="1"/>
  <c r="K380" i="1"/>
  <c r="AW380" i="1" s="1"/>
  <c r="J381" i="1"/>
  <c r="U380" i="1"/>
  <c r="I381" i="1"/>
  <c r="G381" i="1"/>
  <c r="AG381" i="1" l="1"/>
  <c r="H381" i="1"/>
  <c r="L381" i="1"/>
  <c r="V380" i="1"/>
  <c r="K381" i="1"/>
  <c r="AW381" i="1" s="1"/>
  <c r="J382" i="1"/>
  <c r="U381" i="1"/>
  <c r="P560" i="1" s="1"/>
  <c r="I382" i="1"/>
  <c r="G382" i="1"/>
  <c r="J560" i="1"/>
  <c r="H382" i="1" l="1"/>
  <c r="AG382" i="1"/>
  <c r="L382" i="1"/>
  <c r="V381" i="1"/>
  <c r="Q560" i="1" s="1"/>
  <c r="K382" i="1"/>
  <c r="AW382" i="1" s="1"/>
  <c r="I560" i="1"/>
  <c r="U560" i="1" s="1"/>
  <c r="R560" i="1"/>
  <c r="U382" i="1"/>
  <c r="J383" i="1"/>
  <c r="I383" i="1"/>
  <c r="G383" i="1"/>
  <c r="G561" i="1"/>
  <c r="L561" i="1" l="1"/>
  <c r="K561" i="1"/>
  <c r="J384" i="1"/>
  <c r="U383" i="1"/>
  <c r="I384" i="1"/>
  <c r="G384" i="1"/>
  <c r="L383" i="1"/>
  <c r="K383" i="1"/>
  <c r="AG383" i="1"/>
  <c r="H383" i="1"/>
  <c r="V382" i="1"/>
  <c r="H561" i="1"/>
  <c r="N561" i="1" l="1"/>
  <c r="M561" i="1"/>
  <c r="T561" i="1"/>
  <c r="J385" i="1"/>
  <c r="U384" i="1"/>
  <c r="I385" i="1"/>
  <c r="G385" i="1"/>
  <c r="L384" i="1"/>
  <c r="K384" i="1"/>
  <c r="AW384" i="1" s="1"/>
  <c r="V383" i="1"/>
  <c r="AG384" i="1"/>
  <c r="H384" i="1"/>
  <c r="AW383" i="1"/>
  <c r="J386" i="1" l="1"/>
  <c r="U385" i="1"/>
  <c r="I386" i="1"/>
  <c r="G386" i="1"/>
  <c r="L385" i="1"/>
  <c r="K385" i="1"/>
  <c r="V384" i="1"/>
  <c r="AG385" i="1"/>
  <c r="H385" i="1"/>
  <c r="AW385" i="1" l="1"/>
  <c r="J387" i="1"/>
  <c r="U386" i="1"/>
  <c r="I387" i="1"/>
  <c r="G387" i="1"/>
  <c r="L386" i="1"/>
  <c r="K386" i="1"/>
  <c r="V385" i="1"/>
  <c r="AG386" i="1"/>
  <c r="H386" i="1"/>
  <c r="AW386" i="1" l="1"/>
  <c r="J388" i="1"/>
  <c r="U387" i="1"/>
  <c r="I388" i="1"/>
  <c r="G388" i="1"/>
  <c r="L387" i="1"/>
  <c r="K387" i="1"/>
  <c r="AW387" i="1" s="1"/>
  <c r="V386" i="1"/>
  <c r="AG387" i="1"/>
  <c r="H387" i="1"/>
  <c r="J389" i="1" l="1"/>
  <c r="U388" i="1"/>
  <c r="P561" i="1" s="1"/>
  <c r="I389" i="1"/>
  <c r="G389" i="1"/>
  <c r="J561" i="1"/>
  <c r="L388" i="1"/>
  <c r="K388" i="1"/>
  <c r="AW388" i="1" s="1"/>
  <c r="V387" i="1"/>
  <c r="AG388" i="1"/>
  <c r="H388" i="1"/>
  <c r="U389" i="1" l="1"/>
  <c r="J390" i="1"/>
  <c r="I390" i="1"/>
  <c r="G390" i="1"/>
  <c r="G562" i="1"/>
  <c r="L389" i="1"/>
  <c r="K389" i="1"/>
  <c r="AW389" i="1" s="1"/>
  <c r="V388" i="1"/>
  <c r="Q561" i="1" s="1"/>
  <c r="R561" i="1" s="1"/>
  <c r="H389" i="1"/>
  <c r="AG389" i="1"/>
  <c r="I561" i="1"/>
  <c r="U561" i="1" s="1"/>
  <c r="K562" i="1" l="1"/>
  <c r="L562" i="1"/>
  <c r="J391" i="1"/>
  <c r="U390" i="1"/>
  <c r="I391" i="1"/>
  <c r="G391" i="1"/>
  <c r="V389" i="1"/>
  <c r="L390" i="1"/>
  <c r="K390" i="1"/>
  <c r="AG390" i="1"/>
  <c r="H390" i="1"/>
  <c r="H562" i="1"/>
  <c r="J392" i="1" l="1"/>
  <c r="U391" i="1"/>
  <c r="I392" i="1"/>
  <c r="G392" i="1"/>
  <c r="N562" i="1"/>
  <c r="M562" i="1"/>
  <c r="T562" i="1"/>
  <c r="L391" i="1"/>
  <c r="K391" i="1"/>
  <c r="AW391" i="1" s="1"/>
  <c r="V390" i="1"/>
  <c r="AG391" i="1"/>
  <c r="H391" i="1"/>
  <c r="AW390" i="1"/>
  <c r="L392" i="1" l="1"/>
  <c r="K392" i="1"/>
  <c r="AW392" i="1" s="1"/>
  <c r="V391" i="1"/>
  <c r="AG392" i="1"/>
  <c r="H392" i="1"/>
  <c r="J393" i="1"/>
  <c r="U392" i="1"/>
  <c r="I393" i="1"/>
  <c r="G393" i="1"/>
  <c r="L393" i="1" l="1"/>
  <c r="K393" i="1"/>
  <c r="AW393" i="1" s="1"/>
  <c r="V392" i="1"/>
  <c r="AG393" i="1"/>
  <c r="H393" i="1"/>
  <c r="J394" i="1"/>
  <c r="U393" i="1"/>
  <c r="I394" i="1"/>
  <c r="G394" i="1"/>
  <c r="L394" i="1" l="1"/>
  <c r="K394" i="1"/>
  <c r="AW394" i="1" s="1"/>
  <c r="V393" i="1"/>
  <c r="AG394" i="1"/>
  <c r="H394" i="1"/>
  <c r="J395" i="1"/>
  <c r="U394" i="1"/>
  <c r="I395" i="1"/>
  <c r="G395" i="1"/>
  <c r="L395" i="1" l="1"/>
  <c r="K395" i="1"/>
  <c r="AW395" i="1" s="1"/>
  <c r="V394" i="1"/>
  <c r="AG395" i="1"/>
  <c r="H395" i="1"/>
  <c r="J396" i="1"/>
  <c r="U395" i="1"/>
  <c r="P562" i="1" s="1"/>
  <c r="I396" i="1"/>
  <c r="G396" i="1"/>
  <c r="J562" i="1"/>
  <c r="L396" i="1" l="1"/>
  <c r="K396" i="1"/>
  <c r="AW396" i="1" s="1"/>
  <c r="V395" i="1"/>
  <c r="Q562" i="1" s="1"/>
  <c r="R562" i="1" s="1"/>
  <c r="H396" i="1"/>
  <c r="AG396" i="1"/>
  <c r="I562" i="1"/>
  <c r="U562" i="1" s="1"/>
  <c r="G397" i="1"/>
  <c r="U396" i="1"/>
  <c r="J397" i="1"/>
  <c r="I397" i="1"/>
  <c r="G563" i="1"/>
  <c r="G398" i="1" l="1"/>
  <c r="J398" i="1"/>
  <c r="U397" i="1"/>
  <c r="I398" i="1"/>
  <c r="L397" i="1"/>
  <c r="V396" i="1"/>
  <c r="K397" i="1"/>
  <c r="AW397" i="1" s="1"/>
  <c r="AG397" i="1"/>
  <c r="H397" i="1"/>
  <c r="H563" i="1"/>
  <c r="L563" i="1"/>
  <c r="K563" i="1"/>
  <c r="N563" i="1" l="1"/>
  <c r="T563" i="1"/>
  <c r="M563" i="1"/>
  <c r="L398" i="1"/>
  <c r="K398" i="1"/>
  <c r="AW398" i="1" s="1"/>
  <c r="V397" i="1"/>
  <c r="H398" i="1"/>
  <c r="AG398" i="1"/>
  <c r="G399" i="1"/>
  <c r="J399" i="1"/>
  <c r="U398" i="1"/>
  <c r="I399" i="1"/>
  <c r="L399" i="1" l="1"/>
  <c r="K399" i="1"/>
  <c r="AW399" i="1" s="1"/>
  <c r="V398" i="1"/>
  <c r="H399" i="1"/>
  <c r="AG399" i="1"/>
  <c r="G400" i="1"/>
  <c r="J400" i="1"/>
  <c r="U399" i="1"/>
  <c r="I400" i="1"/>
  <c r="G401" i="1" l="1"/>
  <c r="J401" i="1"/>
  <c r="U400" i="1"/>
  <c r="I401" i="1"/>
  <c r="L400" i="1"/>
  <c r="K400" i="1"/>
  <c r="V399" i="1"/>
  <c r="H400" i="1"/>
  <c r="AG400" i="1"/>
  <c r="AW400" i="1" l="1"/>
  <c r="G402" i="1"/>
  <c r="J402" i="1"/>
  <c r="U401" i="1"/>
  <c r="I402" i="1"/>
  <c r="L401" i="1"/>
  <c r="K401" i="1"/>
  <c r="AW401" i="1" s="1"/>
  <c r="V400" i="1"/>
  <c r="H401" i="1"/>
  <c r="AG401" i="1"/>
  <c r="G403" i="1" l="1"/>
  <c r="J403" i="1"/>
  <c r="U402" i="1"/>
  <c r="P563" i="1" s="1"/>
  <c r="I403" i="1"/>
  <c r="J563" i="1"/>
  <c r="L402" i="1"/>
  <c r="K402" i="1"/>
  <c r="V401" i="1"/>
  <c r="H402" i="1"/>
  <c r="AG402" i="1"/>
  <c r="AW402" i="1" l="1"/>
  <c r="AG403" i="1"/>
  <c r="L403" i="1"/>
  <c r="K403" i="1"/>
  <c r="AW403" i="1" s="1"/>
  <c r="V402" i="1"/>
  <c r="Q563" i="1" s="1"/>
  <c r="R563" i="1" s="1"/>
  <c r="H403" i="1"/>
  <c r="I563" i="1"/>
  <c r="U563" i="1" s="1"/>
  <c r="G404" i="1"/>
  <c r="U403" i="1"/>
  <c r="J404" i="1"/>
  <c r="I404" i="1"/>
  <c r="G564" i="1"/>
  <c r="K564" i="1" l="1"/>
  <c r="L564" i="1"/>
  <c r="AG404" i="1"/>
  <c r="H404" i="1"/>
  <c r="L404" i="1"/>
  <c r="V403" i="1"/>
  <c r="K404" i="1"/>
  <c r="AW404" i="1" s="1"/>
  <c r="H564" i="1"/>
  <c r="G405" i="1"/>
  <c r="J405" i="1"/>
  <c r="U404" i="1"/>
  <c r="I405" i="1"/>
  <c r="AG405" i="1" l="1"/>
  <c r="H405" i="1"/>
  <c r="L405" i="1"/>
  <c r="K405" i="1"/>
  <c r="AW405" i="1" s="1"/>
  <c r="V404" i="1"/>
  <c r="G406" i="1"/>
  <c r="J406" i="1"/>
  <c r="U405" i="1"/>
  <c r="I406" i="1"/>
  <c r="N564" i="1"/>
  <c r="M564" i="1"/>
  <c r="T564" i="1"/>
  <c r="G407" i="1" l="1"/>
  <c r="J407" i="1"/>
  <c r="U406" i="1"/>
  <c r="I407" i="1"/>
  <c r="AG406" i="1"/>
  <c r="H406" i="1"/>
  <c r="L406" i="1"/>
  <c r="K406" i="1"/>
  <c r="AW406" i="1" s="1"/>
  <c r="V405" i="1"/>
  <c r="H407" i="1" l="1"/>
  <c r="AG407" i="1"/>
  <c r="L407" i="1"/>
  <c r="K407" i="1"/>
  <c r="AW407" i="1" s="1"/>
  <c r="V406" i="1"/>
  <c r="G408" i="1"/>
  <c r="J408" i="1"/>
  <c r="I408" i="1"/>
  <c r="U407" i="1"/>
  <c r="H408" i="1" l="1"/>
  <c r="AG408" i="1"/>
  <c r="V407" i="1"/>
  <c r="L408" i="1"/>
  <c r="K408" i="1"/>
  <c r="AW408" i="1" s="1"/>
  <c r="G409" i="1"/>
  <c r="U408" i="1"/>
  <c r="J409" i="1"/>
  <c r="I409" i="1"/>
  <c r="J410" i="1" l="1"/>
  <c r="G410" i="1"/>
  <c r="I410" i="1"/>
  <c r="U409" i="1"/>
  <c r="P564" i="1" s="1"/>
  <c r="J564" i="1"/>
  <c r="K409" i="1"/>
  <c r="AW409" i="1" s="1"/>
  <c r="L409" i="1"/>
  <c r="H409" i="1"/>
  <c r="AG409" i="1"/>
  <c r="V408" i="1"/>
  <c r="K410" i="1" l="1"/>
  <c r="V409" i="1"/>
  <c r="Q564" i="1" s="1"/>
  <c r="H410" i="1"/>
  <c r="L410" i="1"/>
  <c r="AG410" i="1"/>
  <c r="I564" i="1"/>
  <c r="U564" i="1" s="1"/>
  <c r="R564" i="1"/>
  <c r="U410" i="1"/>
  <c r="J411" i="1"/>
  <c r="I411" i="1"/>
  <c r="G411" i="1"/>
  <c r="G565" i="1"/>
  <c r="L565" i="1" l="1"/>
  <c r="K565" i="1"/>
  <c r="J412" i="1"/>
  <c r="U411" i="1"/>
  <c r="I412" i="1"/>
  <c r="G412" i="1"/>
  <c r="V410" i="1"/>
  <c r="L411" i="1"/>
  <c r="AG411" i="1"/>
  <c r="K411" i="1"/>
  <c r="AW411" i="1" s="1"/>
  <c r="H411" i="1"/>
  <c r="H565" i="1"/>
  <c r="AW410" i="1"/>
  <c r="L412" i="1" l="1"/>
  <c r="AG412" i="1"/>
  <c r="H412" i="1"/>
  <c r="K412" i="1"/>
  <c r="AW412" i="1" s="1"/>
  <c r="V411" i="1"/>
  <c r="T565" i="1"/>
  <c r="M565" i="1"/>
  <c r="N565" i="1"/>
  <c r="J413" i="1"/>
  <c r="U412" i="1"/>
  <c r="I413" i="1"/>
  <c r="G413" i="1"/>
  <c r="L413" i="1" l="1"/>
  <c r="AG413" i="1"/>
  <c r="H413" i="1"/>
  <c r="K413" i="1"/>
  <c r="AW413" i="1" s="1"/>
  <c r="V412" i="1"/>
  <c r="J414" i="1"/>
  <c r="U413" i="1"/>
  <c r="I414" i="1"/>
  <c r="G414" i="1"/>
  <c r="L414" i="1" l="1"/>
  <c r="AG414" i="1"/>
  <c r="H414" i="1"/>
  <c r="V413" i="1"/>
  <c r="K414" i="1"/>
  <c r="AW414" i="1" s="1"/>
  <c r="J415" i="1"/>
  <c r="U414" i="1"/>
  <c r="I415" i="1"/>
  <c r="G415" i="1"/>
  <c r="L415" i="1" l="1"/>
  <c r="AG415" i="1"/>
  <c r="H415" i="1"/>
  <c r="K415" i="1"/>
  <c r="AW415" i="1" s="1"/>
  <c r="V414" i="1"/>
  <c r="J416" i="1"/>
  <c r="U415" i="1"/>
  <c r="I416" i="1"/>
  <c r="G416" i="1"/>
  <c r="L416" i="1" l="1"/>
  <c r="AG416" i="1"/>
  <c r="H416" i="1"/>
  <c r="V415" i="1"/>
  <c r="K416" i="1"/>
  <c r="AW416" i="1" s="1"/>
  <c r="J417" i="1"/>
  <c r="U416" i="1"/>
  <c r="P565" i="1" s="1"/>
  <c r="I417" i="1"/>
  <c r="G417" i="1"/>
  <c r="J565" i="1"/>
  <c r="L417" i="1" l="1"/>
  <c r="AG417" i="1"/>
  <c r="H417" i="1"/>
  <c r="V416" i="1"/>
  <c r="Q565" i="1" s="1"/>
  <c r="R565" i="1" s="1"/>
  <c r="K417" i="1"/>
  <c r="AW417" i="1" s="1"/>
  <c r="I565" i="1"/>
  <c r="U565" i="1" s="1"/>
  <c r="J418" i="1"/>
  <c r="U417" i="1"/>
  <c r="I418" i="1"/>
  <c r="G418" i="1"/>
  <c r="G566" i="1"/>
  <c r="K566" i="1" l="1"/>
  <c r="L566" i="1"/>
  <c r="L418" i="1"/>
  <c r="AG418" i="1"/>
  <c r="H418" i="1"/>
  <c r="K418" i="1"/>
  <c r="AW418" i="1" s="1"/>
  <c r="V417" i="1"/>
  <c r="H566" i="1"/>
  <c r="J419" i="1"/>
  <c r="U418" i="1"/>
  <c r="I419" i="1"/>
  <c r="G419" i="1"/>
  <c r="M566" i="1" l="1"/>
  <c r="N566" i="1"/>
  <c r="T566" i="1"/>
  <c r="L419" i="1"/>
  <c r="K419" i="1"/>
  <c r="V418" i="1"/>
  <c r="AG419" i="1"/>
  <c r="H419" i="1"/>
  <c r="J420" i="1"/>
  <c r="U419" i="1"/>
  <c r="I420" i="1"/>
  <c r="G420" i="1"/>
  <c r="AW419" i="1" l="1"/>
  <c r="J421" i="1"/>
  <c r="U420" i="1"/>
  <c r="I421" i="1"/>
  <c r="G421" i="1"/>
  <c r="L420" i="1"/>
  <c r="K420" i="1"/>
  <c r="V419" i="1"/>
  <c r="AG420" i="1"/>
  <c r="H420" i="1"/>
  <c r="J422" i="1" l="1"/>
  <c r="U421" i="1"/>
  <c r="I422" i="1"/>
  <c r="G422" i="1"/>
  <c r="L421" i="1"/>
  <c r="K421" i="1"/>
  <c r="AW421" i="1" s="1"/>
  <c r="V420" i="1"/>
  <c r="AG421" i="1"/>
  <c r="H421" i="1"/>
  <c r="AW420" i="1"/>
  <c r="J423" i="1" l="1"/>
  <c r="U422" i="1"/>
  <c r="I423" i="1"/>
  <c r="G423" i="1"/>
  <c r="L422" i="1"/>
  <c r="K422" i="1"/>
  <c r="AW422" i="1" s="1"/>
  <c r="V421" i="1"/>
  <c r="AG422" i="1"/>
  <c r="H422" i="1"/>
  <c r="J424" i="1" l="1"/>
  <c r="U423" i="1"/>
  <c r="P566" i="1" s="1"/>
  <c r="I424" i="1"/>
  <c r="G424" i="1"/>
  <c r="J566" i="1"/>
  <c r="L423" i="1"/>
  <c r="K423" i="1"/>
  <c r="V422" i="1"/>
  <c r="AG423" i="1"/>
  <c r="H423" i="1"/>
  <c r="AW423" i="1" l="1"/>
  <c r="G425" i="1"/>
  <c r="U424" i="1"/>
  <c r="J425" i="1"/>
  <c r="I425" i="1"/>
  <c r="G567" i="1"/>
  <c r="L424" i="1"/>
  <c r="K424" i="1"/>
  <c r="AW424" i="1" s="1"/>
  <c r="V423" i="1"/>
  <c r="Q566" i="1" s="1"/>
  <c r="H424" i="1"/>
  <c r="AG424" i="1"/>
  <c r="I566" i="1"/>
  <c r="U566" i="1" s="1"/>
  <c r="R566" i="1"/>
  <c r="K567" i="1" l="1"/>
  <c r="L567" i="1"/>
  <c r="V424" i="1"/>
  <c r="L425" i="1"/>
  <c r="K425" i="1"/>
  <c r="H425" i="1"/>
  <c r="AG425" i="1"/>
  <c r="H567" i="1"/>
  <c r="G426" i="1"/>
  <c r="J426" i="1"/>
  <c r="U425" i="1"/>
  <c r="I426" i="1"/>
  <c r="L426" i="1" l="1"/>
  <c r="K426" i="1"/>
  <c r="AW426" i="1" s="1"/>
  <c r="V425" i="1"/>
  <c r="AG426" i="1"/>
  <c r="H426" i="1"/>
  <c r="AW425" i="1"/>
  <c r="G427" i="1"/>
  <c r="J427" i="1"/>
  <c r="U426" i="1"/>
  <c r="I427" i="1"/>
  <c r="T567" i="1"/>
  <c r="N567" i="1"/>
  <c r="M567" i="1"/>
  <c r="L427" i="1" l="1"/>
  <c r="K427" i="1"/>
  <c r="AW427" i="1" s="1"/>
  <c r="V426" i="1"/>
  <c r="AG427" i="1"/>
  <c r="H427" i="1"/>
  <c r="G428" i="1"/>
  <c r="J428" i="1"/>
  <c r="U427" i="1"/>
  <c r="I428" i="1"/>
  <c r="G429" i="1" l="1"/>
  <c r="J429" i="1"/>
  <c r="U428" i="1"/>
  <c r="I429" i="1"/>
  <c r="L428" i="1"/>
  <c r="K428" i="1"/>
  <c r="AW428" i="1" s="1"/>
  <c r="V427" i="1"/>
  <c r="AG428" i="1"/>
  <c r="H428" i="1"/>
  <c r="L429" i="1" l="1"/>
  <c r="K429" i="1"/>
  <c r="AW429" i="1" s="1"/>
  <c r="V428" i="1"/>
  <c r="AG429" i="1"/>
  <c r="H429" i="1"/>
  <c r="G430" i="1"/>
  <c r="J430" i="1"/>
  <c r="U429" i="1"/>
  <c r="I430" i="1"/>
  <c r="L430" i="1" l="1"/>
  <c r="K430" i="1"/>
  <c r="AW430" i="1" s="1"/>
  <c r="V429" i="1"/>
  <c r="AG430" i="1"/>
  <c r="H430" i="1"/>
  <c r="G431" i="1"/>
  <c r="J431" i="1"/>
  <c r="U430" i="1"/>
  <c r="P567" i="1" s="1"/>
  <c r="I431" i="1"/>
  <c r="J567" i="1"/>
  <c r="G432" i="1" l="1"/>
  <c r="J432" i="1"/>
  <c r="U431" i="1"/>
  <c r="I432" i="1"/>
  <c r="G568" i="1"/>
  <c r="L431" i="1"/>
  <c r="K431" i="1"/>
  <c r="AW431" i="1" s="1"/>
  <c r="V430" i="1"/>
  <c r="Q567" i="1" s="1"/>
  <c r="R567" i="1" s="1"/>
  <c r="AG431" i="1"/>
  <c r="H431" i="1"/>
  <c r="I567" i="1"/>
  <c r="U567" i="1" s="1"/>
  <c r="K568" i="1" l="1"/>
  <c r="L568" i="1"/>
  <c r="L432" i="1"/>
  <c r="K432" i="1"/>
  <c r="AW432" i="1" s="1"/>
  <c r="V431" i="1"/>
  <c r="H432" i="1"/>
  <c r="AG432" i="1"/>
  <c r="H568" i="1"/>
  <c r="G433" i="1"/>
  <c r="J433" i="1"/>
  <c r="U432" i="1"/>
  <c r="I433" i="1"/>
  <c r="L433" i="1" l="1"/>
  <c r="K433" i="1"/>
  <c r="AW433" i="1" s="1"/>
  <c r="V432" i="1"/>
  <c r="AG433" i="1"/>
  <c r="H433" i="1"/>
  <c r="G434" i="1"/>
  <c r="J434" i="1"/>
  <c r="U433" i="1"/>
  <c r="I434" i="1"/>
  <c r="M568" i="1"/>
  <c r="T568" i="1"/>
  <c r="N568" i="1"/>
  <c r="G435" i="1" l="1"/>
  <c r="J435" i="1"/>
  <c r="U434" i="1"/>
  <c r="I435" i="1"/>
  <c r="L434" i="1"/>
  <c r="K434" i="1"/>
  <c r="AW434" i="1" s="1"/>
  <c r="V433" i="1"/>
  <c r="H434" i="1"/>
  <c r="AG434" i="1"/>
  <c r="G436" i="1" l="1"/>
  <c r="J436" i="1"/>
  <c r="U435" i="1"/>
  <c r="I436" i="1"/>
  <c r="L435" i="1"/>
  <c r="K435" i="1"/>
  <c r="AW435" i="1" s="1"/>
  <c r="V434" i="1"/>
  <c r="H435" i="1"/>
  <c r="AG435" i="1"/>
  <c r="I437" i="1" l="1"/>
  <c r="G437" i="1"/>
  <c r="U436" i="1"/>
  <c r="J437" i="1"/>
  <c r="L436" i="1"/>
  <c r="K436" i="1"/>
  <c r="AW436" i="1" s="1"/>
  <c r="V435" i="1"/>
  <c r="H436" i="1"/>
  <c r="AG436" i="1"/>
  <c r="H437" i="1" l="1"/>
  <c r="AG437" i="1"/>
  <c r="V436" i="1"/>
  <c r="L437" i="1"/>
  <c r="K437" i="1"/>
  <c r="AW437" i="1" s="1"/>
  <c r="I438" i="1"/>
  <c r="J438" i="1"/>
  <c r="G438" i="1"/>
  <c r="U437" i="1"/>
  <c r="P568" i="1" s="1"/>
  <c r="J568" i="1"/>
  <c r="G439" i="1" l="1"/>
  <c r="U438" i="1"/>
  <c r="J439" i="1"/>
  <c r="I439" i="1"/>
  <c r="G569" i="1"/>
  <c r="R568" i="1"/>
  <c r="AG438" i="1"/>
  <c r="K438" i="1"/>
  <c r="AW438" i="1" s="1"/>
  <c r="H438" i="1"/>
  <c r="V437" i="1"/>
  <c r="Q568" i="1" s="1"/>
  <c r="L438" i="1"/>
  <c r="I568" i="1"/>
  <c r="U568" i="1" s="1"/>
  <c r="K569" i="1" l="1"/>
  <c r="L569" i="1"/>
  <c r="K439" i="1"/>
  <c r="AG439" i="1"/>
  <c r="H439" i="1"/>
  <c r="V438" i="1"/>
  <c r="L439" i="1"/>
  <c r="H569" i="1"/>
  <c r="G440" i="1"/>
  <c r="J440" i="1"/>
  <c r="I440" i="1"/>
  <c r="U439" i="1"/>
  <c r="K440" i="1" l="1"/>
  <c r="V439" i="1"/>
  <c r="AG440" i="1"/>
  <c r="H440" i="1"/>
  <c r="L440" i="1"/>
  <c r="AW439" i="1"/>
  <c r="G441" i="1"/>
  <c r="J441" i="1"/>
  <c r="I441" i="1"/>
  <c r="U440" i="1"/>
  <c r="N569" i="1"/>
  <c r="M569" i="1"/>
  <c r="T569" i="1"/>
  <c r="K441" i="1" l="1"/>
  <c r="V440" i="1"/>
  <c r="AG441" i="1"/>
  <c r="H441" i="1"/>
  <c r="L441" i="1"/>
  <c r="AW440" i="1"/>
  <c r="G442" i="1"/>
  <c r="J442" i="1"/>
  <c r="I442" i="1"/>
  <c r="U441" i="1"/>
  <c r="I443" i="1" l="1"/>
  <c r="G443" i="1"/>
  <c r="J443" i="1"/>
  <c r="U442" i="1"/>
  <c r="K442" i="1"/>
  <c r="AW442" i="1" s="1"/>
  <c r="V441" i="1"/>
  <c r="AG442" i="1"/>
  <c r="H442" i="1"/>
  <c r="L442" i="1"/>
  <c r="AW441" i="1"/>
  <c r="K443" i="1" l="1"/>
  <c r="V442" i="1"/>
  <c r="AG443" i="1"/>
  <c r="H443" i="1"/>
  <c r="L443" i="1"/>
  <c r="I444" i="1"/>
  <c r="G444" i="1"/>
  <c r="J444" i="1"/>
  <c r="U443" i="1"/>
  <c r="I445" i="1" l="1"/>
  <c r="G445" i="1"/>
  <c r="U444" i="1"/>
  <c r="P569" i="1" s="1"/>
  <c r="J445" i="1"/>
  <c r="J569" i="1"/>
  <c r="K444" i="1"/>
  <c r="AW444" i="1" s="1"/>
  <c r="V443" i="1"/>
  <c r="AG444" i="1"/>
  <c r="H444" i="1"/>
  <c r="L444" i="1"/>
  <c r="AW443" i="1"/>
  <c r="J446" i="1" l="1"/>
  <c r="I446" i="1"/>
  <c r="G446" i="1"/>
  <c r="U445" i="1"/>
  <c r="G570" i="1"/>
  <c r="K445" i="1"/>
  <c r="AW445" i="1" s="1"/>
  <c r="V444" i="1"/>
  <c r="Q569" i="1" s="1"/>
  <c r="R569" i="1" s="1"/>
  <c r="H445" i="1"/>
  <c r="AG445" i="1"/>
  <c r="L445" i="1"/>
  <c r="I569" i="1"/>
  <c r="U569" i="1" s="1"/>
  <c r="K570" i="1" l="1"/>
  <c r="L570" i="1"/>
  <c r="J447" i="1"/>
  <c r="U446" i="1"/>
  <c r="I447" i="1"/>
  <c r="G447" i="1"/>
  <c r="L446" i="1"/>
  <c r="V445" i="1"/>
  <c r="AG446" i="1"/>
  <c r="H446" i="1"/>
  <c r="K446" i="1"/>
  <c r="H570" i="1"/>
  <c r="J448" i="1" l="1"/>
  <c r="U447" i="1"/>
  <c r="I448" i="1"/>
  <c r="G448" i="1"/>
  <c r="M570" i="1"/>
  <c r="N570" i="1"/>
  <c r="T570" i="1"/>
  <c r="AW446" i="1"/>
  <c r="L447" i="1"/>
  <c r="AG447" i="1"/>
  <c r="H447" i="1"/>
  <c r="V446" i="1"/>
  <c r="K447" i="1"/>
  <c r="AW447" i="1" s="1"/>
  <c r="J449" i="1" l="1"/>
  <c r="U448" i="1"/>
  <c r="I449" i="1"/>
  <c r="G449" i="1"/>
  <c r="L448" i="1"/>
  <c r="K448" i="1"/>
  <c r="AW448" i="1" s="1"/>
  <c r="V447" i="1"/>
  <c r="AG448" i="1"/>
  <c r="H448" i="1"/>
  <c r="J450" i="1" l="1"/>
  <c r="U449" i="1"/>
  <c r="I450" i="1"/>
  <c r="G450" i="1"/>
  <c r="L449" i="1"/>
  <c r="K449" i="1"/>
  <c r="AW449" i="1" s="1"/>
  <c r="V448" i="1"/>
  <c r="AG449" i="1"/>
  <c r="H449" i="1"/>
  <c r="J451" i="1" l="1"/>
  <c r="U450" i="1"/>
  <c r="I451" i="1"/>
  <c r="G451" i="1"/>
  <c r="L450" i="1"/>
  <c r="K450" i="1"/>
  <c r="AW450" i="1" s="1"/>
  <c r="V449" i="1"/>
  <c r="AG450" i="1"/>
  <c r="H450" i="1"/>
  <c r="J452" i="1" l="1"/>
  <c r="U451" i="1"/>
  <c r="P570" i="1" s="1"/>
  <c r="I452" i="1"/>
  <c r="G452" i="1"/>
  <c r="J570" i="1"/>
  <c r="L451" i="1"/>
  <c r="K451" i="1"/>
  <c r="AW451" i="1" s="1"/>
  <c r="V450" i="1"/>
  <c r="AG451" i="1"/>
  <c r="H451" i="1"/>
  <c r="J453" i="1" l="1"/>
  <c r="U452" i="1"/>
  <c r="I453" i="1"/>
  <c r="G453" i="1"/>
  <c r="G571" i="1"/>
  <c r="L452" i="1"/>
  <c r="K452" i="1"/>
  <c r="V451" i="1"/>
  <c r="Q570" i="1" s="1"/>
  <c r="R570" i="1" s="1"/>
  <c r="AG452" i="1"/>
  <c r="H452" i="1"/>
  <c r="I570" i="1"/>
  <c r="U570" i="1" s="1"/>
  <c r="AW452" i="1" l="1"/>
  <c r="K571" i="1"/>
  <c r="L571" i="1"/>
  <c r="J454" i="1"/>
  <c r="U453" i="1"/>
  <c r="I454" i="1"/>
  <c r="G454" i="1"/>
  <c r="L453" i="1"/>
  <c r="K453" i="1"/>
  <c r="V452" i="1"/>
  <c r="AG453" i="1"/>
  <c r="H453" i="1"/>
  <c r="H571" i="1"/>
  <c r="J455" i="1" l="1"/>
  <c r="U454" i="1"/>
  <c r="I455" i="1"/>
  <c r="G455" i="1"/>
  <c r="T571" i="1"/>
  <c r="M571" i="1"/>
  <c r="N571" i="1"/>
  <c r="L454" i="1"/>
  <c r="K454" i="1"/>
  <c r="V453" i="1"/>
  <c r="AG454" i="1"/>
  <c r="H454" i="1"/>
  <c r="AW453" i="1"/>
  <c r="L455" i="1" l="1"/>
  <c r="K455" i="1"/>
  <c r="V454" i="1"/>
  <c r="AG455" i="1"/>
  <c r="H455" i="1"/>
  <c r="J456" i="1"/>
  <c r="U455" i="1"/>
  <c r="I456" i="1"/>
  <c r="G456" i="1"/>
  <c r="AW454" i="1"/>
  <c r="L456" i="1" l="1"/>
  <c r="K456" i="1"/>
  <c r="AW456" i="1" s="1"/>
  <c r="V455" i="1"/>
  <c r="AG456" i="1"/>
  <c r="H456" i="1"/>
  <c r="AW455" i="1"/>
  <c r="J457" i="1"/>
  <c r="U456" i="1"/>
  <c r="I457" i="1"/>
  <c r="G457" i="1"/>
  <c r="L457" i="1" l="1"/>
  <c r="K457" i="1"/>
  <c r="AW457" i="1" s="1"/>
  <c r="V456" i="1"/>
  <c r="AG457" i="1"/>
  <c r="H457" i="1"/>
  <c r="J458" i="1"/>
  <c r="U457" i="1"/>
  <c r="I458" i="1"/>
  <c r="G458" i="1"/>
  <c r="L458" i="1" l="1"/>
  <c r="K458" i="1"/>
  <c r="AW458" i="1" s="1"/>
  <c r="V457" i="1"/>
  <c r="AG458" i="1"/>
  <c r="H458" i="1"/>
  <c r="J459" i="1"/>
  <c r="U458" i="1"/>
  <c r="P571" i="1" s="1"/>
  <c r="I459" i="1"/>
  <c r="G459" i="1"/>
  <c r="J571" i="1"/>
  <c r="L459" i="1" l="1"/>
  <c r="K459" i="1"/>
  <c r="AW459" i="1" s="1"/>
  <c r="V458" i="1"/>
  <c r="Q571" i="1" s="1"/>
  <c r="R571" i="1" s="1"/>
  <c r="H459" i="1"/>
  <c r="AG459" i="1"/>
  <c r="I571" i="1"/>
  <c r="U571" i="1" s="1"/>
  <c r="U459" i="1"/>
  <c r="J460" i="1"/>
  <c r="I460" i="1"/>
  <c r="G460" i="1"/>
  <c r="G572" i="1"/>
  <c r="L460" i="1" l="1"/>
  <c r="V459" i="1"/>
  <c r="K460" i="1"/>
  <c r="AW460" i="1" s="1"/>
  <c r="AG460" i="1"/>
  <c r="H460" i="1"/>
  <c r="H572" i="1"/>
  <c r="K572" i="1"/>
  <c r="L572" i="1"/>
  <c r="J461" i="1"/>
  <c r="U460" i="1"/>
  <c r="I461" i="1"/>
  <c r="G461" i="1"/>
  <c r="L461" i="1" l="1"/>
  <c r="K461" i="1"/>
  <c r="AW461" i="1" s="1"/>
  <c r="V460" i="1"/>
  <c r="AG461" i="1"/>
  <c r="H461" i="1"/>
  <c r="T572" i="1"/>
  <c r="M572" i="1"/>
  <c r="N572" i="1"/>
  <c r="J462" i="1"/>
  <c r="U461" i="1"/>
  <c r="I462" i="1"/>
  <c r="G462" i="1"/>
  <c r="J463" i="1" l="1"/>
  <c r="U462" i="1"/>
  <c r="I463" i="1"/>
  <c r="G463" i="1"/>
  <c r="L462" i="1"/>
  <c r="K462" i="1"/>
  <c r="V461" i="1"/>
  <c r="AG462" i="1"/>
  <c r="H462" i="1"/>
  <c r="AW462" i="1" l="1"/>
  <c r="J464" i="1"/>
  <c r="U463" i="1"/>
  <c r="I464" i="1"/>
  <c r="G464" i="1"/>
  <c r="L463" i="1"/>
  <c r="K463" i="1"/>
  <c r="AW463" i="1" s="1"/>
  <c r="V462" i="1"/>
  <c r="AG463" i="1"/>
  <c r="H463" i="1"/>
  <c r="J465" i="1" l="1"/>
  <c r="U464" i="1"/>
  <c r="I465" i="1"/>
  <c r="G465" i="1"/>
  <c r="L464" i="1"/>
  <c r="K464" i="1"/>
  <c r="AW464" i="1" s="1"/>
  <c r="V463" i="1"/>
  <c r="AG464" i="1"/>
  <c r="H464" i="1"/>
  <c r="J466" i="1" l="1"/>
  <c r="U465" i="1"/>
  <c r="P572" i="1" s="1"/>
  <c r="I466" i="1"/>
  <c r="G466" i="1"/>
  <c r="J572" i="1"/>
  <c r="L465" i="1"/>
  <c r="K465" i="1"/>
  <c r="AW465" i="1" s="1"/>
  <c r="V464" i="1"/>
  <c r="AG465" i="1"/>
  <c r="H465" i="1"/>
  <c r="J467" i="1" l="1"/>
  <c r="U466" i="1"/>
  <c r="I467" i="1"/>
  <c r="G467" i="1"/>
  <c r="G573" i="1"/>
  <c r="L466" i="1"/>
  <c r="K466" i="1"/>
  <c r="AW466" i="1" s="1"/>
  <c r="V465" i="1"/>
  <c r="Q572" i="1" s="1"/>
  <c r="R572" i="1" s="1"/>
  <c r="AG466" i="1"/>
  <c r="H466" i="1"/>
  <c r="I572" i="1"/>
  <c r="U572" i="1" s="1"/>
  <c r="K573" i="1" l="1"/>
  <c r="L573" i="1"/>
  <c r="J468" i="1"/>
  <c r="U467" i="1"/>
  <c r="I468" i="1"/>
  <c r="G468" i="1"/>
  <c r="L467" i="1"/>
  <c r="K467" i="1"/>
  <c r="AW467" i="1" s="1"/>
  <c r="V466" i="1"/>
  <c r="AG467" i="1"/>
  <c r="H467" i="1"/>
  <c r="H573" i="1"/>
  <c r="J469" i="1" l="1"/>
  <c r="U468" i="1"/>
  <c r="I469" i="1"/>
  <c r="G469" i="1"/>
  <c r="N573" i="1"/>
  <c r="T573" i="1"/>
  <c r="M573" i="1"/>
  <c r="L468" i="1"/>
  <c r="K468" i="1"/>
  <c r="V467" i="1"/>
  <c r="AG468" i="1"/>
  <c r="H468" i="1"/>
  <c r="L469" i="1" l="1"/>
  <c r="K469" i="1"/>
  <c r="AW469" i="1" s="1"/>
  <c r="V468" i="1"/>
  <c r="AG469" i="1"/>
  <c r="H469" i="1"/>
  <c r="J470" i="1"/>
  <c r="U469" i="1"/>
  <c r="I470" i="1"/>
  <c r="G470" i="1"/>
  <c r="AW468" i="1"/>
  <c r="L470" i="1" l="1"/>
  <c r="K470" i="1"/>
  <c r="AW470" i="1" s="1"/>
  <c r="V469" i="1"/>
  <c r="AG470" i="1"/>
  <c r="H470" i="1"/>
  <c r="J471" i="1"/>
  <c r="U470" i="1"/>
  <c r="I471" i="1"/>
  <c r="G471" i="1"/>
  <c r="L471" i="1" l="1"/>
  <c r="K471" i="1"/>
  <c r="AW471" i="1" s="1"/>
  <c r="V470" i="1"/>
  <c r="AG471" i="1"/>
  <c r="H471" i="1"/>
  <c r="J472" i="1"/>
  <c r="U471" i="1"/>
  <c r="I472" i="1"/>
  <c r="G472" i="1"/>
  <c r="L472" i="1" l="1"/>
  <c r="K472" i="1"/>
  <c r="AW472" i="1" s="1"/>
  <c r="V471" i="1"/>
  <c r="AG472" i="1"/>
  <c r="H472" i="1"/>
  <c r="J473" i="1"/>
  <c r="U472" i="1"/>
  <c r="P573" i="1" s="1"/>
  <c r="I473" i="1"/>
  <c r="G473" i="1"/>
  <c r="J573" i="1"/>
  <c r="L473" i="1" l="1"/>
  <c r="K473" i="1"/>
  <c r="AW473" i="1" s="1"/>
  <c r="V472" i="1"/>
  <c r="Q573" i="1" s="1"/>
  <c r="R573" i="1" s="1"/>
  <c r="AG473" i="1"/>
  <c r="H473" i="1"/>
  <c r="I573" i="1"/>
  <c r="U573" i="1" s="1"/>
  <c r="J474" i="1"/>
  <c r="U473" i="1"/>
  <c r="I474" i="1"/>
  <c r="G474" i="1"/>
  <c r="G574" i="1"/>
  <c r="L474" i="1" l="1"/>
  <c r="K474" i="1"/>
  <c r="AW474" i="1" s="1"/>
  <c r="V473" i="1"/>
  <c r="AG474" i="1"/>
  <c r="H474" i="1"/>
  <c r="H574" i="1"/>
  <c r="K574" i="1"/>
  <c r="L574" i="1"/>
  <c r="I475" i="1"/>
  <c r="U474" i="1"/>
  <c r="J475" i="1"/>
  <c r="G475" i="1"/>
  <c r="M574" i="1" l="1"/>
  <c r="N574" i="1"/>
  <c r="T574" i="1"/>
  <c r="L475" i="1"/>
  <c r="V474" i="1"/>
  <c r="K475" i="1"/>
  <c r="AW475" i="1" s="1"/>
  <c r="H475" i="1"/>
  <c r="AG475" i="1"/>
  <c r="I476" i="1"/>
  <c r="G476" i="1"/>
  <c r="U475" i="1"/>
  <c r="J476" i="1"/>
  <c r="AG476" i="1" l="1"/>
  <c r="V475" i="1"/>
  <c r="L476" i="1"/>
  <c r="K476" i="1"/>
  <c r="AW476" i="1" s="1"/>
  <c r="H476" i="1"/>
  <c r="I477" i="1"/>
  <c r="J477" i="1"/>
  <c r="G477" i="1"/>
  <c r="U476" i="1"/>
  <c r="H477" i="1" l="1"/>
  <c r="AG477" i="1"/>
  <c r="V476" i="1"/>
  <c r="L477" i="1"/>
  <c r="K477" i="1"/>
  <c r="AW477" i="1" s="1"/>
  <c r="I478" i="1"/>
  <c r="U477" i="1"/>
  <c r="J478" i="1"/>
  <c r="G478" i="1"/>
  <c r="I479" i="1" l="1"/>
  <c r="U478" i="1"/>
  <c r="J479" i="1"/>
  <c r="G479" i="1"/>
  <c r="L478" i="1"/>
  <c r="K478" i="1"/>
  <c r="AW478" i="1" s="1"/>
  <c r="H478" i="1"/>
  <c r="AG478" i="1"/>
  <c r="V477" i="1"/>
  <c r="V478" i="1" l="1"/>
  <c r="L479" i="1"/>
  <c r="K479" i="1"/>
  <c r="AW479" i="1" s="1"/>
  <c r="H479" i="1"/>
  <c r="AG479" i="1"/>
  <c r="I480" i="1"/>
  <c r="G480" i="1"/>
  <c r="U479" i="1"/>
  <c r="P574" i="1" s="1"/>
  <c r="J480" i="1"/>
  <c r="J574" i="1"/>
  <c r="I481" i="1" l="1"/>
  <c r="J481" i="1"/>
  <c r="G481" i="1"/>
  <c r="U480" i="1"/>
  <c r="G575" i="1"/>
  <c r="K480" i="1"/>
  <c r="AW480" i="1" s="1"/>
  <c r="AG480" i="1"/>
  <c r="V479" i="1"/>
  <c r="Q574" i="1" s="1"/>
  <c r="R574" i="1" s="1"/>
  <c r="L480" i="1"/>
  <c r="H480" i="1"/>
  <c r="I574" i="1"/>
  <c r="U574" i="1" s="1"/>
  <c r="L575" i="1" l="1"/>
  <c r="K575" i="1"/>
  <c r="I482" i="1"/>
  <c r="J482" i="1"/>
  <c r="G482" i="1"/>
  <c r="U481" i="1"/>
  <c r="K481" i="1"/>
  <c r="AW481" i="1" s="1"/>
  <c r="V480" i="1"/>
  <c r="L481" i="1"/>
  <c r="H481" i="1"/>
  <c r="AG481" i="1"/>
  <c r="H575" i="1"/>
  <c r="I483" i="1" l="1"/>
  <c r="J483" i="1"/>
  <c r="G483" i="1"/>
  <c r="U482" i="1"/>
  <c r="N575" i="1"/>
  <c r="T575" i="1"/>
  <c r="M575" i="1"/>
  <c r="K482" i="1"/>
  <c r="AW482" i="1" s="1"/>
  <c r="V481" i="1"/>
  <c r="L482" i="1"/>
  <c r="H482" i="1"/>
  <c r="AG482" i="1"/>
  <c r="K483" i="1" l="1"/>
  <c r="AW483" i="1" s="1"/>
  <c r="V482" i="1"/>
  <c r="H483" i="1"/>
  <c r="AG483" i="1"/>
  <c r="L483" i="1"/>
  <c r="I484" i="1"/>
  <c r="G484" i="1"/>
  <c r="J484" i="1"/>
  <c r="U483" i="1"/>
  <c r="J485" i="1" l="1"/>
  <c r="U484" i="1"/>
  <c r="I485" i="1"/>
  <c r="G485" i="1"/>
  <c r="K484" i="1"/>
  <c r="AW484" i="1" s="1"/>
  <c r="V483" i="1"/>
  <c r="AG484" i="1"/>
  <c r="H484" i="1"/>
  <c r="L484" i="1"/>
  <c r="L485" i="1" l="1"/>
  <c r="K485" i="1"/>
  <c r="AW485" i="1" s="1"/>
  <c r="V484" i="1"/>
  <c r="H485" i="1"/>
  <c r="AG485" i="1"/>
  <c r="J486" i="1"/>
  <c r="U485" i="1"/>
  <c r="I486" i="1"/>
  <c r="G486" i="1"/>
  <c r="L486" i="1" l="1"/>
  <c r="K486" i="1"/>
  <c r="AW486" i="1" s="1"/>
  <c r="V485" i="1"/>
  <c r="AG486" i="1"/>
  <c r="H486" i="1"/>
  <c r="J487" i="1"/>
  <c r="U486" i="1"/>
  <c r="P575" i="1" s="1"/>
  <c r="I487" i="1"/>
  <c r="G487" i="1"/>
  <c r="J575" i="1"/>
  <c r="L487" i="1" l="1"/>
  <c r="K487" i="1"/>
  <c r="AW487" i="1" s="1"/>
  <c r="V486" i="1"/>
  <c r="Q575" i="1" s="1"/>
  <c r="R575" i="1" s="1"/>
  <c r="AG487" i="1"/>
  <c r="H487" i="1"/>
  <c r="I575" i="1"/>
  <c r="U575" i="1" s="1"/>
  <c r="J488" i="1"/>
  <c r="U487" i="1"/>
  <c r="I488" i="1"/>
  <c r="G488" i="1"/>
  <c r="G576" i="1"/>
  <c r="L488" i="1" l="1"/>
  <c r="K488" i="1"/>
  <c r="AW488" i="1" s="1"/>
  <c r="V487" i="1"/>
  <c r="AG488" i="1"/>
  <c r="H488" i="1"/>
  <c r="H576" i="1"/>
  <c r="J489" i="1"/>
  <c r="U488" i="1"/>
  <c r="I489" i="1"/>
  <c r="G489" i="1"/>
  <c r="L576" i="1"/>
  <c r="K576" i="1"/>
  <c r="N576" i="1" l="1"/>
  <c r="M576" i="1"/>
  <c r="T576" i="1"/>
  <c r="L489" i="1"/>
  <c r="K489" i="1"/>
  <c r="AW489" i="1" s="1"/>
  <c r="V488" i="1"/>
  <c r="AG489" i="1"/>
  <c r="H489" i="1"/>
  <c r="J490" i="1"/>
  <c r="U489" i="1"/>
  <c r="I490" i="1"/>
  <c r="G490" i="1"/>
  <c r="L490" i="1" l="1"/>
  <c r="K490" i="1"/>
  <c r="AW490" i="1" s="1"/>
  <c r="V489" i="1"/>
  <c r="AG490" i="1"/>
  <c r="H490" i="1"/>
  <c r="J491" i="1"/>
  <c r="U490" i="1"/>
  <c r="I491" i="1"/>
  <c r="G491" i="1"/>
  <c r="L491" i="1" l="1"/>
  <c r="K491" i="1"/>
  <c r="AW491" i="1" s="1"/>
  <c r="V490" i="1"/>
  <c r="AG491" i="1"/>
  <c r="H491" i="1"/>
  <c r="J492" i="1"/>
  <c r="U491" i="1"/>
  <c r="I492" i="1"/>
  <c r="G492" i="1"/>
  <c r="L492" i="1" l="1"/>
  <c r="K492" i="1"/>
  <c r="AW492" i="1" s="1"/>
  <c r="V491" i="1"/>
  <c r="AG492" i="1"/>
  <c r="H492" i="1"/>
  <c r="J493" i="1"/>
  <c r="U492" i="1"/>
  <c r="I493" i="1"/>
  <c r="G493" i="1"/>
  <c r="L493" i="1" l="1"/>
  <c r="K493" i="1"/>
  <c r="AW493" i="1" s="1"/>
  <c r="V492" i="1"/>
  <c r="AG493" i="1"/>
  <c r="H493" i="1"/>
  <c r="J494" i="1"/>
  <c r="U493" i="1"/>
  <c r="P576" i="1" s="1"/>
  <c r="I494" i="1"/>
  <c r="G494" i="1"/>
  <c r="J576" i="1"/>
  <c r="L494" i="1" l="1"/>
  <c r="K494" i="1"/>
  <c r="AW494" i="1" s="1"/>
  <c r="V493" i="1"/>
  <c r="Q576" i="1" s="1"/>
  <c r="R576" i="1" s="1"/>
  <c r="AG494" i="1"/>
  <c r="H494" i="1"/>
  <c r="I576" i="1"/>
  <c r="U576" i="1" s="1"/>
  <c r="J495" i="1"/>
  <c r="U494" i="1"/>
  <c r="I495" i="1"/>
  <c r="G495" i="1"/>
  <c r="G577" i="1"/>
  <c r="L495" i="1" l="1"/>
  <c r="K495" i="1"/>
  <c r="AW495" i="1" s="1"/>
  <c r="V494" i="1"/>
  <c r="AG495" i="1"/>
  <c r="H495" i="1"/>
  <c r="H577" i="1"/>
  <c r="K577" i="1"/>
  <c r="L577" i="1"/>
  <c r="U495" i="1"/>
  <c r="J496" i="1"/>
  <c r="I496" i="1"/>
  <c r="G496" i="1"/>
  <c r="T577" i="1" l="1"/>
  <c r="N577" i="1"/>
  <c r="M577" i="1"/>
  <c r="L496" i="1"/>
  <c r="V495" i="1"/>
  <c r="K496" i="1"/>
  <c r="AW496" i="1" s="1"/>
  <c r="H496" i="1"/>
  <c r="AG496" i="1"/>
  <c r="J497" i="1"/>
  <c r="I497" i="1"/>
  <c r="G497" i="1"/>
  <c r="U496" i="1"/>
  <c r="L497" i="1" l="1"/>
  <c r="H497" i="1"/>
  <c r="V496" i="1"/>
  <c r="AG497" i="1"/>
  <c r="K497" i="1"/>
  <c r="AW497" i="1" s="1"/>
  <c r="G498" i="1"/>
  <c r="U497" i="1"/>
  <c r="J498" i="1"/>
  <c r="I498" i="1"/>
  <c r="J499" i="1" l="1"/>
  <c r="I499" i="1"/>
  <c r="U498" i="1"/>
  <c r="G499" i="1"/>
  <c r="L498" i="1"/>
  <c r="H498" i="1"/>
  <c r="V497" i="1"/>
  <c r="AG498" i="1"/>
  <c r="K498" i="1"/>
  <c r="L499" i="1" l="1"/>
  <c r="AG499" i="1"/>
  <c r="K499" i="1"/>
  <c r="AW499" i="1" s="1"/>
  <c r="H499" i="1"/>
  <c r="V498" i="1"/>
  <c r="J500" i="1"/>
  <c r="I500" i="1"/>
  <c r="G500" i="1"/>
  <c r="U499" i="1"/>
  <c r="AW498" i="1"/>
  <c r="U500" i="1" l="1"/>
  <c r="P577" i="1" s="1"/>
  <c r="J577" i="1"/>
  <c r="L500" i="1"/>
  <c r="K500" i="1"/>
  <c r="AW500" i="1" s="1"/>
  <c r="H500" i="1"/>
  <c r="V499" i="1"/>
  <c r="AG500" i="1"/>
  <c r="V500" i="1" l="1"/>
  <c r="Q577" i="1" s="1"/>
  <c r="I577" i="1"/>
  <c r="U577" i="1" s="1"/>
  <c r="R5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<sst xmlns="http://schemas.openxmlformats.org/spreadsheetml/2006/main" count="206" uniqueCount="89">
  <si>
    <t>HOUSE:</t>
  </si>
  <si>
    <t>FEMALE INTAKE:</t>
  </si>
  <si>
    <t>DEAD ON ARRIVAL:</t>
  </si>
  <si>
    <t>MALE INTAKE:</t>
  </si>
  <si>
    <t xml:space="preserve">INTAKE DATE: </t>
  </si>
  <si>
    <t>WEEKLY ARBOR ACRES</t>
  </si>
  <si>
    <t>DEAD MALE</t>
  </si>
  <si>
    <t>CULL MALE</t>
  </si>
  <si>
    <t>DEAD FEMALE</t>
  </si>
  <si>
    <t>CULL FEMALE</t>
  </si>
  <si>
    <t>START MALE</t>
  </si>
  <si>
    <t>START FEMALE</t>
  </si>
  <si>
    <t>END MALE</t>
  </si>
  <si>
    <t>END FEMALE</t>
  </si>
  <si>
    <t>CULL MALE%</t>
  </si>
  <si>
    <t>DEAD MALE%</t>
  </si>
  <si>
    <t>CULL FEMALE%</t>
  </si>
  <si>
    <t>DEAD FEMALE%</t>
  </si>
  <si>
    <t>STANDARD MORTALITY%</t>
  </si>
  <si>
    <t>MALE FEED (kg)</t>
  </si>
  <si>
    <t>FEMALE FEED (kg)</t>
  </si>
  <si>
    <t>TOTAL FEED (KG)</t>
  </si>
  <si>
    <t>TOTAL EGGS</t>
  </si>
  <si>
    <t>WEEKLY EGG PROD%</t>
  </si>
  <si>
    <t>HEN WEEK PROD.</t>
  </si>
  <si>
    <t>TOTAL H.E</t>
  </si>
  <si>
    <t>JUMBO%</t>
  </si>
  <si>
    <t>SMALL%</t>
  </si>
  <si>
    <t>ABNORMAL%</t>
  </si>
  <si>
    <t>CRACK%</t>
  </si>
  <si>
    <t>H.E%</t>
  </si>
  <si>
    <t>EGG WEIGHT (g)</t>
  </si>
  <si>
    <t>MALE BW</t>
  </si>
  <si>
    <t>MALE UNI%</t>
  </si>
  <si>
    <t>FEMALE BW</t>
  </si>
  <si>
    <t>FEMALE UNI%</t>
  </si>
  <si>
    <t>STD MALE BW</t>
  </si>
  <si>
    <t>STD FEMALE BW</t>
  </si>
  <si>
    <t>DEPLETION</t>
  </si>
  <si>
    <t>FEED</t>
  </si>
  <si>
    <t>EGG PRODUCTION</t>
  </si>
  <si>
    <t>BODY WEIGHT</t>
  </si>
  <si>
    <t>WATER INTAKE</t>
  </si>
  <si>
    <t>TIME</t>
  </si>
  <si>
    <t>REMARKS</t>
  </si>
  <si>
    <t>AGE</t>
  </si>
  <si>
    <t>DATE</t>
  </si>
  <si>
    <t>MALE STOCK</t>
  </si>
  <si>
    <t>FEMALE STOCK</t>
  </si>
  <si>
    <t>CUM. MALE%</t>
  </si>
  <si>
    <t>CUM. FEMALE%</t>
  </si>
  <si>
    <t>FEED PROGRAM</t>
  </si>
  <si>
    <t>GIVEN MALE G/B</t>
  </si>
  <si>
    <t>GIVEN FEMALE G/B</t>
  </si>
  <si>
    <t>ACTUAL MALE G/B</t>
  </si>
  <si>
    <t>ACTUAL FEMALE G/B</t>
  </si>
  <si>
    <t>MALE TOTAL FEED (kg)</t>
  </si>
  <si>
    <t>FEMALE TOTAL FEED (kg)</t>
  </si>
  <si>
    <t>STANDARD MALE FEED</t>
  </si>
  <si>
    <t>STANDARD FEMALE FEED</t>
  </si>
  <si>
    <t>EGG COLLECTED</t>
  </si>
  <si>
    <t>JUMBO</t>
  </si>
  <si>
    <t>SMALL</t>
  </si>
  <si>
    <t>ABNORMAL</t>
  </si>
  <si>
    <t>CRACK</t>
  </si>
  <si>
    <t>GRAM EGG</t>
  </si>
  <si>
    <t>REJECT</t>
  </si>
  <si>
    <t>H.E</t>
  </si>
  <si>
    <t>EGG PRODUCTION%</t>
  </si>
  <si>
    <t>REJECT%</t>
  </si>
  <si>
    <t>MALE BODY WEIGHT</t>
  </si>
  <si>
    <t>MALE UNIFORMITY</t>
  </si>
  <si>
    <t>FEMALE BODY WEIGHT</t>
  </si>
  <si>
    <t>FEMALE UNIFORMITY</t>
  </si>
  <si>
    <t>8AM (m^3)</t>
  </si>
  <si>
    <t>11AM (m^3)</t>
  </si>
  <si>
    <t>5PM (m^3)</t>
  </si>
  <si>
    <t>DAILY WATER (L)</t>
  </si>
  <si>
    <t>24H WATER (L)</t>
  </si>
  <si>
    <t>WATER:FEED (L/kg)</t>
  </si>
  <si>
    <t>WATER/BIRD (ml/bird)</t>
  </si>
  <si>
    <t>LIGHT ON</t>
  </si>
  <si>
    <t>LIGHT OFF</t>
  </si>
  <si>
    <t>LIGHT DURATION</t>
  </si>
  <si>
    <t>FEED START</t>
  </si>
  <si>
    <t>FEED END</t>
  </si>
  <si>
    <t>FEED DURATION</t>
  </si>
  <si>
    <t>WEEK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</si>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</sst>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;@"/>
    <numFmt numFmtId="165" formatCode="d/m/yy;@"/>
    <numFmt numFmtId="166" formatCode="0.00_ "/>
    <numFmt numFmtId="167" formatCode="0_ "/>
    <numFmt numFmtId="168" formatCode="0.0%"/>
    <numFmt numFmtId="169" formatCode="0.0_ "/>
    <numFmt numFmtId="170" formatCode="0.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D9E2F3"/>
        <bgColor rgb="FFD9E2F3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theme="4" tint="0.39994506668294322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4" tint="0.39994506668294322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theme="4" tint="0.39994506668294322"/>
      </top>
      <bottom style="thin">
        <color theme="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alignment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0" xfId="0" applyNumberFormat="1" applyFont="1">
      <alignment vertical="center"/>
    </xf>
    <xf numFmtId="0" fontId="5" fillId="3" borderId="0" xfId="2" applyFont="1" applyFill="1" applyAlignment="1" applyProtection="1">
      <alignment horizontal="center" vertical="center" wrapText="1"/>
      <protection locked="0"/>
    </xf>
    <xf numFmtId="0" fontId="5" fillId="4" borderId="0" xfId="2" applyFont="1" applyFill="1" applyAlignment="1" applyProtection="1">
      <alignment horizontal="center" vertical="center" wrapText="1"/>
      <protection locked="0"/>
    </xf>
    <xf numFmtId="164" fontId="3" fillId="5" borderId="2" xfId="0" applyNumberFormat="1" applyFont="1" applyFill="1" applyBorder="1" applyAlignment="1">
      <alignment vertical="center" wrapText="1"/>
    </xf>
    <xf numFmtId="164" fontId="3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5" fillId="5" borderId="0" xfId="2" applyFont="1" applyFill="1" applyAlignment="1" applyProtection="1">
      <alignment horizontal="center" vertical="center" wrapText="1"/>
      <protection locked="0"/>
    </xf>
    <xf numFmtId="0" fontId="5" fillId="6" borderId="0" xfId="2" applyFont="1" applyFill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0" fontId="3" fillId="3" borderId="4" xfId="0" applyNumberFormat="1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 vertical="center"/>
    </xf>
    <xf numFmtId="0" fontId="2" fillId="3" borderId="11" xfId="0" applyFont="1" applyFill="1" applyBorder="1">
      <alignment vertical="center"/>
    </xf>
    <xf numFmtId="0" fontId="2" fillId="3" borderId="12" xfId="0" applyFont="1" applyFill="1" applyBorder="1">
      <alignment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4" xfId="0" applyFont="1" applyFill="1" applyBorder="1">
      <alignment vertical="center"/>
    </xf>
    <xf numFmtId="10" fontId="2" fillId="3" borderId="14" xfId="0" applyNumberFormat="1" applyFont="1" applyFill="1" applyBorder="1" applyAlignment="1">
      <alignment horizontal="center" vertical="center"/>
    </xf>
    <xf numFmtId="0" fontId="2" fillId="3" borderId="15" xfId="0" applyFont="1" applyFill="1" applyBorder="1">
      <alignment vertical="center"/>
    </xf>
    <xf numFmtId="0" fontId="2" fillId="3" borderId="16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17" xfId="0" applyFont="1" applyFill="1" applyBorder="1">
      <alignment vertical="center"/>
    </xf>
    <xf numFmtId="10" fontId="2" fillId="3" borderId="17" xfId="0" applyNumberFormat="1" applyFont="1" applyFill="1" applyBorder="1">
      <alignment vertical="center"/>
    </xf>
    <xf numFmtId="10" fontId="2" fillId="3" borderId="1" xfId="0" applyNumberFormat="1" applyFont="1" applyFill="1" applyBorder="1">
      <alignment vertical="center"/>
    </xf>
    <xf numFmtId="0" fontId="3" fillId="0" borderId="18" xfId="0" applyFont="1" applyBorder="1" applyAlignment="1">
      <alignment horizontal="center" vertical="center"/>
    </xf>
    <xf numFmtId="165" fontId="2" fillId="8" borderId="19" xfId="0" applyNumberFormat="1" applyFont="1" applyFill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10" fontId="2" fillId="3" borderId="6" xfId="0" applyNumberFormat="1" applyFont="1" applyFill="1" applyBorder="1" applyAlignment="1">
      <alignment horizontal="center" vertical="center"/>
    </xf>
    <xf numFmtId="10" fontId="2" fillId="3" borderId="20" xfId="0" applyNumberFormat="1" applyFont="1" applyFill="1" applyBorder="1" applyAlignment="1">
      <alignment horizontal="center" vertical="center"/>
    </xf>
    <xf numFmtId="10" fontId="2" fillId="3" borderId="22" xfId="0" applyNumberFormat="1" applyFont="1" applyFill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166" fontId="2" fillId="3" borderId="6" xfId="0" applyNumberFormat="1" applyFont="1" applyFill="1" applyBorder="1" applyAlignment="1">
      <alignment horizontal="center" vertical="center"/>
    </xf>
    <xf numFmtId="166" fontId="2" fillId="3" borderId="22" xfId="0" applyNumberFormat="1" applyFont="1" applyFill="1" applyBorder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167" fontId="2" fillId="3" borderId="6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0" fontId="2" fillId="3" borderId="7" xfId="0" applyNumberFormat="1" applyFont="1" applyFill="1" applyBorder="1" applyAlignment="1">
      <alignment horizontal="center" vertical="center"/>
    </xf>
    <xf numFmtId="10" fontId="2" fillId="3" borderId="17" xfId="0" applyNumberFormat="1" applyFont="1" applyFill="1" applyBorder="1" applyAlignment="1">
      <alignment horizontal="center" vertical="center"/>
    </xf>
    <xf numFmtId="168" fontId="2" fillId="0" borderId="20" xfId="1" applyNumberFormat="1" applyFont="1" applyFill="1" applyBorder="1" applyAlignment="1" applyProtection="1">
      <alignment horizontal="center" vertical="center"/>
      <protection locked="0"/>
    </xf>
    <xf numFmtId="168" fontId="2" fillId="0" borderId="20" xfId="0" applyNumberFormat="1" applyFont="1" applyBorder="1" applyAlignment="1" applyProtection="1">
      <alignment horizontal="center" vertical="center"/>
      <protection locked="0"/>
    </xf>
    <xf numFmtId="20" fontId="2" fillId="0" borderId="20" xfId="0" applyNumberFormat="1" applyFont="1" applyBorder="1" applyAlignment="1" applyProtection="1">
      <alignment horizontal="center" vertical="center"/>
      <protection locked="0"/>
    </xf>
    <xf numFmtId="0" fontId="3" fillId="7" borderId="24" xfId="0" applyFont="1" applyFill="1" applyBorder="1" applyAlignment="1">
      <alignment horizontal="center" vertical="center"/>
    </xf>
    <xf numFmtId="165" fontId="2" fillId="8" borderId="25" xfId="0" applyNumberFormat="1" applyFont="1" applyFill="1" applyBorder="1" applyAlignment="1">
      <alignment horizontal="center" vertical="center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0" fontId="2" fillId="3" borderId="8" xfId="0" applyNumberFormat="1" applyFont="1" applyFill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3" borderId="8" xfId="0" applyFont="1" applyFill="1" applyBorder="1" applyAlignment="1">
      <alignment horizontal="center" vertical="center"/>
    </xf>
    <xf numFmtId="166" fontId="2" fillId="3" borderId="8" xfId="0" applyNumberFormat="1" applyFont="1" applyFill="1" applyBorder="1" applyAlignment="1">
      <alignment horizontal="center" vertical="center"/>
    </xf>
    <xf numFmtId="167" fontId="2" fillId="3" borderId="8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0" fontId="2" fillId="3" borderId="23" xfId="0" applyNumberFormat="1" applyFont="1" applyFill="1" applyBorder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168" fontId="2" fillId="0" borderId="22" xfId="1" applyNumberFormat="1" applyFont="1" applyFill="1" applyBorder="1" applyAlignment="1" applyProtection="1">
      <alignment horizontal="center" vertical="center"/>
      <protection locked="0"/>
    </xf>
    <xf numFmtId="168" fontId="2" fillId="0" borderId="22" xfId="0" applyNumberFormat="1" applyFont="1" applyBorder="1" applyAlignment="1" applyProtection="1">
      <alignment horizontal="center" vertical="center"/>
      <protection locked="0"/>
    </xf>
    <xf numFmtId="20" fontId="2" fillId="0" borderId="22" xfId="0" applyNumberFormat="1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>
      <alignment horizontal="center" vertical="center"/>
    </xf>
    <xf numFmtId="165" fontId="2" fillId="8" borderId="26" xfId="0" applyNumberFormat="1" applyFont="1" applyFill="1" applyBorder="1" applyAlignment="1">
      <alignment horizontal="center" vertical="center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3" borderId="29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10" fontId="2" fillId="3" borderId="4" xfId="0" applyNumberFormat="1" applyFont="1" applyFill="1" applyBorder="1" applyAlignment="1">
      <alignment horizontal="center" vertical="center"/>
    </xf>
    <xf numFmtId="10" fontId="2" fillId="3" borderId="28" xfId="0" applyNumberFormat="1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166" fontId="2" fillId="3" borderId="4" xfId="0" applyNumberFormat="1" applyFont="1" applyFill="1" applyBorder="1" applyAlignment="1">
      <alignment horizontal="center" vertical="center"/>
    </xf>
    <xf numFmtId="166" fontId="2" fillId="3" borderId="28" xfId="0" applyNumberFormat="1" applyFont="1" applyFill="1" applyBorder="1" applyAlignment="1">
      <alignment horizontal="center" vertical="center"/>
    </xf>
    <xf numFmtId="167" fontId="2" fillId="3" borderId="16" xfId="0" applyNumberFormat="1" applyFont="1" applyFill="1" applyBorder="1" applyAlignment="1">
      <alignment horizontal="center" vertical="center"/>
    </xf>
    <xf numFmtId="167" fontId="2" fillId="3" borderId="4" xfId="0" applyNumberFormat="1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10" fontId="2" fillId="3" borderId="27" xfId="0" applyNumberFormat="1" applyFont="1" applyFill="1" applyBorder="1" applyAlignment="1">
      <alignment horizontal="center" vertical="center"/>
    </xf>
    <xf numFmtId="10" fontId="2" fillId="3" borderId="16" xfId="0" applyNumberFormat="1" applyFont="1" applyFill="1" applyBorder="1" applyAlignment="1">
      <alignment horizontal="center" vertical="center"/>
    </xf>
    <xf numFmtId="168" fontId="2" fillId="0" borderId="28" xfId="1" applyNumberFormat="1" applyFont="1" applyFill="1" applyBorder="1" applyAlignment="1" applyProtection="1">
      <alignment horizontal="center" vertical="center"/>
      <protection locked="0"/>
    </xf>
    <xf numFmtId="168" fontId="2" fillId="0" borderId="28" xfId="0" applyNumberFormat="1" applyFont="1" applyBorder="1" applyAlignment="1" applyProtection="1">
      <alignment horizontal="center" vertical="center"/>
      <protection locked="0"/>
    </xf>
    <xf numFmtId="20" fontId="2" fillId="0" borderId="28" xfId="0" applyNumberFormat="1" applyFont="1" applyBorder="1" applyAlignment="1" applyProtection="1">
      <alignment horizontal="center" vertical="center"/>
      <protection locked="0"/>
    </xf>
    <xf numFmtId="0" fontId="3" fillId="7" borderId="18" xfId="0" applyFont="1" applyFill="1" applyBorder="1" applyAlignment="1">
      <alignment horizontal="center" vertical="center"/>
    </xf>
    <xf numFmtId="165" fontId="2" fillId="8" borderId="30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0" fontId="2" fillId="0" borderId="17" xfId="0" applyNumberFormat="1" applyFont="1" applyBorder="1" applyAlignment="1" applyProtection="1">
      <alignment horizontal="center" vertical="center"/>
      <protection locked="0"/>
    </xf>
    <xf numFmtId="165" fontId="2" fillId="8" borderId="31" xfId="0" applyNumberFormat="1" applyFont="1" applyFill="1" applyBorder="1" applyAlignment="1">
      <alignment horizontal="center" vertical="center"/>
    </xf>
    <xf numFmtId="10" fontId="2" fillId="0" borderId="0" xfId="0" applyNumberFormat="1" applyFont="1" applyAlignment="1" applyProtection="1">
      <alignment horizontal="center" vertical="center"/>
      <protection locked="0"/>
    </xf>
    <xf numFmtId="165" fontId="2" fillId="8" borderId="32" xfId="0" applyNumberFormat="1" applyFont="1" applyFill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3" fillId="0" borderId="17" xfId="0" applyFont="1" applyBorder="1" applyAlignment="1">
      <alignment horizontal="center" vertical="center"/>
    </xf>
    <xf numFmtId="0" fontId="2" fillId="0" borderId="17" xfId="1" applyNumberFormat="1" applyFont="1" applyFill="1" applyBorder="1" applyAlignment="1" applyProtection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alignment vertical="center"/>
      <protection locked="0"/>
    </xf>
    <xf numFmtId="169" fontId="2" fillId="0" borderId="0" xfId="0" applyNumberFormat="1" applyFont="1" applyAlignment="1" applyProtection="1">
      <alignment horizontal="center" vertical="center"/>
      <protection locked="0"/>
    </xf>
    <xf numFmtId="165" fontId="2" fillId="9" borderId="31" xfId="0" applyNumberFormat="1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9" fontId="2" fillId="10" borderId="0" xfId="1" applyFont="1" applyFill="1" applyBorder="1" applyAlignment="1" applyProtection="1">
      <alignment horizontal="center" vertical="center"/>
    </xf>
    <xf numFmtId="164" fontId="3" fillId="5" borderId="5" xfId="0" applyNumberFormat="1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2" fillId="3" borderId="5" xfId="0" applyFont="1" applyFill="1" applyBorder="1">
      <alignment vertical="center"/>
    </xf>
    <xf numFmtId="0" fontId="3" fillId="5" borderId="5" xfId="0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 vertical="center"/>
    </xf>
    <xf numFmtId="166" fontId="2" fillId="5" borderId="5" xfId="0" applyNumberFormat="1" applyFont="1" applyFill="1" applyBorder="1" applyAlignment="1">
      <alignment horizontal="center" vertical="center"/>
    </xf>
    <xf numFmtId="166" fontId="2" fillId="5" borderId="3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0" fontId="2" fillId="5" borderId="2" xfId="1" applyNumberFormat="1" applyFont="1" applyFill="1" applyBorder="1" applyAlignment="1" applyProtection="1">
      <alignment horizontal="center" vertical="center"/>
    </xf>
    <xf numFmtId="170" fontId="2" fillId="5" borderId="2" xfId="1" applyNumberFormat="1" applyFont="1" applyFill="1" applyBorder="1" applyAlignment="1" applyProtection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168" fontId="2" fillId="5" borderId="2" xfId="1" applyNumberFormat="1" applyFont="1" applyFill="1" applyBorder="1" applyAlignment="1" applyProtection="1">
      <alignment horizontal="center" vertical="center"/>
    </xf>
    <xf numFmtId="0" fontId="2" fillId="5" borderId="3" xfId="1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Per cent" xfId="1" builtinId="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paslimy-my.sharepoint.com/personal/syabil_suhardi_sinlongheng_com_my/Documents/SLH%20LOT%20241/SLH%20Daily%20Aviagen.xlsx" TargetMode="External"/><Relationship Id="rId1" Type="http://schemas.openxmlformats.org/officeDocument/2006/relationships/externalLinkPath" Target="https://kpaslimy-my.sharepoint.com/personal/syabil_suhardi_sinlongheng_com_my/Documents/SLH%20LOT%20241/SLH%20Daily%20Aviag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DASHBOARD"/>
      <sheetName val="CHART"/>
      <sheetName val="JWB2"/>
      <sheetName val="VA2"/>
      <sheetName val="VA3"/>
      <sheetName val="VB1"/>
      <sheetName val="VB2"/>
      <sheetName val="VB3"/>
    </sheetNames>
    <sheetDataSet>
      <sheetData sheetId="0"/>
      <sheetData sheetId="1"/>
      <sheetData sheetId="2">
        <row r="1">
          <cell r="AG1">
            <v>3.0000000000000001E-3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C8E-3CC9-4CC5-B546-5BBFDF1C837A}">
  <sheetPr>
    <tabColor theme="8" tint="0.39997558519241921"/>
  </sheetPr>
  <dimension ref="A1:CD992"/>
  <sheetViews>
    <sheetView showGridLines="0" tabSelected="1" zoomScale="55" zoomScaleNormal="55" workbookViewId="0">
      <pane xSplit="2" ySplit="10" topLeftCell="C492" activePane="bottomRight" state="frozen"/>
      <selection pane="topRight" activeCell="C1" sqref="C1"/>
      <selection pane="bottomLeft" activeCell="A11" sqref="A11"/>
      <selection pane="bottomRight" activeCell="O508" sqref="O508:O577"/>
    </sheetView>
  </sheetViews>
  <sheetFormatPr defaultColWidth="21.109375" defaultRowHeight="17.399999999999999" customHeight="1" outlineLevelCol="1"/>
  <cols>
    <col min="1" max="2" width="21.109375" style="1"/>
    <col min="3" max="3" width="23.109375" style="3" customWidth="1"/>
    <col min="4" max="5" width="21.109375" style="3"/>
    <col min="6" max="6" width="22" style="3" customWidth="1"/>
    <col min="7" max="15" width="21.109375" style="1" customWidth="1" outlineLevel="1"/>
    <col min="16" max="17" width="21.109375" style="1"/>
    <col min="18" max="18" width="22.44140625" style="1" bestFit="1" customWidth="1"/>
    <col min="19" max="22" width="21.109375" style="1" customWidth="1" outlineLevel="1"/>
    <col min="23" max="28" width="21.109375" style="1"/>
    <col min="29" max="37" width="21.109375" style="1" customWidth="1" outlineLevel="1"/>
    <col min="38" max="38" width="21.109375" style="1"/>
    <col min="39" max="39" width="21.109375" style="2"/>
    <col min="40" max="40" width="21.109375" style="1"/>
    <col min="41" max="41" width="24.109375" style="1" customWidth="1"/>
    <col min="42" max="44" width="26.33203125" style="1" customWidth="1"/>
    <col min="45" max="48" width="26.33203125" style="1" customWidth="1" outlineLevel="1"/>
    <col min="49" max="50" width="26.33203125" style="1" customWidth="1"/>
    <col min="51" max="51" width="26.33203125" style="1" customWidth="1" outlineLevel="1"/>
    <col min="52" max="53" width="26.33203125" style="1" customWidth="1"/>
    <col min="54" max="54" width="26.33203125" style="1" customWidth="1" outlineLevel="1"/>
    <col min="55" max="55" width="68.6640625" style="1" customWidth="1"/>
    <col min="56" max="74" width="21.109375" style="1"/>
    <col min="75" max="80" width="21.109375" style="3"/>
    <col min="81" max="16384" width="21.109375" style="1"/>
  </cols>
  <sheetData>
    <row r="1" spans="1:82" ht="22.65" customHeight="1" thickBot="1">
      <c r="C1" s="1"/>
      <c r="D1" s="1"/>
      <c r="E1" s="1"/>
      <c r="F1" s="1"/>
      <c r="BC1" s="2"/>
    </row>
    <row r="2" spans="1:82" ht="22.65" customHeight="1" thickBot="1">
      <c r="A2" s="4" t="s">
        <v>0</v>
      </c>
      <c r="B2" s="5" t="e" cm="1">
        <f t="array" aca="1" ref="B2" ca="1">MID(CELL("filename",B2),FIND("]",CELL("filename",B2))+1,255)</f>
        <v>#VALUE!</v>
      </c>
      <c r="D2" s="1"/>
      <c r="E2" s="1"/>
      <c r="F2" s="1"/>
      <c r="BC2" s="2"/>
    </row>
    <row r="3" spans="1:82" ht="22.65" customHeight="1" thickBot="1">
      <c r="A3" s="4" t="s">
        <v>1</v>
      </c>
      <c r="B3" s="6"/>
      <c r="C3" s="4" t="s">
        <v>2</v>
      </c>
      <c r="D3" s="7"/>
      <c r="E3" s="1"/>
      <c r="BC3" s="2"/>
    </row>
    <row r="4" spans="1:82" ht="22.65" customHeight="1" thickBot="1">
      <c r="A4" s="4" t="s">
        <v>3</v>
      </c>
      <c r="B4" s="6"/>
      <c r="C4" s="4" t="s">
        <v>2</v>
      </c>
      <c r="D4" s="7"/>
      <c r="E4" s="1"/>
      <c r="BC4" s="2"/>
    </row>
    <row r="5" spans="1:82" ht="22.65" customHeight="1" thickBot="1">
      <c r="A5" s="4" t="s">
        <v>4</v>
      </c>
      <c r="B5" s="8"/>
      <c r="D5" s="9"/>
      <c r="E5" s="1"/>
      <c r="F5" s="1"/>
      <c r="BC5" s="2"/>
    </row>
    <row r="6" spans="1:82" ht="30" customHeight="1" thickBot="1">
      <c r="A6" s="10" t="e">
        <f ca="1">HYPERLINK("#'" &amp; $B$2 &amp; "'!A11","🔹 Daily")</f>
        <v>#VALUE!</v>
      </c>
      <c r="B6" s="11" t="str">
        <f>HYPERLINK("#Dashboard!A1", "📊 Dashboard")</f>
        <v>📊 Dashboard</v>
      </c>
      <c r="C6" s="12" t="s">
        <v>5</v>
      </c>
      <c r="D6" s="12" t="s">
        <v>5</v>
      </c>
      <c r="E6" s="12" t="s">
        <v>5</v>
      </c>
      <c r="F6" s="12" t="s">
        <v>5</v>
      </c>
      <c r="G6" s="12" t="s">
        <v>5</v>
      </c>
      <c r="H6" s="12" t="s">
        <v>5</v>
      </c>
      <c r="I6" s="12" t="s">
        <v>5</v>
      </c>
      <c r="J6" s="12" t="s">
        <v>5</v>
      </c>
      <c r="K6" s="12" t="s">
        <v>5</v>
      </c>
      <c r="L6" s="12" t="s">
        <v>5</v>
      </c>
      <c r="M6" s="12" t="s">
        <v>5</v>
      </c>
      <c r="N6" s="12" t="s">
        <v>5</v>
      </c>
      <c r="O6" s="12" t="s">
        <v>5</v>
      </c>
      <c r="P6" s="12" t="s">
        <v>5</v>
      </c>
      <c r="Q6" s="12" t="s">
        <v>5</v>
      </c>
      <c r="R6" s="12" t="s">
        <v>5</v>
      </c>
      <c r="S6" s="12" t="s">
        <v>5</v>
      </c>
      <c r="T6" s="12" t="s">
        <v>5</v>
      </c>
      <c r="U6" s="12" t="s">
        <v>5</v>
      </c>
      <c r="V6" s="12" t="s">
        <v>5</v>
      </c>
      <c r="W6" s="12" t="s">
        <v>5</v>
      </c>
      <c r="X6" s="12" t="s">
        <v>5</v>
      </c>
      <c r="Y6" s="12" t="s">
        <v>5</v>
      </c>
      <c r="Z6" s="12" t="s">
        <v>5</v>
      </c>
      <c r="AA6" s="12" t="s">
        <v>5</v>
      </c>
      <c r="AB6" s="12" t="s">
        <v>5</v>
      </c>
      <c r="AC6" s="12" t="s">
        <v>5</v>
      </c>
      <c r="AD6" s="12" t="s">
        <v>5</v>
      </c>
      <c r="AE6" s="12" t="s">
        <v>5</v>
      </c>
      <c r="AF6" s="12" t="s">
        <v>5</v>
      </c>
      <c r="AG6" s="12" t="s">
        <v>5</v>
      </c>
      <c r="AH6" s="13" t="s">
        <v>5</v>
      </c>
      <c r="AI6" s="14"/>
      <c r="AJ6" s="14"/>
      <c r="AK6" s="15"/>
      <c r="AL6" s="14"/>
      <c r="AM6" s="14"/>
      <c r="AN6" s="15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</row>
    <row r="7" spans="1:82" ht="30" customHeight="1" thickBot="1">
      <c r="A7" s="16" t="e">
        <f ca="1">HYPERLINK("#'" &amp; $B$2 &amp; "'!A508", "📆 Weekly Data")</f>
        <v>#VALUE!</v>
      </c>
      <c r="B7" s="17" t="str">
        <f>HYPERLINK("#Chart!A1","📈 Chart")</f>
        <v>📈 Chart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18" t="s">
        <v>12</v>
      </c>
      <c r="J7" s="18" t="s">
        <v>13</v>
      </c>
      <c r="K7" s="18" t="s">
        <v>14</v>
      </c>
      <c r="L7" s="18" t="s">
        <v>15</v>
      </c>
      <c r="M7" s="18" t="s">
        <v>16</v>
      </c>
      <c r="N7" s="18" t="s">
        <v>17</v>
      </c>
      <c r="O7" s="18" t="s">
        <v>18</v>
      </c>
      <c r="P7" s="18" t="s">
        <v>19</v>
      </c>
      <c r="Q7" s="18" t="s">
        <v>20</v>
      </c>
      <c r="R7" s="18" t="s">
        <v>21</v>
      </c>
      <c r="S7" s="18" t="s">
        <v>22</v>
      </c>
      <c r="T7" s="18" t="s">
        <v>23</v>
      </c>
      <c r="U7" s="18" t="s">
        <v>24</v>
      </c>
      <c r="V7" s="18" t="s">
        <v>25</v>
      </c>
      <c r="W7" s="18" t="s">
        <v>26</v>
      </c>
      <c r="X7" s="18" t="s">
        <v>27</v>
      </c>
      <c r="Y7" s="18" t="s">
        <v>28</v>
      </c>
      <c r="Z7" s="18" t="s">
        <v>29</v>
      </c>
      <c r="AA7" s="18" t="s">
        <v>30</v>
      </c>
      <c r="AB7" s="18" t="s">
        <v>31</v>
      </c>
      <c r="AC7" s="19" t="s">
        <v>32</v>
      </c>
      <c r="AD7" s="19" t="s">
        <v>33</v>
      </c>
      <c r="AE7" s="18" t="s">
        <v>34</v>
      </c>
      <c r="AF7" s="19" t="s">
        <v>35</v>
      </c>
      <c r="AG7" s="18" t="s">
        <v>36</v>
      </c>
      <c r="AH7" s="19" t="s">
        <v>37</v>
      </c>
      <c r="AI7" s="14"/>
      <c r="AJ7" s="14"/>
      <c r="AK7" s="15"/>
      <c r="AL7" s="14"/>
      <c r="AM7" s="14"/>
      <c r="AN7" s="15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</row>
    <row r="8" spans="1:82" ht="16.95" customHeight="1" thickBot="1">
      <c r="C8" s="20" t="s">
        <v>38</v>
      </c>
      <c r="D8" s="21"/>
      <c r="E8" s="21"/>
      <c r="F8" s="21"/>
      <c r="G8" s="21"/>
      <c r="H8" s="21"/>
      <c r="I8" s="21"/>
      <c r="J8" s="21"/>
      <c r="K8" s="21"/>
      <c r="L8" s="21"/>
      <c r="M8" s="22"/>
      <c r="N8" s="20" t="s">
        <v>39</v>
      </c>
      <c r="O8" s="21"/>
      <c r="P8" s="21"/>
      <c r="Q8" s="21"/>
      <c r="R8" s="21"/>
      <c r="S8" s="21"/>
      <c r="T8" s="21"/>
      <c r="U8" s="21"/>
      <c r="V8" s="21"/>
      <c r="W8" s="21"/>
      <c r="X8" s="22"/>
      <c r="Y8" s="23" t="s">
        <v>40</v>
      </c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5"/>
      <c r="AL8" s="20" t="s">
        <v>41</v>
      </c>
      <c r="AM8" s="21"/>
      <c r="AN8" s="21"/>
      <c r="AO8" s="22"/>
      <c r="AP8" s="20" t="s">
        <v>42</v>
      </c>
      <c r="AQ8" s="21"/>
      <c r="AR8" s="21"/>
      <c r="AS8" s="21"/>
      <c r="AT8" s="21"/>
      <c r="AU8" s="21"/>
      <c r="AV8" s="22"/>
      <c r="AW8" s="20" t="s">
        <v>43</v>
      </c>
      <c r="AX8" s="21"/>
      <c r="AY8" s="21"/>
      <c r="AZ8" s="21"/>
      <c r="BA8" s="21"/>
      <c r="BB8" s="22"/>
      <c r="BC8" s="26" t="s">
        <v>44</v>
      </c>
    </row>
    <row r="9" spans="1:82" ht="30" customHeight="1" thickBot="1">
      <c r="A9" s="27" t="s">
        <v>45</v>
      </c>
      <c r="B9" s="28" t="s">
        <v>46</v>
      </c>
      <c r="C9" s="27" t="s">
        <v>7</v>
      </c>
      <c r="D9" s="27" t="s">
        <v>9</v>
      </c>
      <c r="E9" s="27" t="s">
        <v>6</v>
      </c>
      <c r="F9" s="27" t="s">
        <v>8</v>
      </c>
      <c r="G9" s="27" t="s">
        <v>47</v>
      </c>
      <c r="H9" s="27" t="s">
        <v>48</v>
      </c>
      <c r="I9" s="27" t="s">
        <v>14</v>
      </c>
      <c r="J9" s="27" t="s">
        <v>15</v>
      </c>
      <c r="K9" s="27" t="s">
        <v>16</v>
      </c>
      <c r="L9" s="27" t="s">
        <v>17</v>
      </c>
      <c r="M9" s="27" t="s">
        <v>49</v>
      </c>
      <c r="N9" s="29" t="s">
        <v>50</v>
      </c>
      <c r="O9" s="29" t="s">
        <v>18</v>
      </c>
      <c r="P9" s="29" t="s">
        <v>51</v>
      </c>
      <c r="Q9" s="29" t="s">
        <v>52</v>
      </c>
      <c r="R9" s="29" t="s">
        <v>53</v>
      </c>
      <c r="S9" s="29" t="s">
        <v>54</v>
      </c>
      <c r="T9" s="29" t="s">
        <v>55</v>
      </c>
      <c r="U9" s="29" t="s">
        <v>56</v>
      </c>
      <c r="V9" s="30" t="s">
        <v>57</v>
      </c>
      <c r="W9" s="31" t="s">
        <v>58</v>
      </c>
      <c r="X9" s="31" t="s">
        <v>59</v>
      </c>
      <c r="Y9" s="31" t="s">
        <v>60</v>
      </c>
      <c r="Z9" s="30" t="s">
        <v>61</v>
      </c>
      <c r="AA9" s="30" t="s">
        <v>62</v>
      </c>
      <c r="AB9" s="30" t="s">
        <v>63</v>
      </c>
      <c r="AC9" s="30" t="s">
        <v>64</v>
      </c>
      <c r="AD9" s="30" t="s">
        <v>65</v>
      </c>
      <c r="AE9" s="30" t="s">
        <v>66</v>
      </c>
      <c r="AF9" s="30" t="s">
        <v>67</v>
      </c>
      <c r="AG9" s="30" t="s">
        <v>68</v>
      </c>
      <c r="AH9" s="30" t="s">
        <v>26</v>
      </c>
      <c r="AI9" s="30" t="s">
        <v>27</v>
      </c>
      <c r="AJ9" s="30" t="s">
        <v>28</v>
      </c>
      <c r="AK9" s="30" t="s">
        <v>29</v>
      </c>
      <c r="AL9" s="30" t="s">
        <v>69</v>
      </c>
      <c r="AM9" s="30" t="s">
        <v>30</v>
      </c>
      <c r="AN9" s="32" t="s">
        <v>70</v>
      </c>
      <c r="AO9" s="33" t="s">
        <v>71</v>
      </c>
      <c r="AP9" s="32" t="s">
        <v>72</v>
      </c>
      <c r="AQ9" s="32" t="s">
        <v>73</v>
      </c>
      <c r="AR9" s="32" t="s">
        <v>74</v>
      </c>
      <c r="AS9" s="32" t="s">
        <v>75</v>
      </c>
      <c r="AT9" s="32" t="s">
        <v>76</v>
      </c>
      <c r="AU9" s="32" t="s">
        <v>77</v>
      </c>
      <c r="AV9" s="32" t="s">
        <v>78</v>
      </c>
      <c r="AW9" s="32" t="s">
        <v>79</v>
      </c>
      <c r="AX9" s="32" t="s">
        <v>80</v>
      </c>
      <c r="AY9" s="32" t="s">
        <v>81</v>
      </c>
      <c r="AZ9" s="32" t="s">
        <v>82</v>
      </c>
      <c r="BA9" s="32" t="s">
        <v>83</v>
      </c>
      <c r="BB9" s="32" t="s">
        <v>84</v>
      </c>
      <c r="BC9" s="32" t="s">
        <v>85</v>
      </c>
      <c r="BD9" s="32" t="s">
        <v>86</v>
      </c>
      <c r="BE9" s="32" t="s">
        <v>44</v>
      </c>
      <c r="BW9" s="1"/>
      <c r="BX9" s="1"/>
      <c r="CC9" s="3"/>
      <c r="CD9" s="3"/>
    </row>
    <row r="10" spans="1:82" ht="17.399999999999999" customHeight="1" thickTop="1" thickBot="1">
      <c r="A10" s="34">
        <v>0</v>
      </c>
      <c r="B10" s="35">
        <f>B5</f>
        <v>0</v>
      </c>
      <c r="C10" s="36"/>
      <c r="D10" s="37"/>
      <c r="E10" s="36"/>
      <c r="F10" s="37"/>
      <c r="G10" s="38">
        <f>B4-D4</f>
        <v>0</v>
      </c>
      <c r="H10" s="39">
        <f>B3-D3</f>
        <v>0</v>
      </c>
      <c r="I10" s="36"/>
      <c r="J10" s="36"/>
      <c r="K10" s="36"/>
      <c r="L10" s="40"/>
      <c r="M10" s="40"/>
      <c r="N10" s="40"/>
      <c r="O10" s="41">
        <v>5.0000000000000001E-4</v>
      </c>
      <c r="P10" s="42"/>
      <c r="Q10" s="36"/>
      <c r="R10" s="36"/>
      <c r="S10" s="36"/>
      <c r="T10" s="36"/>
      <c r="U10" s="36"/>
      <c r="V10" s="43"/>
      <c r="W10" s="43"/>
      <c r="X10" s="44"/>
      <c r="Y10" s="45"/>
      <c r="Z10" s="45"/>
      <c r="AA10" s="45"/>
      <c r="AB10" s="45"/>
      <c r="AC10" s="45"/>
      <c r="AD10" s="45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  <c r="AP10" s="46"/>
      <c r="AQ10" s="44"/>
      <c r="AR10" s="46"/>
      <c r="AS10" s="46"/>
      <c r="AT10" s="46"/>
      <c r="AU10" s="46"/>
      <c r="AV10" s="46"/>
      <c r="AW10" s="46"/>
      <c r="AX10" s="44"/>
      <c r="AY10" s="46"/>
      <c r="AZ10" s="46"/>
      <c r="BA10" s="46"/>
      <c r="BB10" s="46"/>
      <c r="BC10" s="46"/>
      <c r="BD10" s="44"/>
      <c r="BE10" s="48"/>
      <c r="BW10" s="1"/>
      <c r="BX10" s="1"/>
      <c r="CC10" s="3"/>
      <c r="CD10" s="3"/>
    </row>
    <row r="11" spans="1:82" ht="17.399999999999999" customHeight="1" thickTop="1">
      <c r="A11" s="49">
        <f>A10+1.1</f>
        <v>1.1000000000000001</v>
      </c>
      <c r="B11" s="50">
        <f>B10+1</f>
        <v>1</v>
      </c>
      <c r="C11" s="51"/>
      <c r="D11" s="52"/>
      <c r="E11" s="53"/>
      <c r="F11" s="52"/>
      <c r="G11" s="54">
        <f>G10-E11-C11</f>
        <v>0</v>
      </c>
      <c r="H11" s="55">
        <f>H10-F11-D11</f>
        <v>0</v>
      </c>
      <c r="I11" s="56">
        <f>IFERROR(C11/G10,0)</f>
        <v>0</v>
      </c>
      <c r="J11" s="57">
        <f>IFERROR(E11/G10,0)</f>
        <v>0</v>
      </c>
      <c r="K11" s="57">
        <f>IFERROR(D11/H10,0)</f>
        <v>0</v>
      </c>
      <c r="L11" s="57">
        <f>IFERROR(F11/H10,0)</f>
        <v>0</v>
      </c>
      <c r="M11" s="58" t="str">
        <f ca="1">IF(ROW()=11,
   IF($B$4&gt;0,E11/$B$4,""),
   IF($B$4&gt;0,
      (OFFSET(M11,-1,0)*$B$4 + E11)/$B$4,
      "")
)</f>
        <v/>
      </c>
      <c r="N11" s="58" t="str">
        <f t="shared" ref="N11:N74" ca="1" si="0">IF(ROW()=11,
   IF($B$4&gt;0,F11/$B$4,""),
   IF($B$4&gt;0,
      (OFFSET(N11,-1,0)*$B$4 + F11)/$B$4,
      "")
)</f>
        <v/>
      </c>
      <c r="O11" s="58">
        <f>$O$10</f>
        <v>5.0000000000000001E-4</v>
      </c>
      <c r="P11" s="59"/>
      <c r="Q11" s="60"/>
      <c r="R11" s="59"/>
      <c r="S11" s="61">
        <f t="shared" ref="S11:T74" si="1">IF($P11="FULL FEED",Q11,Q11*2)</f>
        <v>0</v>
      </c>
      <c r="T11" s="61">
        <f t="shared" si="1"/>
        <v>0</v>
      </c>
      <c r="U11" s="62">
        <f>IF(P11="FULL FEED",(Q11*G11/1000),(Q11*2*G11/1000))</f>
        <v>0</v>
      </c>
      <c r="V11" s="63">
        <f>IF(P11="FULL FEED",(R11*H11/1000),(R11*2*H11/1000))</f>
        <v>0</v>
      </c>
      <c r="W11" s="64"/>
      <c r="X11" s="65"/>
      <c r="Y11" s="53"/>
      <c r="Z11" s="51"/>
      <c r="AA11" s="53"/>
      <c r="AB11" s="53"/>
      <c r="AC11" s="53"/>
      <c r="AD11" s="53"/>
      <c r="AE11" s="66">
        <f t="shared" ref="AE11:AE74" si="2">SUM(Z11,AA11,AB11,AC11)</f>
        <v>0</v>
      </c>
      <c r="AF11" s="61">
        <f t="shared" ref="AF11:AF74" si="3">Y11-AE11</f>
        <v>0</v>
      </c>
      <c r="AG11" s="56">
        <f t="shared" ref="AG11:AG74" si="4">IFERROR(Y11/H10,0)</f>
        <v>0</v>
      </c>
      <c r="AH11" s="67">
        <f t="shared" ref="AH11:AK42" si="5">IFERROR(Z11/$Y11,0)</f>
        <v>0</v>
      </c>
      <c r="AI11" s="68">
        <f t="shared" si="5"/>
        <v>0</v>
      </c>
      <c r="AJ11" s="68">
        <f t="shared" si="5"/>
        <v>0</v>
      </c>
      <c r="AK11" s="57">
        <f t="shared" si="5"/>
        <v>0</v>
      </c>
      <c r="AL11" s="67">
        <f t="shared" ref="AL11:AL74" si="6">IFERROR(AE11/Y11,0)</f>
        <v>0</v>
      </c>
      <c r="AM11" s="57">
        <f t="shared" ref="AM11:AM74" si="7">IFERROR(AF11/Y11,0)</f>
        <v>0</v>
      </c>
      <c r="AN11" s="52"/>
      <c r="AO11" s="69"/>
      <c r="AP11" s="52"/>
      <c r="AQ11" s="70"/>
      <c r="AR11" s="52"/>
      <c r="AS11" s="52"/>
      <c r="AT11" s="52"/>
      <c r="AU11" s="61" t="str">
        <f>IF(OR(AT11="",AR11=""),"", (AT11-AR11)/100*1000)</f>
        <v/>
      </c>
      <c r="AV11" s="61" t="str">
        <f ca="1">IF(OR(AR12="",OFFSET(AR12,-1,0)=""),"", (AR12-OFFSET(AR12,-1,0))/100*1000)</f>
        <v/>
      </c>
      <c r="AW11" s="61" t="str">
        <f t="shared" ref="AW11:AW74" si="8">IFERROR(IF(OR(AR11="",AT11="",K11="",L11=""),"", ((AT11-AR11)/100*1000)/(U11+V11)),0)</f>
        <v/>
      </c>
      <c r="AX11" s="61" t="str">
        <f t="shared" ref="AX11:AX74" ca="1" si="9">IF(OR(AR11="",AR12="",M11="",N11=""),"", ((AR12-AR11)/100*1000)/((G11+H11))*1000)</f>
        <v/>
      </c>
      <c r="AY11" s="71"/>
      <c r="AZ11" s="71"/>
      <c r="BA11" s="61" t="str">
        <f>IF(OR(AY11="",AZ11=""),"",MOD(AZ11-AY11,1)*24)</f>
        <v/>
      </c>
      <c r="BB11" s="71"/>
      <c r="BC11" s="71"/>
      <c r="BD11" s="61" t="str">
        <f>IF(OR(BB11="",BC11=""),"",MOD(BC11-BB11,1)*24)</f>
        <v/>
      </c>
      <c r="BE11" s="52"/>
      <c r="BW11" s="1"/>
      <c r="BX11" s="1"/>
      <c r="CC11" s="3"/>
      <c r="CD11" s="3"/>
    </row>
    <row r="12" spans="1:82" ht="17.399999999999999" customHeight="1">
      <c r="A12" s="72">
        <f t="shared" ref="A12:A17" si="10">A11+0.1</f>
        <v>1.2000000000000002</v>
      </c>
      <c r="B12" s="73">
        <f t="shared" ref="B12:B73" si="11">B11+1</f>
        <v>2</v>
      </c>
      <c r="C12" s="60"/>
      <c r="D12" s="74"/>
      <c r="E12" s="75"/>
      <c r="F12" s="74"/>
      <c r="G12" s="54">
        <f t="shared" ref="G12:H27" si="12">G11-E12-C12</f>
        <v>0</v>
      </c>
      <c r="H12" s="55">
        <f t="shared" si="12"/>
        <v>0</v>
      </c>
      <c r="I12" s="76">
        <f t="shared" ref="I12:I75" si="13">IFERROR(C12/G11,0)</f>
        <v>0</v>
      </c>
      <c r="J12" s="58">
        <f t="shared" ref="J12:J75" si="14">IFERROR(E12/G11,0)</f>
        <v>0</v>
      </c>
      <c r="K12" s="58">
        <f t="shared" ref="K12:K75" si="15">IFERROR(D12/H11,0)</f>
        <v>0</v>
      </c>
      <c r="L12" s="58">
        <f t="shared" ref="L12:L75" si="16">IFERROR(F12/H11,0)</f>
        <v>0</v>
      </c>
      <c r="M12" s="58" t="str">
        <f t="shared" ref="M12:N75" ca="1" si="17">IF(ROW()=11,
   IF($B$4&gt;0,E12/$B$4,""),
   IF($B$4&gt;0,
      (OFFSET(M12,-1,0)*$B$4 + E12)/$B$4,
      "")
)</f>
        <v/>
      </c>
      <c r="N12" s="58" t="str">
        <f t="shared" ca="1" si="0"/>
        <v/>
      </c>
      <c r="O12" s="58">
        <f t="shared" ref="O12:O75" si="18">$O$10</f>
        <v>5.0000000000000001E-4</v>
      </c>
      <c r="P12" s="77"/>
      <c r="Q12" s="60"/>
      <c r="R12" s="77"/>
      <c r="S12" s="78">
        <f t="shared" si="1"/>
        <v>0</v>
      </c>
      <c r="T12" s="55">
        <f t="shared" si="1"/>
        <v>0</v>
      </c>
      <c r="U12" s="79">
        <f>IF(P12="FULL FEED",(Q12*G12/1000),(Q12*2*G12/1000))</f>
        <v>0</v>
      </c>
      <c r="V12" s="63">
        <f>IF(P12="FULL FEED",(R12*H12/1000),(R12*2*H12/1000))</f>
        <v>0</v>
      </c>
      <c r="W12" s="64"/>
      <c r="X12" s="80"/>
      <c r="Y12" s="75"/>
      <c r="Z12" s="60"/>
      <c r="AA12" s="75"/>
      <c r="AB12" s="75"/>
      <c r="AC12" s="75"/>
      <c r="AD12" s="75"/>
      <c r="AE12" s="81">
        <f t="shared" si="2"/>
        <v>0</v>
      </c>
      <c r="AF12" s="55">
        <f t="shared" si="3"/>
        <v>0</v>
      </c>
      <c r="AG12" s="76">
        <f t="shared" si="4"/>
        <v>0</v>
      </c>
      <c r="AH12" s="82">
        <f t="shared" si="5"/>
        <v>0</v>
      </c>
      <c r="AI12" s="83">
        <f t="shared" si="5"/>
        <v>0</v>
      </c>
      <c r="AJ12" s="83">
        <f t="shared" si="5"/>
        <v>0</v>
      </c>
      <c r="AK12" s="58">
        <f t="shared" si="5"/>
        <v>0</v>
      </c>
      <c r="AL12" s="82">
        <f t="shared" si="6"/>
        <v>0</v>
      </c>
      <c r="AM12" s="58">
        <f t="shared" si="7"/>
        <v>0</v>
      </c>
      <c r="AN12" s="74"/>
      <c r="AO12" s="84"/>
      <c r="AP12" s="74"/>
      <c r="AQ12" s="85"/>
      <c r="AR12" s="74"/>
      <c r="AS12" s="74"/>
      <c r="AT12" s="74"/>
      <c r="AU12" s="55" t="str">
        <f t="shared" ref="AU12:AU75" si="19">IF(OR(AT12="",AR12=""),"", (AT12-AR12)/100*1000)</f>
        <v/>
      </c>
      <c r="AV12" s="55" t="str">
        <f t="shared" ref="AV12:AV75" ca="1" si="20">IF(OR(AR13="",OFFSET(AR13,-1,0)=""),"", (AR13-OFFSET(AR13,-1,0))/100*1000)</f>
        <v/>
      </c>
      <c r="AW12" s="55" t="str">
        <f t="shared" si="8"/>
        <v/>
      </c>
      <c r="AX12" s="55" t="str">
        <f t="shared" ca="1" si="9"/>
        <v/>
      </c>
      <c r="AY12" s="86"/>
      <c r="AZ12" s="86"/>
      <c r="BA12" s="55" t="str">
        <f t="shared" ref="BA12:BA75" si="21">IF(OR(AY12="",AZ12=""),"",MOD(AZ12-AY12,1)*24)</f>
        <v/>
      </c>
      <c r="BB12" s="86"/>
      <c r="BC12" s="86"/>
      <c r="BD12" s="55" t="str">
        <f t="shared" ref="BD12:BD75" si="22">IF(OR(BB12="",BC12=""),"",MOD(BC12-BB12,1)*24)</f>
        <v/>
      </c>
      <c r="BE12" s="74"/>
      <c r="BW12" s="1"/>
      <c r="BX12" s="1"/>
      <c r="CC12" s="3"/>
      <c r="CD12" s="3"/>
    </row>
    <row r="13" spans="1:82" ht="17.399999999999999" customHeight="1">
      <c r="A13" s="87">
        <f t="shared" si="10"/>
        <v>1.3000000000000003</v>
      </c>
      <c r="B13" s="73">
        <f t="shared" si="11"/>
        <v>3</v>
      </c>
      <c r="C13" s="60"/>
      <c r="D13" s="74"/>
      <c r="E13" s="75"/>
      <c r="F13" s="74"/>
      <c r="G13" s="54">
        <f t="shared" si="12"/>
        <v>0</v>
      </c>
      <c r="H13" s="55">
        <f t="shared" si="12"/>
        <v>0</v>
      </c>
      <c r="I13" s="76">
        <f t="shared" si="13"/>
        <v>0</v>
      </c>
      <c r="J13" s="58">
        <f t="shared" si="14"/>
        <v>0</v>
      </c>
      <c r="K13" s="58">
        <f t="shared" si="15"/>
        <v>0</v>
      </c>
      <c r="L13" s="58">
        <f t="shared" si="16"/>
        <v>0</v>
      </c>
      <c r="M13" s="58" t="str">
        <f t="shared" ca="1" si="17"/>
        <v/>
      </c>
      <c r="N13" s="58" t="str">
        <f t="shared" ca="1" si="0"/>
        <v/>
      </c>
      <c r="O13" s="58">
        <f t="shared" si="18"/>
        <v>5.0000000000000001E-4</v>
      </c>
      <c r="P13" s="77"/>
      <c r="Q13" s="60"/>
      <c r="R13" s="77"/>
      <c r="S13" s="78">
        <f t="shared" si="1"/>
        <v>0</v>
      </c>
      <c r="T13" s="55">
        <f t="shared" si="1"/>
        <v>0</v>
      </c>
      <c r="U13" s="79">
        <f t="shared" ref="U13:U16" si="23">IF(P13="FULL FEED",(Q13*G13/1000),(Q13*2*G13/1000))</f>
        <v>0</v>
      </c>
      <c r="V13" s="63">
        <f t="shared" ref="V13:V16" si="24">IF(P13="FULL FEED",(R13*H13/1000),(R13*2*H13/1000))</f>
        <v>0</v>
      </c>
      <c r="W13" s="64"/>
      <c r="X13" s="80"/>
      <c r="Y13" s="75"/>
      <c r="Z13" s="60"/>
      <c r="AA13" s="75"/>
      <c r="AB13" s="75"/>
      <c r="AC13" s="75"/>
      <c r="AD13" s="75"/>
      <c r="AE13" s="81">
        <f t="shared" si="2"/>
        <v>0</v>
      </c>
      <c r="AF13" s="55">
        <f t="shared" si="3"/>
        <v>0</v>
      </c>
      <c r="AG13" s="76">
        <f t="shared" si="4"/>
        <v>0</v>
      </c>
      <c r="AH13" s="82">
        <f t="shared" si="5"/>
        <v>0</v>
      </c>
      <c r="AI13" s="83">
        <f t="shared" si="5"/>
        <v>0</v>
      </c>
      <c r="AJ13" s="83">
        <f t="shared" si="5"/>
        <v>0</v>
      </c>
      <c r="AK13" s="58">
        <f t="shared" si="5"/>
        <v>0</v>
      </c>
      <c r="AL13" s="82">
        <f t="shared" si="6"/>
        <v>0</v>
      </c>
      <c r="AM13" s="58">
        <f t="shared" si="7"/>
        <v>0</v>
      </c>
      <c r="AN13" s="74"/>
      <c r="AO13" s="84"/>
      <c r="AP13" s="74"/>
      <c r="AQ13" s="85"/>
      <c r="AR13" s="74"/>
      <c r="AS13" s="74"/>
      <c r="AT13" s="74"/>
      <c r="AU13" s="55" t="str">
        <f t="shared" si="19"/>
        <v/>
      </c>
      <c r="AV13" s="55" t="str">
        <f t="shared" ca="1" si="20"/>
        <v/>
      </c>
      <c r="AW13" s="55" t="str">
        <f t="shared" si="8"/>
        <v/>
      </c>
      <c r="AX13" s="55" t="str">
        <f t="shared" ca="1" si="9"/>
        <v/>
      </c>
      <c r="AY13" s="86"/>
      <c r="AZ13" s="86"/>
      <c r="BA13" s="55" t="str">
        <f t="shared" si="21"/>
        <v/>
      </c>
      <c r="BB13" s="86"/>
      <c r="BC13" s="86"/>
      <c r="BD13" s="55" t="str">
        <f t="shared" si="22"/>
        <v/>
      </c>
      <c r="BE13" s="74"/>
      <c r="BW13" s="1"/>
      <c r="BX13" s="1"/>
      <c r="CC13" s="3"/>
      <c r="CD13" s="3"/>
    </row>
    <row r="14" spans="1:82" ht="17.399999999999999" customHeight="1">
      <c r="A14" s="72">
        <f t="shared" si="10"/>
        <v>1.4000000000000004</v>
      </c>
      <c r="B14" s="73">
        <f t="shared" si="11"/>
        <v>4</v>
      </c>
      <c r="C14" s="60"/>
      <c r="D14" s="74"/>
      <c r="E14" s="75"/>
      <c r="F14" s="74"/>
      <c r="G14" s="54">
        <f t="shared" si="12"/>
        <v>0</v>
      </c>
      <c r="H14" s="55">
        <f t="shared" si="12"/>
        <v>0</v>
      </c>
      <c r="I14" s="76">
        <f t="shared" si="13"/>
        <v>0</v>
      </c>
      <c r="J14" s="58">
        <f t="shared" si="14"/>
        <v>0</v>
      </c>
      <c r="K14" s="58">
        <f t="shared" si="15"/>
        <v>0</v>
      </c>
      <c r="L14" s="58">
        <f t="shared" si="16"/>
        <v>0</v>
      </c>
      <c r="M14" s="58" t="str">
        <f t="shared" ca="1" si="17"/>
        <v/>
      </c>
      <c r="N14" s="58" t="str">
        <f t="shared" ca="1" si="0"/>
        <v/>
      </c>
      <c r="O14" s="58">
        <f t="shared" si="18"/>
        <v>5.0000000000000001E-4</v>
      </c>
      <c r="P14" s="77"/>
      <c r="Q14" s="60"/>
      <c r="R14" s="77"/>
      <c r="S14" s="78">
        <f t="shared" si="1"/>
        <v>0</v>
      </c>
      <c r="T14" s="55">
        <f t="shared" si="1"/>
        <v>0</v>
      </c>
      <c r="U14" s="79">
        <f t="shared" si="23"/>
        <v>0</v>
      </c>
      <c r="V14" s="63">
        <f t="shared" si="24"/>
        <v>0</v>
      </c>
      <c r="W14" s="64"/>
      <c r="X14" s="80"/>
      <c r="Y14" s="75"/>
      <c r="Z14" s="60"/>
      <c r="AA14" s="75"/>
      <c r="AB14" s="75"/>
      <c r="AC14" s="75"/>
      <c r="AD14" s="75"/>
      <c r="AE14" s="81">
        <f t="shared" si="2"/>
        <v>0</v>
      </c>
      <c r="AF14" s="55">
        <f t="shared" si="3"/>
        <v>0</v>
      </c>
      <c r="AG14" s="76">
        <f t="shared" si="4"/>
        <v>0</v>
      </c>
      <c r="AH14" s="82">
        <f t="shared" si="5"/>
        <v>0</v>
      </c>
      <c r="AI14" s="83">
        <f t="shared" si="5"/>
        <v>0</v>
      </c>
      <c r="AJ14" s="83">
        <f t="shared" si="5"/>
        <v>0</v>
      </c>
      <c r="AK14" s="58">
        <f t="shared" si="5"/>
        <v>0</v>
      </c>
      <c r="AL14" s="82">
        <f t="shared" si="6"/>
        <v>0</v>
      </c>
      <c r="AM14" s="58">
        <f t="shared" si="7"/>
        <v>0</v>
      </c>
      <c r="AN14" s="74"/>
      <c r="AO14" s="84"/>
      <c r="AP14" s="74"/>
      <c r="AQ14" s="85"/>
      <c r="AR14" s="74"/>
      <c r="AS14" s="74"/>
      <c r="AT14" s="74"/>
      <c r="AU14" s="55" t="str">
        <f t="shared" si="19"/>
        <v/>
      </c>
      <c r="AV14" s="55" t="str">
        <f t="shared" ca="1" si="20"/>
        <v/>
      </c>
      <c r="AW14" s="55" t="str">
        <f t="shared" si="8"/>
        <v/>
      </c>
      <c r="AX14" s="55" t="str">
        <f t="shared" ca="1" si="9"/>
        <v/>
      </c>
      <c r="AY14" s="86"/>
      <c r="AZ14" s="86"/>
      <c r="BA14" s="55" t="str">
        <f t="shared" si="21"/>
        <v/>
      </c>
      <c r="BB14" s="86"/>
      <c r="BC14" s="86"/>
      <c r="BD14" s="55" t="str">
        <f t="shared" si="22"/>
        <v/>
      </c>
      <c r="BE14" s="74"/>
      <c r="BW14" s="1"/>
      <c r="BX14" s="1"/>
      <c r="CC14" s="3"/>
      <c r="CD14" s="3"/>
    </row>
    <row r="15" spans="1:82" ht="17.399999999999999" customHeight="1">
      <c r="A15" s="87">
        <f t="shared" si="10"/>
        <v>1.5000000000000004</v>
      </c>
      <c r="B15" s="73">
        <f t="shared" si="11"/>
        <v>5</v>
      </c>
      <c r="C15" s="60"/>
      <c r="D15" s="74"/>
      <c r="E15" s="75"/>
      <c r="F15" s="74"/>
      <c r="G15" s="54">
        <f t="shared" si="12"/>
        <v>0</v>
      </c>
      <c r="H15" s="55">
        <f t="shared" si="12"/>
        <v>0</v>
      </c>
      <c r="I15" s="76">
        <f t="shared" si="13"/>
        <v>0</v>
      </c>
      <c r="J15" s="58">
        <f t="shared" si="14"/>
        <v>0</v>
      </c>
      <c r="K15" s="58">
        <f t="shared" si="15"/>
        <v>0</v>
      </c>
      <c r="L15" s="58">
        <f t="shared" si="16"/>
        <v>0</v>
      </c>
      <c r="M15" s="58" t="str">
        <f t="shared" ca="1" si="17"/>
        <v/>
      </c>
      <c r="N15" s="58" t="str">
        <f t="shared" ca="1" si="0"/>
        <v/>
      </c>
      <c r="O15" s="58">
        <f t="shared" si="18"/>
        <v>5.0000000000000001E-4</v>
      </c>
      <c r="P15" s="77"/>
      <c r="Q15" s="60"/>
      <c r="R15" s="77"/>
      <c r="S15" s="78">
        <f t="shared" si="1"/>
        <v>0</v>
      </c>
      <c r="T15" s="55">
        <f t="shared" si="1"/>
        <v>0</v>
      </c>
      <c r="U15" s="79">
        <f t="shared" si="23"/>
        <v>0</v>
      </c>
      <c r="V15" s="63">
        <f t="shared" si="24"/>
        <v>0</v>
      </c>
      <c r="W15" s="64"/>
      <c r="X15" s="80"/>
      <c r="Y15" s="75"/>
      <c r="Z15" s="60"/>
      <c r="AA15" s="75"/>
      <c r="AB15" s="75"/>
      <c r="AC15" s="75"/>
      <c r="AD15" s="75"/>
      <c r="AE15" s="81">
        <f t="shared" si="2"/>
        <v>0</v>
      </c>
      <c r="AF15" s="55">
        <f t="shared" si="3"/>
        <v>0</v>
      </c>
      <c r="AG15" s="76">
        <f t="shared" si="4"/>
        <v>0</v>
      </c>
      <c r="AH15" s="82">
        <f t="shared" si="5"/>
        <v>0</v>
      </c>
      <c r="AI15" s="83">
        <f t="shared" si="5"/>
        <v>0</v>
      </c>
      <c r="AJ15" s="83">
        <f t="shared" si="5"/>
        <v>0</v>
      </c>
      <c r="AK15" s="58">
        <f t="shared" si="5"/>
        <v>0</v>
      </c>
      <c r="AL15" s="82">
        <f t="shared" si="6"/>
        <v>0</v>
      </c>
      <c r="AM15" s="58">
        <f t="shared" si="7"/>
        <v>0</v>
      </c>
      <c r="AN15" s="74"/>
      <c r="AO15" s="84"/>
      <c r="AP15" s="74"/>
      <c r="AQ15" s="85"/>
      <c r="AR15" s="74"/>
      <c r="AS15" s="74"/>
      <c r="AT15" s="74"/>
      <c r="AU15" s="55" t="str">
        <f t="shared" si="19"/>
        <v/>
      </c>
      <c r="AV15" s="55" t="str">
        <f t="shared" ca="1" si="20"/>
        <v/>
      </c>
      <c r="AW15" s="55" t="str">
        <f t="shared" si="8"/>
        <v/>
      </c>
      <c r="AX15" s="55" t="str">
        <f t="shared" ca="1" si="9"/>
        <v/>
      </c>
      <c r="AY15" s="86"/>
      <c r="AZ15" s="86"/>
      <c r="BA15" s="55" t="str">
        <f t="shared" si="21"/>
        <v/>
      </c>
      <c r="BB15" s="86"/>
      <c r="BC15" s="86"/>
      <c r="BD15" s="55" t="str">
        <f t="shared" si="22"/>
        <v/>
      </c>
      <c r="BE15" s="74"/>
      <c r="BW15" s="1"/>
      <c r="BX15" s="1"/>
      <c r="CC15" s="3"/>
      <c r="CD15" s="3"/>
    </row>
    <row r="16" spans="1:82" ht="17.399999999999999" customHeight="1">
      <c r="A16" s="72">
        <f t="shared" si="10"/>
        <v>1.6000000000000005</v>
      </c>
      <c r="B16" s="73">
        <f t="shared" si="11"/>
        <v>6</v>
      </c>
      <c r="C16" s="60"/>
      <c r="D16" s="74"/>
      <c r="E16" s="75"/>
      <c r="F16" s="74"/>
      <c r="G16" s="54">
        <f t="shared" si="12"/>
        <v>0</v>
      </c>
      <c r="H16" s="55">
        <f t="shared" si="12"/>
        <v>0</v>
      </c>
      <c r="I16" s="76">
        <f t="shared" si="13"/>
        <v>0</v>
      </c>
      <c r="J16" s="58">
        <f t="shared" si="14"/>
        <v>0</v>
      </c>
      <c r="K16" s="58">
        <f t="shared" si="15"/>
        <v>0</v>
      </c>
      <c r="L16" s="58">
        <f t="shared" si="16"/>
        <v>0</v>
      </c>
      <c r="M16" s="58" t="str">
        <f t="shared" ca="1" si="17"/>
        <v/>
      </c>
      <c r="N16" s="58" t="str">
        <f t="shared" ca="1" si="0"/>
        <v/>
      </c>
      <c r="O16" s="58">
        <f t="shared" si="18"/>
        <v>5.0000000000000001E-4</v>
      </c>
      <c r="P16" s="77"/>
      <c r="Q16" s="60"/>
      <c r="R16" s="77"/>
      <c r="S16" s="78">
        <f t="shared" si="1"/>
        <v>0</v>
      </c>
      <c r="T16" s="55">
        <f t="shared" si="1"/>
        <v>0</v>
      </c>
      <c r="U16" s="79">
        <f t="shared" si="23"/>
        <v>0</v>
      </c>
      <c r="V16" s="63">
        <f t="shared" si="24"/>
        <v>0</v>
      </c>
      <c r="W16" s="64"/>
      <c r="X16" s="80"/>
      <c r="Y16" s="75"/>
      <c r="Z16" s="60"/>
      <c r="AA16" s="75"/>
      <c r="AB16" s="75"/>
      <c r="AC16" s="75"/>
      <c r="AD16" s="75"/>
      <c r="AE16" s="81">
        <f t="shared" si="2"/>
        <v>0</v>
      </c>
      <c r="AF16" s="55">
        <f t="shared" si="3"/>
        <v>0</v>
      </c>
      <c r="AG16" s="76">
        <f t="shared" si="4"/>
        <v>0</v>
      </c>
      <c r="AH16" s="82">
        <f t="shared" si="5"/>
        <v>0</v>
      </c>
      <c r="AI16" s="83">
        <f t="shared" si="5"/>
        <v>0</v>
      </c>
      <c r="AJ16" s="83">
        <f t="shared" si="5"/>
        <v>0</v>
      </c>
      <c r="AK16" s="58">
        <f t="shared" si="5"/>
        <v>0</v>
      </c>
      <c r="AL16" s="82">
        <f t="shared" si="6"/>
        <v>0</v>
      </c>
      <c r="AM16" s="58">
        <f t="shared" si="7"/>
        <v>0</v>
      </c>
      <c r="AN16" s="74"/>
      <c r="AO16" s="84"/>
      <c r="AP16" s="74"/>
      <c r="AQ16" s="85"/>
      <c r="AR16" s="74"/>
      <c r="AS16" s="74"/>
      <c r="AT16" s="74"/>
      <c r="AU16" s="55" t="str">
        <f t="shared" si="19"/>
        <v/>
      </c>
      <c r="AV16" s="55" t="str">
        <f t="shared" ca="1" si="20"/>
        <v/>
      </c>
      <c r="AW16" s="55" t="str">
        <f t="shared" si="8"/>
        <v/>
      </c>
      <c r="AX16" s="55" t="str">
        <f t="shared" ca="1" si="9"/>
        <v/>
      </c>
      <c r="AY16" s="86"/>
      <c r="AZ16" s="86"/>
      <c r="BA16" s="55" t="str">
        <f t="shared" si="21"/>
        <v/>
      </c>
      <c r="BB16" s="86"/>
      <c r="BC16" s="86"/>
      <c r="BD16" s="55" t="str">
        <f t="shared" si="22"/>
        <v/>
      </c>
      <c r="BE16" s="74"/>
      <c r="BW16" s="1"/>
      <c r="BX16" s="1"/>
      <c r="CC16" s="3"/>
      <c r="CD16" s="3"/>
    </row>
    <row r="17" spans="1:82" ht="17.399999999999999" customHeight="1" thickBot="1">
      <c r="A17" s="87">
        <f t="shared" si="10"/>
        <v>1.7000000000000006</v>
      </c>
      <c r="B17" s="88">
        <f t="shared" si="11"/>
        <v>7</v>
      </c>
      <c r="C17" s="89"/>
      <c r="D17" s="90"/>
      <c r="E17" s="91"/>
      <c r="F17" s="90"/>
      <c r="G17" s="92">
        <f t="shared" si="12"/>
        <v>0</v>
      </c>
      <c r="H17" s="93">
        <f t="shared" si="12"/>
        <v>0</v>
      </c>
      <c r="I17" s="94">
        <f t="shared" si="13"/>
        <v>0</v>
      </c>
      <c r="J17" s="95">
        <f t="shared" si="14"/>
        <v>0</v>
      </c>
      <c r="K17" s="95">
        <f t="shared" si="15"/>
        <v>0</v>
      </c>
      <c r="L17" s="95">
        <f t="shared" si="16"/>
        <v>0</v>
      </c>
      <c r="M17" s="95" t="str">
        <f t="shared" ca="1" si="17"/>
        <v/>
      </c>
      <c r="N17" s="95" t="str">
        <f t="shared" ca="1" si="0"/>
        <v/>
      </c>
      <c r="O17" s="95">
        <f t="shared" si="18"/>
        <v>5.0000000000000001E-4</v>
      </c>
      <c r="P17" s="96"/>
      <c r="Q17" s="89"/>
      <c r="R17" s="96"/>
      <c r="S17" s="78">
        <f t="shared" si="1"/>
        <v>0</v>
      </c>
      <c r="T17" s="55">
        <f t="shared" si="1"/>
        <v>0</v>
      </c>
      <c r="U17" s="97">
        <f>IF(P17="FULL FEED",(Q17*G17/1000),(Q17*2*G17/1000))</f>
        <v>0</v>
      </c>
      <c r="V17" s="98">
        <f>IF(P17="FULL FEED",(R17*H17/1000),(R17*2*H17/1000))</f>
        <v>0</v>
      </c>
      <c r="W17" s="99"/>
      <c r="X17" s="100"/>
      <c r="Y17" s="91"/>
      <c r="Z17" s="89"/>
      <c r="AA17" s="75"/>
      <c r="AB17" s="75"/>
      <c r="AC17" s="75"/>
      <c r="AD17" s="75"/>
      <c r="AE17" s="101">
        <f t="shared" si="2"/>
        <v>0</v>
      </c>
      <c r="AF17" s="93">
        <f t="shared" si="3"/>
        <v>0</v>
      </c>
      <c r="AG17" s="94">
        <f t="shared" si="4"/>
        <v>0</v>
      </c>
      <c r="AH17" s="102">
        <f t="shared" si="5"/>
        <v>0</v>
      </c>
      <c r="AI17" s="103">
        <f t="shared" si="5"/>
        <v>0</v>
      </c>
      <c r="AJ17" s="103">
        <f t="shared" si="5"/>
        <v>0</v>
      </c>
      <c r="AK17" s="95">
        <f t="shared" si="5"/>
        <v>0</v>
      </c>
      <c r="AL17" s="102">
        <f t="shared" si="6"/>
        <v>0</v>
      </c>
      <c r="AM17" s="95">
        <f t="shared" si="7"/>
        <v>0</v>
      </c>
      <c r="AN17" s="90"/>
      <c r="AO17" s="104"/>
      <c r="AP17" s="90"/>
      <c r="AQ17" s="105"/>
      <c r="AR17" s="90"/>
      <c r="AS17" s="90"/>
      <c r="AT17" s="90"/>
      <c r="AU17" s="93" t="str">
        <f t="shared" si="19"/>
        <v/>
      </c>
      <c r="AV17" s="93" t="str">
        <f t="shared" ca="1" si="20"/>
        <v/>
      </c>
      <c r="AW17" s="93" t="str">
        <f t="shared" si="8"/>
        <v/>
      </c>
      <c r="AX17" s="93" t="str">
        <f t="shared" ca="1" si="9"/>
        <v/>
      </c>
      <c r="AY17" s="106"/>
      <c r="AZ17" s="106"/>
      <c r="BA17" s="93" t="str">
        <f t="shared" si="21"/>
        <v/>
      </c>
      <c r="BB17" s="106"/>
      <c r="BC17" s="106"/>
      <c r="BD17" s="93" t="str">
        <f t="shared" si="22"/>
        <v/>
      </c>
      <c r="BE17" s="90"/>
      <c r="BW17" s="1"/>
      <c r="BX17" s="1"/>
      <c r="CC17" s="3"/>
      <c r="CD17" s="3"/>
    </row>
    <row r="18" spans="1:82" ht="17.399999999999999" customHeight="1" thickTop="1">
      <c r="A18" s="107">
        <f>A11+1</f>
        <v>2.1</v>
      </c>
      <c r="B18" s="108">
        <f>B17+1</f>
        <v>8</v>
      </c>
      <c r="C18" s="51"/>
      <c r="D18" s="52"/>
      <c r="E18" s="53"/>
      <c r="F18" s="52"/>
      <c r="G18" s="54">
        <f t="shared" si="12"/>
        <v>0</v>
      </c>
      <c r="H18" s="55">
        <f t="shared" si="12"/>
        <v>0</v>
      </c>
      <c r="I18" s="56">
        <f t="shared" si="13"/>
        <v>0</v>
      </c>
      <c r="J18" s="57">
        <f t="shared" si="14"/>
        <v>0</v>
      </c>
      <c r="K18" s="57">
        <f t="shared" si="15"/>
        <v>0</v>
      </c>
      <c r="L18" s="57">
        <f t="shared" si="16"/>
        <v>0</v>
      </c>
      <c r="M18" s="58" t="str">
        <f t="shared" ca="1" si="17"/>
        <v/>
      </c>
      <c r="N18" s="58" t="str">
        <f t="shared" ca="1" si="0"/>
        <v/>
      </c>
      <c r="O18" s="58">
        <f t="shared" si="18"/>
        <v>5.0000000000000001E-4</v>
      </c>
      <c r="P18" s="59"/>
      <c r="Q18" s="60"/>
      <c r="R18" s="77"/>
      <c r="S18" s="109">
        <f t="shared" si="1"/>
        <v>0</v>
      </c>
      <c r="T18" s="61">
        <f t="shared" si="1"/>
        <v>0</v>
      </c>
      <c r="U18" s="62">
        <f t="shared" ref="U18:U81" si="25">IF(P18="FULL FEED",(Q18*G18/1000),(Q18*2*G18/1000))</f>
        <v>0</v>
      </c>
      <c r="V18" s="63">
        <f t="shared" ref="V18:V81" si="26">IF(P18="FULL FEED",(R18*H18/1000),(R18*2*H18/1000))</f>
        <v>0</v>
      </c>
      <c r="W18" s="64">
        <v>33</v>
      </c>
      <c r="X18" s="80">
        <v>20</v>
      </c>
      <c r="Y18" s="53"/>
      <c r="Z18" s="51"/>
      <c r="AA18" s="110"/>
      <c r="AB18" s="110"/>
      <c r="AC18" s="110"/>
      <c r="AD18" s="53"/>
      <c r="AE18" s="66">
        <f t="shared" si="2"/>
        <v>0</v>
      </c>
      <c r="AF18" s="61">
        <f t="shared" si="3"/>
        <v>0</v>
      </c>
      <c r="AG18" s="56">
        <f t="shared" si="4"/>
        <v>0</v>
      </c>
      <c r="AH18" s="67">
        <f t="shared" si="5"/>
        <v>0</v>
      </c>
      <c r="AI18" s="68">
        <f t="shared" si="5"/>
        <v>0</v>
      </c>
      <c r="AJ18" s="68">
        <f t="shared" si="5"/>
        <v>0</v>
      </c>
      <c r="AK18" s="57">
        <f t="shared" si="5"/>
        <v>0</v>
      </c>
      <c r="AL18" s="67">
        <f t="shared" si="6"/>
        <v>0</v>
      </c>
      <c r="AM18" s="57">
        <f t="shared" si="7"/>
        <v>0</v>
      </c>
      <c r="AN18" s="52"/>
      <c r="AO18" s="69"/>
      <c r="AP18" s="52"/>
      <c r="AQ18" s="70"/>
      <c r="AR18" s="52"/>
      <c r="AS18" s="52"/>
      <c r="AT18" s="52"/>
      <c r="AU18" s="61" t="str">
        <f t="shared" si="19"/>
        <v/>
      </c>
      <c r="AV18" s="61" t="str">
        <f t="shared" ca="1" si="20"/>
        <v/>
      </c>
      <c r="AW18" s="61" t="str">
        <f t="shared" si="8"/>
        <v/>
      </c>
      <c r="AX18" s="61" t="str">
        <f t="shared" ca="1" si="9"/>
        <v/>
      </c>
      <c r="AY18" s="71"/>
      <c r="AZ18" s="71"/>
      <c r="BA18" s="61" t="str">
        <f t="shared" si="21"/>
        <v/>
      </c>
      <c r="BB18" s="71"/>
      <c r="BC18" s="71"/>
      <c r="BD18" s="61" t="str">
        <f t="shared" si="22"/>
        <v/>
      </c>
      <c r="BE18" s="52"/>
      <c r="BW18" s="1"/>
      <c r="BX18" s="1"/>
      <c r="CC18" s="3"/>
      <c r="CD18" s="3"/>
    </row>
    <row r="19" spans="1:82" ht="17.399999999999999" customHeight="1">
      <c r="A19" s="87">
        <f t="shared" ref="A19:A80" si="27">A12+1</f>
        <v>2.2000000000000002</v>
      </c>
      <c r="B19" s="111">
        <f t="shared" si="11"/>
        <v>9</v>
      </c>
      <c r="C19" s="60"/>
      <c r="D19" s="74"/>
      <c r="E19" s="75"/>
      <c r="F19" s="74"/>
      <c r="G19" s="54">
        <f t="shared" si="12"/>
        <v>0</v>
      </c>
      <c r="H19" s="55">
        <f t="shared" si="12"/>
        <v>0</v>
      </c>
      <c r="I19" s="76">
        <f t="shared" si="13"/>
        <v>0</v>
      </c>
      <c r="J19" s="58">
        <f t="shared" si="14"/>
        <v>0</v>
      </c>
      <c r="K19" s="58">
        <f t="shared" si="15"/>
        <v>0</v>
      </c>
      <c r="L19" s="58">
        <f t="shared" si="16"/>
        <v>0</v>
      </c>
      <c r="M19" s="58" t="str">
        <f t="shared" ca="1" si="17"/>
        <v/>
      </c>
      <c r="N19" s="58" t="str">
        <f t="shared" ca="1" si="0"/>
        <v/>
      </c>
      <c r="O19" s="58">
        <f t="shared" si="18"/>
        <v>5.0000000000000001E-4</v>
      </c>
      <c r="P19" s="77"/>
      <c r="Q19" s="60"/>
      <c r="R19" s="77"/>
      <c r="S19" s="78">
        <f t="shared" si="1"/>
        <v>0</v>
      </c>
      <c r="T19" s="55">
        <f t="shared" si="1"/>
        <v>0</v>
      </c>
      <c r="U19" s="79">
        <f t="shared" si="25"/>
        <v>0</v>
      </c>
      <c r="V19" s="63">
        <f t="shared" si="26"/>
        <v>0</v>
      </c>
      <c r="W19" s="64">
        <f t="shared" ref="W19:X24" si="28">W18</f>
        <v>33</v>
      </c>
      <c r="X19" s="80">
        <f t="shared" si="28"/>
        <v>20</v>
      </c>
      <c r="Y19" s="75"/>
      <c r="Z19" s="60"/>
      <c r="AA19" s="112"/>
      <c r="AB19" s="112"/>
      <c r="AC19" s="112"/>
      <c r="AD19" s="75"/>
      <c r="AE19" s="81">
        <f t="shared" si="2"/>
        <v>0</v>
      </c>
      <c r="AF19" s="55">
        <f t="shared" si="3"/>
        <v>0</v>
      </c>
      <c r="AG19" s="76">
        <f t="shared" si="4"/>
        <v>0</v>
      </c>
      <c r="AH19" s="82">
        <f t="shared" si="5"/>
        <v>0</v>
      </c>
      <c r="AI19" s="83">
        <f t="shared" si="5"/>
        <v>0</v>
      </c>
      <c r="AJ19" s="83">
        <f t="shared" si="5"/>
        <v>0</v>
      </c>
      <c r="AK19" s="58">
        <f t="shared" si="5"/>
        <v>0</v>
      </c>
      <c r="AL19" s="82">
        <f t="shared" si="6"/>
        <v>0</v>
      </c>
      <c r="AM19" s="58">
        <f t="shared" si="7"/>
        <v>0</v>
      </c>
      <c r="AN19" s="74"/>
      <c r="AO19" s="84"/>
      <c r="AP19" s="74"/>
      <c r="AQ19" s="85"/>
      <c r="AR19" s="74"/>
      <c r="AS19" s="74"/>
      <c r="AT19" s="74"/>
      <c r="AU19" s="55" t="str">
        <f t="shared" si="19"/>
        <v/>
      </c>
      <c r="AV19" s="55" t="str">
        <f t="shared" ca="1" si="20"/>
        <v/>
      </c>
      <c r="AW19" s="55" t="str">
        <f t="shared" si="8"/>
        <v/>
      </c>
      <c r="AX19" s="55" t="str">
        <f t="shared" ca="1" si="9"/>
        <v/>
      </c>
      <c r="AY19" s="86"/>
      <c r="AZ19" s="86"/>
      <c r="BA19" s="55" t="str">
        <f t="shared" si="21"/>
        <v/>
      </c>
      <c r="BB19" s="86"/>
      <c r="BC19" s="86"/>
      <c r="BD19" s="55" t="str">
        <f t="shared" si="22"/>
        <v/>
      </c>
      <c r="BE19" s="74"/>
      <c r="BW19" s="1"/>
      <c r="BX19" s="1"/>
      <c r="CC19" s="3"/>
      <c r="CD19" s="3"/>
    </row>
    <row r="20" spans="1:82" ht="17.399999999999999" customHeight="1">
      <c r="A20" s="72">
        <f t="shared" si="27"/>
        <v>2.3000000000000003</v>
      </c>
      <c r="B20" s="111">
        <f t="shared" si="11"/>
        <v>10</v>
      </c>
      <c r="C20" s="60"/>
      <c r="D20" s="74"/>
      <c r="E20" s="75"/>
      <c r="F20" s="74"/>
      <c r="G20" s="54">
        <f t="shared" si="12"/>
        <v>0</v>
      </c>
      <c r="H20" s="55">
        <f t="shared" si="12"/>
        <v>0</v>
      </c>
      <c r="I20" s="76">
        <f t="shared" si="13"/>
        <v>0</v>
      </c>
      <c r="J20" s="58">
        <f t="shared" si="14"/>
        <v>0</v>
      </c>
      <c r="K20" s="58">
        <f t="shared" si="15"/>
        <v>0</v>
      </c>
      <c r="L20" s="58">
        <f t="shared" si="16"/>
        <v>0</v>
      </c>
      <c r="M20" s="58" t="str">
        <f t="shared" ca="1" si="17"/>
        <v/>
      </c>
      <c r="N20" s="58" t="str">
        <f t="shared" ca="1" si="0"/>
        <v/>
      </c>
      <c r="O20" s="58">
        <f t="shared" si="18"/>
        <v>5.0000000000000001E-4</v>
      </c>
      <c r="P20" s="77"/>
      <c r="Q20" s="60"/>
      <c r="R20" s="77"/>
      <c r="S20" s="78">
        <f t="shared" si="1"/>
        <v>0</v>
      </c>
      <c r="T20" s="55">
        <f t="shared" si="1"/>
        <v>0</v>
      </c>
      <c r="U20" s="79">
        <f t="shared" si="25"/>
        <v>0</v>
      </c>
      <c r="V20" s="63">
        <f t="shared" si="26"/>
        <v>0</v>
      </c>
      <c r="W20" s="64">
        <f t="shared" si="28"/>
        <v>33</v>
      </c>
      <c r="X20" s="80">
        <f t="shared" si="28"/>
        <v>20</v>
      </c>
      <c r="Y20" s="75"/>
      <c r="Z20" s="60"/>
      <c r="AA20" s="112"/>
      <c r="AB20" s="112"/>
      <c r="AC20" s="112"/>
      <c r="AD20" s="75"/>
      <c r="AE20" s="81">
        <f t="shared" si="2"/>
        <v>0</v>
      </c>
      <c r="AF20" s="55">
        <f t="shared" si="3"/>
        <v>0</v>
      </c>
      <c r="AG20" s="76">
        <f t="shared" si="4"/>
        <v>0</v>
      </c>
      <c r="AH20" s="82">
        <f t="shared" si="5"/>
        <v>0</v>
      </c>
      <c r="AI20" s="83">
        <f t="shared" si="5"/>
        <v>0</v>
      </c>
      <c r="AJ20" s="83">
        <f t="shared" si="5"/>
        <v>0</v>
      </c>
      <c r="AK20" s="58">
        <f t="shared" si="5"/>
        <v>0</v>
      </c>
      <c r="AL20" s="82">
        <f t="shared" si="6"/>
        <v>0</v>
      </c>
      <c r="AM20" s="58">
        <f t="shared" si="7"/>
        <v>0</v>
      </c>
      <c r="AN20" s="74"/>
      <c r="AO20" s="84"/>
      <c r="AP20" s="74"/>
      <c r="AQ20" s="85"/>
      <c r="AR20" s="74"/>
      <c r="AS20" s="74"/>
      <c r="AT20" s="74"/>
      <c r="AU20" s="55" t="str">
        <f t="shared" si="19"/>
        <v/>
      </c>
      <c r="AV20" s="55" t="str">
        <f t="shared" ca="1" si="20"/>
        <v/>
      </c>
      <c r="AW20" s="55" t="str">
        <f t="shared" si="8"/>
        <v/>
      </c>
      <c r="AX20" s="55" t="str">
        <f t="shared" ca="1" si="9"/>
        <v/>
      </c>
      <c r="AY20" s="86"/>
      <c r="AZ20" s="86"/>
      <c r="BA20" s="55" t="str">
        <f t="shared" si="21"/>
        <v/>
      </c>
      <c r="BB20" s="86"/>
      <c r="BC20" s="86"/>
      <c r="BD20" s="55" t="str">
        <f t="shared" si="22"/>
        <v/>
      </c>
      <c r="BE20" s="74"/>
      <c r="BW20" s="1"/>
      <c r="BX20" s="1"/>
      <c r="CC20" s="3"/>
      <c r="CD20" s="3"/>
    </row>
    <row r="21" spans="1:82" ht="17.399999999999999" customHeight="1">
      <c r="A21" s="87">
        <f t="shared" si="27"/>
        <v>2.4000000000000004</v>
      </c>
      <c r="B21" s="111">
        <f t="shared" si="11"/>
        <v>11</v>
      </c>
      <c r="C21" s="60"/>
      <c r="D21" s="74"/>
      <c r="E21" s="75"/>
      <c r="F21" s="74"/>
      <c r="G21" s="54">
        <f t="shared" si="12"/>
        <v>0</v>
      </c>
      <c r="H21" s="55">
        <f t="shared" si="12"/>
        <v>0</v>
      </c>
      <c r="I21" s="76">
        <f t="shared" si="13"/>
        <v>0</v>
      </c>
      <c r="J21" s="58">
        <f t="shared" si="14"/>
        <v>0</v>
      </c>
      <c r="K21" s="58">
        <f t="shared" si="15"/>
        <v>0</v>
      </c>
      <c r="L21" s="58">
        <f t="shared" si="16"/>
        <v>0</v>
      </c>
      <c r="M21" s="58" t="str">
        <f t="shared" ca="1" si="17"/>
        <v/>
      </c>
      <c r="N21" s="58" t="str">
        <f t="shared" ca="1" si="0"/>
        <v/>
      </c>
      <c r="O21" s="58">
        <f t="shared" si="18"/>
        <v>5.0000000000000001E-4</v>
      </c>
      <c r="P21" s="77"/>
      <c r="Q21" s="60"/>
      <c r="R21" s="77"/>
      <c r="S21" s="78">
        <f t="shared" si="1"/>
        <v>0</v>
      </c>
      <c r="T21" s="55">
        <f t="shared" si="1"/>
        <v>0</v>
      </c>
      <c r="U21" s="79">
        <f t="shared" si="25"/>
        <v>0</v>
      </c>
      <c r="V21" s="63">
        <f t="shared" si="26"/>
        <v>0</v>
      </c>
      <c r="W21" s="64">
        <f t="shared" si="28"/>
        <v>33</v>
      </c>
      <c r="X21" s="80">
        <f t="shared" si="28"/>
        <v>20</v>
      </c>
      <c r="Y21" s="75"/>
      <c r="Z21" s="60"/>
      <c r="AA21" s="112"/>
      <c r="AB21" s="112"/>
      <c r="AC21" s="112"/>
      <c r="AD21" s="75"/>
      <c r="AE21" s="81">
        <f t="shared" si="2"/>
        <v>0</v>
      </c>
      <c r="AF21" s="55">
        <f t="shared" si="3"/>
        <v>0</v>
      </c>
      <c r="AG21" s="76">
        <f t="shared" si="4"/>
        <v>0</v>
      </c>
      <c r="AH21" s="82">
        <f t="shared" si="5"/>
        <v>0</v>
      </c>
      <c r="AI21" s="83">
        <f t="shared" si="5"/>
        <v>0</v>
      </c>
      <c r="AJ21" s="83">
        <f t="shared" si="5"/>
        <v>0</v>
      </c>
      <c r="AK21" s="58">
        <f t="shared" si="5"/>
        <v>0</v>
      </c>
      <c r="AL21" s="82">
        <f t="shared" si="6"/>
        <v>0</v>
      </c>
      <c r="AM21" s="58">
        <f t="shared" si="7"/>
        <v>0</v>
      </c>
      <c r="AN21" s="74"/>
      <c r="AO21" s="84"/>
      <c r="AP21" s="74"/>
      <c r="AQ21" s="85"/>
      <c r="AR21" s="74"/>
      <c r="AS21" s="74"/>
      <c r="AT21" s="74"/>
      <c r="AU21" s="55" t="str">
        <f t="shared" si="19"/>
        <v/>
      </c>
      <c r="AV21" s="55" t="str">
        <f t="shared" ca="1" si="20"/>
        <v/>
      </c>
      <c r="AW21" s="55" t="str">
        <f t="shared" si="8"/>
        <v/>
      </c>
      <c r="AX21" s="55" t="str">
        <f t="shared" ca="1" si="9"/>
        <v/>
      </c>
      <c r="AY21" s="86"/>
      <c r="AZ21" s="86"/>
      <c r="BA21" s="55" t="str">
        <f t="shared" si="21"/>
        <v/>
      </c>
      <c r="BB21" s="86"/>
      <c r="BC21" s="86"/>
      <c r="BD21" s="55" t="str">
        <f t="shared" si="22"/>
        <v/>
      </c>
      <c r="BE21" s="74"/>
      <c r="BW21" s="1"/>
      <c r="BX21" s="1"/>
      <c r="CC21" s="3"/>
      <c r="CD21" s="3"/>
    </row>
    <row r="22" spans="1:82" ht="17.399999999999999" customHeight="1">
      <c r="A22" s="72">
        <f t="shared" si="27"/>
        <v>2.5000000000000004</v>
      </c>
      <c r="B22" s="111">
        <f t="shared" si="11"/>
        <v>12</v>
      </c>
      <c r="C22" s="60"/>
      <c r="D22" s="74"/>
      <c r="E22" s="75"/>
      <c r="F22" s="74"/>
      <c r="G22" s="54">
        <f t="shared" si="12"/>
        <v>0</v>
      </c>
      <c r="H22" s="55">
        <f t="shared" si="12"/>
        <v>0</v>
      </c>
      <c r="I22" s="76">
        <f t="shared" si="13"/>
        <v>0</v>
      </c>
      <c r="J22" s="58">
        <f t="shared" si="14"/>
        <v>0</v>
      </c>
      <c r="K22" s="58">
        <f t="shared" si="15"/>
        <v>0</v>
      </c>
      <c r="L22" s="58">
        <f t="shared" si="16"/>
        <v>0</v>
      </c>
      <c r="M22" s="58" t="str">
        <f t="shared" ca="1" si="17"/>
        <v/>
      </c>
      <c r="N22" s="58" t="str">
        <f t="shared" ca="1" si="0"/>
        <v/>
      </c>
      <c r="O22" s="58">
        <f t="shared" si="18"/>
        <v>5.0000000000000001E-4</v>
      </c>
      <c r="P22" s="77"/>
      <c r="Q22" s="60"/>
      <c r="R22" s="77"/>
      <c r="S22" s="78">
        <f t="shared" si="1"/>
        <v>0</v>
      </c>
      <c r="T22" s="55">
        <f t="shared" si="1"/>
        <v>0</v>
      </c>
      <c r="U22" s="79">
        <f t="shared" si="25"/>
        <v>0</v>
      </c>
      <c r="V22" s="63">
        <f t="shared" si="26"/>
        <v>0</v>
      </c>
      <c r="W22" s="64">
        <f t="shared" si="28"/>
        <v>33</v>
      </c>
      <c r="X22" s="80">
        <f t="shared" si="28"/>
        <v>20</v>
      </c>
      <c r="Y22" s="75"/>
      <c r="Z22" s="60"/>
      <c r="AA22" s="112"/>
      <c r="AB22" s="112"/>
      <c r="AC22" s="112"/>
      <c r="AD22" s="75"/>
      <c r="AE22" s="81">
        <f t="shared" si="2"/>
        <v>0</v>
      </c>
      <c r="AF22" s="55">
        <f t="shared" si="3"/>
        <v>0</v>
      </c>
      <c r="AG22" s="76">
        <f t="shared" si="4"/>
        <v>0</v>
      </c>
      <c r="AH22" s="82">
        <f t="shared" si="5"/>
        <v>0</v>
      </c>
      <c r="AI22" s="83">
        <f t="shared" si="5"/>
        <v>0</v>
      </c>
      <c r="AJ22" s="83">
        <f t="shared" si="5"/>
        <v>0</v>
      </c>
      <c r="AK22" s="58">
        <f t="shared" si="5"/>
        <v>0</v>
      </c>
      <c r="AL22" s="82">
        <f t="shared" si="6"/>
        <v>0</v>
      </c>
      <c r="AM22" s="58">
        <f t="shared" si="7"/>
        <v>0</v>
      </c>
      <c r="AN22" s="74"/>
      <c r="AO22" s="84"/>
      <c r="AP22" s="74"/>
      <c r="AQ22" s="85"/>
      <c r="AR22" s="74"/>
      <c r="AS22" s="74"/>
      <c r="AT22" s="74"/>
      <c r="AU22" s="55" t="str">
        <f t="shared" si="19"/>
        <v/>
      </c>
      <c r="AV22" s="55" t="str">
        <f t="shared" ca="1" si="20"/>
        <v/>
      </c>
      <c r="AW22" s="55" t="str">
        <f t="shared" si="8"/>
        <v/>
      </c>
      <c r="AX22" s="55" t="str">
        <f t="shared" ca="1" si="9"/>
        <v/>
      </c>
      <c r="AY22" s="86"/>
      <c r="AZ22" s="86"/>
      <c r="BA22" s="55" t="str">
        <f t="shared" si="21"/>
        <v/>
      </c>
      <c r="BB22" s="86"/>
      <c r="BC22" s="86"/>
      <c r="BD22" s="55" t="str">
        <f t="shared" si="22"/>
        <v/>
      </c>
      <c r="BE22" s="74"/>
      <c r="BW22" s="1"/>
      <c r="BX22" s="1"/>
      <c r="CC22" s="3"/>
      <c r="CD22" s="3"/>
    </row>
    <row r="23" spans="1:82" ht="17.399999999999999" customHeight="1">
      <c r="A23" s="87">
        <f t="shared" si="27"/>
        <v>2.6000000000000005</v>
      </c>
      <c r="B23" s="111">
        <f t="shared" si="11"/>
        <v>13</v>
      </c>
      <c r="C23" s="60"/>
      <c r="D23" s="74"/>
      <c r="E23" s="75"/>
      <c r="F23" s="74"/>
      <c r="G23" s="54">
        <f t="shared" si="12"/>
        <v>0</v>
      </c>
      <c r="H23" s="55">
        <f t="shared" si="12"/>
        <v>0</v>
      </c>
      <c r="I23" s="76">
        <f t="shared" si="13"/>
        <v>0</v>
      </c>
      <c r="J23" s="58">
        <f t="shared" si="14"/>
        <v>0</v>
      </c>
      <c r="K23" s="58">
        <f t="shared" si="15"/>
        <v>0</v>
      </c>
      <c r="L23" s="58">
        <f t="shared" si="16"/>
        <v>0</v>
      </c>
      <c r="M23" s="58" t="str">
        <f t="shared" ca="1" si="17"/>
        <v/>
      </c>
      <c r="N23" s="58" t="str">
        <f t="shared" ca="1" si="0"/>
        <v/>
      </c>
      <c r="O23" s="58">
        <f t="shared" si="18"/>
        <v>5.0000000000000001E-4</v>
      </c>
      <c r="P23" s="77"/>
      <c r="Q23" s="60"/>
      <c r="R23" s="77"/>
      <c r="S23" s="78">
        <f t="shared" si="1"/>
        <v>0</v>
      </c>
      <c r="T23" s="55">
        <f t="shared" si="1"/>
        <v>0</v>
      </c>
      <c r="U23" s="79">
        <f t="shared" si="25"/>
        <v>0</v>
      </c>
      <c r="V23" s="63">
        <f t="shared" si="26"/>
        <v>0</v>
      </c>
      <c r="W23" s="64">
        <f t="shared" si="28"/>
        <v>33</v>
      </c>
      <c r="X23" s="80">
        <f t="shared" si="28"/>
        <v>20</v>
      </c>
      <c r="Y23" s="75"/>
      <c r="Z23" s="60"/>
      <c r="AA23" s="112"/>
      <c r="AB23" s="112"/>
      <c r="AC23" s="112"/>
      <c r="AD23" s="75"/>
      <c r="AE23" s="81">
        <f t="shared" si="2"/>
        <v>0</v>
      </c>
      <c r="AF23" s="55">
        <f t="shared" si="3"/>
        <v>0</v>
      </c>
      <c r="AG23" s="76">
        <f t="shared" si="4"/>
        <v>0</v>
      </c>
      <c r="AH23" s="82">
        <f t="shared" si="5"/>
        <v>0</v>
      </c>
      <c r="AI23" s="83">
        <f t="shared" si="5"/>
        <v>0</v>
      </c>
      <c r="AJ23" s="83">
        <f t="shared" si="5"/>
        <v>0</v>
      </c>
      <c r="AK23" s="58">
        <f t="shared" si="5"/>
        <v>0</v>
      </c>
      <c r="AL23" s="82">
        <f t="shared" si="6"/>
        <v>0</v>
      </c>
      <c r="AM23" s="58">
        <f t="shared" si="7"/>
        <v>0</v>
      </c>
      <c r="AN23" s="74"/>
      <c r="AO23" s="84"/>
      <c r="AP23" s="74"/>
      <c r="AQ23" s="85"/>
      <c r="AR23" s="74"/>
      <c r="AS23" s="74"/>
      <c r="AT23" s="74"/>
      <c r="AU23" s="55" t="str">
        <f t="shared" si="19"/>
        <v/>
      </c>
      <c r="AV23" s="55" t="str">
        <f t="shared" ca="1" si="20"/>
        <v/>
      </c>
      <c r="AW23" s="55" t="str">
        <f t="shared" si="8"/>
        <v/>
      </c>
      <c r="AX23" s="55" t="str">
        <f t="shared" ca="1" si="9"/>
        <v/>
      </c>
      <c r="AY23" s="86"/>
      <c r="AZ23" s="86"/>
      <c r="BA23" s="55" t="str">
        <f t="shared" si="21"/>
        <v/>
      </c>
      <c r="BB23" s="86"/>
      <c r="BC23" s="86"/>
      <c r="BD23" s="55" t="str">
        <f t="shared" si="22"/>
        <v/>
      </c>
      <c r="BE23" s="74"/>
      <c r="BW23" s="1"/>
      <c r="BX23" s="1"/>
      <c r="CC23" s="3"/>
      <c r="CD23" s="3"/>
    </row>
    <row r="24" spans="1:82" ht="17.399999999999999" customHeight="1" thickBot="1">
      <c r="A24" s="72">
        <f t="shared" si="27"/>
        <v>2.7000000000000006</v>
      </c>
      <c r="B24" s="113">
        <f t="shared" si="11"/>
        <v>14</v>
      </c>
      <c r="C24" s="89"/>
      <c r="D24" s="90"/>
      <c r="E24" s="91"/>
      <c r="F24" s="90"/>
      <c r="G24" s="92">
        <f t="shared" si="12"/>
        <v>0</v>
      </c>
      <c r="H24" s="93">
        <f t="shared" si="12"/>
        <v>0</v>
      </c>
      <c r="I24" s="94">
        <f t="shared" si="13"/>
        <v>0</v>
      </c>
      <c r="J24" s="95">
        <f t="shared" si="14"/>
        <v>0</v>
      </c>
      <c r="K24" s="95">
        <f t="shared" si="15"/>
        <v>0</v>
      </c>
      <c r="L24" s="95">
        <f t="shared" si="16"/>
        <v>0</v>
      </c>
      <c r="M24" s="95" t="str">
        <f t="shared" ca="1" si="17"/>
        <v/>
      </c>
      <c r="N24" s="95" t="str">
        <f t="shared" ca="1" si="0"/>
        <v/>
      </c>
      <c r="O24" s="95">
        <f t="shared" si="18"/>
        <v>5.0000000000000001E-4</v>
      </c>
      <c r="P24" s="96"/>
      <c r="Q24" s="89"/>
      <c r="R24" s="96"/>
      <c r="S24" s="78">
        <f t="shared" si="1"/>
        <v>0</v>
      </c>
      <c r="T24" s="55">
        <f t="shared" si="1"/>
        <v>0</v>
      </c>
      <c r="U24" s="97">
        <f t="shared" si="25"/>
        <v>0</v>
      </c>
      <c r="V24" s="98">
        <f t="shared" si="26"/>
        <v>0</v>
      </c>
      <c r="W24" s="99">
        <f t="shared" si="28"/>
        <v>33</v>
      </c>
      <c r="X24" s="100">
        <f t="shared" si="28"/>
        <v>20</v>
      </c>
      <c r="Y24" s="91"/>
      <c r="Z24" s="89"/>
      <c r="AA24" s="112"/>
      <c r="AB24" s="112"/>
      <c r="AC24" s="112"/>
      <c r="AD24" s="75"/>
      <c r="AE24" s="101">
        <f t="shared" si="2"/>
        <v>0</v>
      </c>
      <c r="AF24" s="93">
        <f t="shared" si="3"/>
        <v>0</v>
      </c>
      <c r="AG24" s="94">
        <f t="shared" si="4"/>
        <v>0</v>
      </c>
      <c r="AH24" s="102">
        <f t="shared" si="5"/>
        <v>0</v>
      </c>
      <c r="AI24" s="103">
        <f t="shared" si="5"/>
        <v>0</v>
      </c>
      <c r="AJ24" s="103">
        <f t="shared" si="5"/>
        <v>0</v>
      </c>
      <c r="AK24" s="95">
        <f t="shared" si="5"/>
        <v>0</v>
      </c>
      <c r="AL24" s="102">
        <f t="shared" si="6"/>
        <v>0</v>
      </c>
      <c r="AM24" s="95">
        <f t="shared" si="7"/>
        <v>0</v>
      </c>
      <c r="AN24" s="90"/>
      <c r="AO24" s="104"/>
      <c r="AP24" s="90"/>
      <c r="AQ24" s="105"/>
      <c r="AR24" s="90"/>
      <c r="AS24" s="90"/>
      <c r="AT24" s="90"/>
      <c r="AU24" s="93" t="str">
        <f t="shared" si="19"/>
        <v/>
      </c>
      <c r="AV24" s="93" t="str">
        <f t="shared" ca="1" si="20"/>
        <v/>
      </c>
      <c r="AW24" s="93" t="str">
        <f t="shared" si="8"/>
        <v/>
      </c>
      <c r="AX24" s="93" t="str">
        <f t="shared" ca="1" si="9"/>
        <v/>
      </c>
      <c r="AY24" s="106"/>
      <c r="AZ24" s="106"/>
      <c r="BA24" s="93" t="str">
        <f t="shared" si="21"/>
        <v/>
      </c>
      <c r="BB24" s="106"/>
      <c r="BC24" s="106"/>
      <c r="BD24" s="93" t="str">
        <f t="shared" si="22"/>
        <v/>
      </c>
      <c r="BE24" s="90"/>
      <c r="BW24" s="1"/>
      <c r="BX24" s="1"/>
      <c r="CC24" s="3"/>
      <c r="CD24" s="3"/>
    </row>
    <row r="25" spans="1:82" ht="17.399999999999999" customHeight="1" thickTop="1">
      <c r="A25" s="49">
        <f>A18+1</f>
        <v>3.1</v>
      </c>
      <c r="B25" s="108">
        <f>B24+1</f>
        <v>15</v>
      </c>
      <c r="C25" s="51"/>
      <c r="D25" s="52"/>
      <c r="E25" s="53"/>
      <c r="F25" s="52"/>
      <c r="G25" s="54">
        <f t="shared" si="12"/>
        <v>0</v>
      </c>
      <c r="H25" s="55">
        <f t="shared" si="12"/>
        <v>0</v>
      </c>
      <c r="I25" s="56">
        <f t="shared" si="13"/>
        <v>0</v>
      </c>
      <c r="J25" s="57">
        <f t="shared" si="14"/>
        <v>0</v>
      </c>
      <c r="K25" s="57">
        <f t="shared" si="15"/>
        <v>0</v>
      </c>
      <c r="L25" s="57">
        <f t="shared" si="16"/>
        <v>0</v>
      </c>
      <c r="M25" s="58" t="str">
        <f t="shared" ca="1" si="17"/>
        <v/>
      </c>
      <c r="N25" s="58" t="str">
        <f t="shared" ca="1" si="0"/>
        <v/>
      </c>
      <c r="O25" s="58">
        <f t="shared" si="18"/>
        <v>5.0000000000000001E-4</v>
      </c>
      <c r="P25" s="59"/>
      <c r="Q25" s="60"/>
      <c r="R25" s="77"/>
      <c r="S25" s="109">
        <f t="shared" si="1"/>
        <v>0</v>
      </c>
      <c r="T25" s="61">
        <f t="shared" si="1"/>
        <v>0</v>
      </c>
      <c r="U25" s="62">
        <f t="shared" si="25"/>
        <v>0</v>
      </c>
      <c r="V25" s="63">
        <f t="shared" si="26"/>
        <v>0</v>
      </c>
      <c r="W25" s="64">
        <v>42</v>
      </c>
      <c r="X25" s="80">
        <v>26</v>
      </c>
      <c r="Y25" s="53"/>
      <c r="Z25" s="51"/>
      <c r="AA25" s="110"/>
      <c r="AB25" s="110"/>
      <c r="AC25" s="110"/>
      <c r="AD25" s="53"/>
      <c r="AE25" s="66">
        <f t="shared" si="2"/>
        <v>0</v>
      </c>
      <c r="AF25" s="61">
        <f t="shared" si="3"/>
        <v>0</v>
      </c>
      <c r="AG25" s="56">
        <f t="shared" si="4"/>
        <v>0</v>
      </c>
      <c r="AH25" s="67">
        <f t="shared" si="5"/>
        <v>0</v>
      </c>
      <c r="AI25" s="68">
        <f t="shared" si="5"/>
        <v>0</v>
      </c>
      <c r="AJ25" s="68">
        <f t="shared" si="5"/>
        <v>0</v>
      </c>
      <c r="AK25" s="57">
        <f t="shared" si="5"/>
        <v>0</v>
      </c>
      <c r="AL25" s="67">
        <f t="shared" si="6"/>
        <v>0</v>
      </c>
      <c r="AM25" s="57">
        <f t="shared" si="7"/>
        <v>0</v>
      </c>
      <c r="AN25" s="52"/>
      <c r="AO25" s="69"/>
      <c r="AP25" s="52"/>
      <c r="AQ25" s="70"/>
      <c r="AR25" s="52"/>
      <c r="AS25" s="52"/>
      <c r="AT25" s="52"/>
      <c r="AU25" s="61" t="str">
        <f t="shared" si="19"/>
        <v/>
      </c>
      <c r="AV25" s="61" t="str">
        <f t="shared" ca="1" si="20"/>
        <v/>
      </c>
      <c r="AW25" s="61" t="str">
        <f t="shared" si="8"/>
        <v/>
      </c>
      <c r="AX25" s="61" t="str">
        <f t="shared" ca="1" si="9"/>
        <v/>
      </c>
      <c r="AY25" s="71"/>
      <c r="AZ25" s="71"/>
      <c r="BA25" s="61" t="str">
        <f t="shared" si="21"/>
        <v/>
      </c>
      <c r="BB25" s="71"/>
      <c r="BC25" s="71"/>
      <c r="BD25" s="61" t="str">
        <f t="shared" si="22"/>
        <v/>
      </c>
      <c r="BE25" s="52"/>
      <c r="BW25" s="1"/>
      <c r="BX25" s="1"/>
      <c r="CC25" s="3"/>
      <c r="CD25" s="3"/>
    </row>
    <row r="26" spans="1:82" ht="17.399999999999999" customHeight="1">
      <c r="A26" s="72">
        <f t="shared" si="27"/>
        <v>3.2</v>
      </c>
      <c r="B26" s="111">
        <f t="shared" si="11"/>
        <v>16</v>
      </c>
      <c r="C26" s="60"/>
      <c r="D26" s="74"/>
      <c r="E26" s="75"/>
      <c r="F26" s="74"/>
      <c r="G26" s="54">
        <f t="shared" si="12"/>
        <v>0</v>
      </c>
      <c r="H26" s="55">
        <f t="shared" si="12"/>
        <v>0</v>
      </c>
      <c r="I26" s="76">
        <f t="shared" si="13"/>
        <v>0</v>
      </c>
      <c r="J26" s="58">
        <f t="shared" si="14"/>
        <v>0</v>
      </c>
      <c r="K26" s="58">
        <f t="shared" si="15"/>
        <v>0</v>
      </c>
      <c r="L26" s="58">
        <f t="shared" si="16"/>
        <v>0</v>
      </c>
      <c r="M26" s="58" t="str">
        <f t="shared" ca="1" si="17"/>
        <v/>
      </c>
      <c r="N26" s="58" t="str">
        <f t="shared" ca="1" si="0"/>
        <v/>
      </c>
      <c r="O26" s="58">
        <f t="shared" si="18"/>
        <v>5.0000000000000001E-4</v>
      </c>
      <c r="P26" s="77"/>
      <c r="Q26" s="60"/>
      <c r="R26" s="77"/>
      <c r="S26" s="78">
        <f t="shared" si="1"/>
        <v>0</v>
      </c>
      <c r="T26" s="55">
        <f t="shared" si="1"/>
        <v>0</v>
      </c>
      <c r="U26" s="79">
        <f t="shared" si="25"/>
        <v>0</v>
      </c>
      <c r="V26" s="63">
        <f t="shared" si="26"/>
        <v>0</v>
      </c>
      <c r="W26" s="64">
        <f t="shared" ref="W26:X31" si="29">W25</f>
        <v>42</v>
      </c>
      <c r="X26" s="80">
        <f t="shared" si="29"/>
        <v>26</v>
      </c>
      <c r="Y26" s="75"/>
      <c r="Z26" s="60"/>
      <c r="AA26" s="112"/>
      <c r="AB26" s="112"/>
      <c r="AC26" s="112"/>
      <c r="AD26" s="75"/>
      <c r="AE26" s="81">
        <f t="shared" si="2"/>
        <v>0</v>
      </c>
      <c r="AF26" s="55">
        <f t="shared" si="3"/>
        <v>0</v>
      </c>
      <c r="AG26" s="76">
        <f t="shared" si="4"/>
        <v>0</v>
      </c>
      <c r="AH26" s="82">
        <f t="shared" si="5"/>
        <v>0</v>
      </c>
      <c r="AI26" s="83">
        <f t="shared" si="5"/>
        <v>0</v>
      </c>
      <c r="AJ26" s="83">
        <f t="shared" si="5"/>
        <v>0</v>
      </c>
      <c r="AK26" s="58">
        <f t="shared" si="5"/>
        <v>0</v>
      </c>
      <c r="AL26" s="82">
        <f t="shared" si="6"/>
        <v>0</v>
      </c>
      <c r="AM26" s="58">
        <f t="shared" si="7"/>
        <v>0</v>
      </c>
      <c r="AN26" s="74"/>
      <c r="AO26" s="84"/>
      <c r="AP26" s="74"/>
      <c r="AQ26" s="85"/>
      <c r="AR26" s="74"/>
      <c r="AS26" s="74"/>
      <c r="AT26" s="74"/>
      <c r="AU26" s="55" t="str">
        <f t="shared" si="19"/>
        <v/>
      </c>
      <c r="AV26" s="55" t="str">
        <f t="shared" ca="1" si="20"/>
        <v/>
      </c>
      <c r="AW26" s="55" t="str">
        <f t="shared" si="8"/>
        <v/>
      </c>
      <c r="AX26" s="55" t="str">
        <f t="shared" ca="1" si="9"/>
        <v/>
      </c>
      <c r="AY26" s="86"/>
      <c r="AZ26" s="86"/>
      <c r="BA26" s="55" t="str">
        <f t="shared" si="21"/>
        <v/>
      </c>
      <c r="BB26" s="86"/>
      <c r="BC26" s="86"/>
      <c r="BD26" s="55" t="str">
        <f t="shared" si="22"/>
        <v/>
      </c>
      <c r="BE26" s="74"/>
      <c r="BW26" s="1"/>
      <c r="BX26" s="1"/>
      <c r="CC26" s="3"/>
      <c r="CD26" s="3"/>
    </row>
    <row r="27" spans="1:82" ht="17.399999999999999" customHeight="1">
      <c r="A27" s="87">
        <f t="shared" si="27"/>
        <v>3.3000000000000003</v>
      </c>
      <c r="B27" s="111">
        <f t="shared" si="11"/>
        <v>17</v>
      </c>
      <c r="C27" s="60"/>
      <c r="D27" s="74"/>
      <c r="E27" s="75"/>
      <c r="F27" s="74"/>
      <c r="G27" s="54">
        <f t="shared" si="12"/>
        <v>0</v>
      </c>
      <c r="H27" s="55">
        <f t="shared" si="12"/>
        <v>0</v>
      </c>
      <c r="I27" s="76">
        <f t="shared" si="13"/>
        <v>0</v>
      </c>
      <c r="J27" s="58">
        <f t="shared" si="14"/>
        <v>0</v>
      </c>
      <c r="K27" s="58">
        <f t="shared" si="15"/>
        <v>0</v>
      </c>
      <c r="L27" s="58">
        <f t="shared" si="16"/>
        <v>0</v>
      </c>
      <c r="M27" s="58" t="str">
        <f t="shared" ca="1" si="17"/>
        <v/>
      </c>
      <c r="N27" s="58" t="str">
        <f t="shared" ca="1" si="0"/>
        <v/>
      </c>
      <c r="O27" s="58">
        <f t="shared" si="18"/>
        <v>5.0000000000000001E-4</v>
      </c>
      <c r="P27" s="77"/>
      <c r="Q27" s="60"/>
      <c r="R27" s="77"/>
      <c r="S27" s="78">
        <f t="shared" si="1"/>
        <v>0</v>
      </c>
      <c r="T27" s="55">
        <f t="shared" si="1"/>
        <v>0</v>
      </c>
      <c r="U27" s="79">
        <f t="shared" si="25"/>
        <v>0</v>
      </c>
      <c r="V27" s="63">
        <f t="shared" si="26"/>
        <v>0</v>
      </c>
      <c r="W27" s="64">
        <f t="shared" si="29"/>
        <v>42</v>
      </c>
      <c r="X27" s="80">
        <f t="shared" si="29"/>
        <v>26</v>
      </c>
      <c r="Y27" s="75"/>
      <c r="Z27" s="60"/>
      <c r="AA27" s="112"/>
      <c r="AB27" s="112"/>
      <c r="AC27" s="112"/>
      <c r="AD27" s="75"/>
      <c r="AE27" s="81">
        <f t="shared" si="2"/>
        <v>0</v>
      </c>
      <c r="AF27" s="55">
        <f t="shared" si="3"/>
        <v>0</v>
      </c>
      <c r="AG27" s="76">
        <f t="shared" si="4"/>
        <v>0</v>
      </c>
      <c r="AH27" s="82">
        <f t="shared" si="5"/>
        <v>0</v>
      </c>
      <c r="AI27" s="83">
        <f t="shared" si="5"/>
        <v>0</v>
      </c>
      <c r="AJ27" s="83">
        <f t="shared" si="5"/>
        <v>0</v>
      </c>
      <c r="AK27" s="58">
        <f t="shared" si="5"/>
        <v>0</v>
      </c>
      <c r="AL27" s="82">
        <f t="shared" si="6"/>
        <v>0</v>
      </c>
      <c r="AM27" s="58">
        <f t="shared" si="7"/>
        <v>0</v>
      </c>
      <c r="AN27" s="74"/>
      <c r="AO27" s="84"/>
      <c r="AP27" s="74"/>
      <c r="AQ27" s="85"/>
      <c r="AR27" s="74"/>
      <c r="AS27" s="74"/>
      <c r="AT27" s="74"/>
      <c r="AU27" s="55" t="str">
        <f t="shared" si="19"/>
        <v/>
      </c>
      <c r="AV27" s="55" t="str">
        <f t="shared" ca="1" si="20"/>
        <v/>
      </c>
      <c r="AW27" s="55" t="str">
        <f t="shared" si="8"/>
        <v/>
      </c>
      <c r="AX27" s="55" t="str">
        <f t="shared" ca="1" si="9"/>
        <v/>
      </c>
      <c r="AY27" s="86"/>
      <c r="AZ27" s="86"/>
      <c r="BA27" s="55" t="str">
        <f t="shared" si="21"/>
        <v/>
      </c>
      <c r="BB27" s="86"/>
      <c r="BC27" s="86"/>
      <c r="BD27" s="55" t="str">
        <f t="shared" si="22"/>
        <v/>
      </c>
      <c r="BE27" s="74"/>
      <c r="BW27" s="1"/>
      <c r="BX27" s="1"/>
      <c r="CC27" s="3"/>
      <c r="CD27" s="3"/>
    </row>
    <row r="28" spans="1:82" ht="17.399999999999999" customHeight="1">
      <c r="A28" s="72">
        <f t="shared" si="27"/>
        <v>3.4000000000000004</v>
      </c>
      <c r="B28" s="111">
        <f t="shared" si="11"/>
        <v>18</v>
      </c>
      <c r="C28" s="60"/>
      <c r="D28" s="74"/>
      <c r="E28" s="75"/>
      <c r="F28" s="74"/>
      <c r="G28" s="54">
        <f t="shared" ref="G28:H43" si="30">G27-E28-C28</f>
        <v>0</v>
      </c>
      <c r="H28" s="55">
        <f t="shared" si="30"/>
        <v>0</v>
      </c>
      <c r="I28" s="76">
        <f t="shared" si="13"/>
        <v>0</v>
      </c>
      <c r="J28" s="58">
        <f t="shared" si="14"/>
        <v>0</v>
      </c>
      <c r="K28" s="58">
        <f t="shared" si="15"/>
        <v>0</v>
      </c>
      <c r="L28" s="58">
        <f t="shared" si="16"/>
        <v>0</v>
      </c>
      <c r="M28" s="58" t="str">
        <f t="shared" ca="1" si="17"/>
        <v/>
      </c>
      <c r="N28" s="58" t="str">
        <f t="shared" ca="1" si="0"/>
        <v/>
      </c>
      <c r="O28" s="58">
        <f t="shared" si="18"/>
        <v>5.0000000000000001E-4</v>
      </c>
      <c r="P28" s="77"/>
      <c r="Q28" s="60"/>
      <c r="R28" s="77"/>
      <c r="S28" s="78">
        <f t="shared" si="1"/>
        <v>0</v>
      </c>
      <c r="T28" s="55">
        <f t="shared" si="1"/>
        <v>0</v>
      </c>
      <c r="U28" s="79">
        <f t="shared" si="25"/>
        <v>0</v>
      </c>
      <c r="V28" s="63">
        <f t="shared" si="26"/>
        <v>0</v>
      </c>
      <c r="W28" s="64">
        <f t="shared" si="29"/>
        <v>42</v>
      </c>
      <c r="X28" s="80">
        <f t="shared" si="29"/>
        <v>26</v>
      </c>
      <c r="Y28" s="75"/>
      <c r="Z28" s="60"/>
      <c r="AA28" s="112"/>
      <c r="AB28" s="112"/>
      <c r="AC28" s="112"/>
      <c r="AD28" s="75"/>
      <c r="AE28" s="81">
        <f t="shared" si="2"/>
        <v>0</v>
      </c>
      <c r="AF28" s="55">
        <f t="shared" si="3"/>
        <v>0</v>
      </c>
      <c r="AG28" s="76">
        <f t="shared" si="4"/>
        <v>0</v>
      </c>
      <c r="AH28" s="82">
        <f t="shared" si="5"/>
        <v>0</v>
      </c>
      <c r="AI28" s="83">
        <f t="shared" si="5"/>
        <v>0</v>
      </c>
      <c r="AJ28" s="83">
        <f t="shared" si="5"/>
        <v>0</v>
      </c>
      <c r="AK28" s="58">
        <f t="shared" si="5"/>
        <v>0</v>
      </c>
      <c r="AL28" s="82">
        <f t="shared" si="6"/>
        <v>0</v>
      </c>
      <c r="AM28" s="58">
        <f t="shared" si="7"/>
        <v>0</v>
      </c>
      <c r="AN28" s="74"/>
      <c r="AO28" s="84"/>
      <c r="AP28" s="74"/>
      <c r="AQ28" s="85"/>
      <c r="AR28" s="74"/>
      <c r="AS28" s="74"/>
      <c r="AT28" s="74"/>
      <c r="AU28" s="55" t="str">
        <f t="shared" si="19"/>
        <v/>
      </c>
      <c r="AV28" s="55" t="str">
        <f t="shared" ca="1" si="20"/>
        <v/>
      </c>
      <c r="AW28" s="55" t="str">
        <f t="shared" si="8"/>
        <v/>
      </c>
      <c r="AX28" s="55" t="str">
        <f t="shared" ca="1" si="9"/>
        <v/>
      </c>
      <c r="AY28" s="86"/>
      <c r="AZ28" s="86"/>
      <c r="BA28" s="55" t="str">
        <f t="shared" si="21"/>
        <v/>
      </c>
      <c r="BB28" s="86"/>
      <c r="BC28" s="86"/>
      <c r="BD28" s="55" t="str">
        <f t="shared" si="22"/>
        <v/>
      </c>
      <c r="BE28" s="74"/>
      <c r="BW28" s="1"/>
      <c r="BX28" s="1"/>
      <c r="CC28" s="3"/>
      <c r="CD28" s="3"/>
    </row>
    <row r="29" spans="1:82" ht="17.399999999999999" customHeight="1">
      <c r="A29" s="87">
        <f t="shared" si="27"/>
        <v>3.5000000000000004</v>
      </c>
      <c r="B29" s="111">
        <f t="shared" si="11"/>
        <v>19</v>
      </c>
      <c r="C29" s="60"/>
      <c r="D29" s="74"/>
      <c r="E29" s="75"/>
      <c r="F29" s="74"/>
      <c r="G29" s="54">
        <f t="shared" si="30"/>
        <v>0</v>
      </c>
      <c r="H29" s="55">
        <f t="shared" si="30"/>
        <v>0</v>
      </c>
      <c r="I29" s="76">
        <f t="shared" si="13"/>
        <v>0</v>
      </c>
      <c r="J29" s="58">
        <f t="shared" si="14"/>
        <v>0</v>
      </c>
      <c r="K29" s="58">
        <f t="shared" si="15"/>
        <v>0</v>
      </c>
      <c r="L29" s="58">
        <f t="shared" si="16"/>
        <v>0</v>
      </c>
      <c r="M29" s="58" t="str">
        <f t="shared" ca="1" si="17"/>
        <v/>
      </c>
      <c r="N29" s="58" t="str">
        <f t="shared" ca="1" si="0"/>
        <v/>
      </c>
      <c r="O29" s="58">
        <f t="shared" si="18"/>
        <v>5.0000000000000001E-4</v>
      </c>
      <c r="P29" s="77"/>
      <c r="Q29" s="60"/>
      <c r="R29" s="77"/>
      <c r="S29" s="78">
        <f t="shared" si="1"/>
        <v>0</v>
      </c>
      <c r="T29" s="55">
        <f t="shared" si="1"/>
        <v>0</v>
      </c>
      <c r="U29" s="79">
        <f t="shared" si="25"/>
        <v>0</v>
      </c>
      <c r="V29" s="63">
        <f t="shared" si="26"/>
        <v>0</v>
      </c>
      <c r="W29" s="64">
        <f t="shared" si="29"/>
        <v>42</v>
      </c>
      <c r="X29" s="80">
        <f t="shared" si="29"/>
        <v>26</v>
      </c>
      <c r="Y29" s="75"/>
      <c r="Z29" s="60"/>
      <c r="AA29" s="112"/>
      <c r="AB29" s="112"/>
      <c r="AC29" s="112"/>
      <c r="AD29" s="75"/>
      <c r="AE29" s="81">
        <f t="shared" si="2"/>
        <v>0</v>
      </c>
      <c r="AF29" s="55">
        <f t="shared" si="3"/>
        <v>0</v>
      </c>
      <c r="AG29" s="76">
        <f t="shared" si="4"/>
        <v>0</v>
      </c>
      <c r="AH29" s="82">
        <f t="shared" si="5"/>
        <v>0</v>
      </c>
      <c r="AI29" s="83">
        <f t="shared" si="5"/>
        <v>0</v>
      </c>
      <c r="AJ29" s="83">
        <f t="shared" si="5"/>
        <v>0</v>
      </c>
      <c r="AK29" s="58">
        <f t="shared" si="5"/>
        <v>0</v>
      </c>
      <c r="AL29" s="82">
        <f t="shared" si="6"/>
        <v>0</v>
      </c>
      <c r="AM29" s="58">
        <f t="shared" si="7"/>
        <v>0</v>
      </c>
      <c r="AN29" s="74"/>
      <c r="AO29" s="84"/>
      <c r="AP29" s="74"/>
      <c r="AQ29" s="85"/>
      <c r="AR29" s="74"/>
      <c r="AS29" s="74"/>
      <c r="AT29" s="74"/>
      <c r="AU29" s="55" t="str">
        <f t="shared" si="19"/>
        <v/>
      </c>
      <c r="AV29" s="55" t="str">
        <f t="shared" ca="1" si="20"/>
        <v/>
      </c>
      <c r="AW29" s="55" t="str">
        <f t="shared" si="8"/>
        <v/>
      </c>
      <c r="AX29" s="55" t="str">
        <f t="shared" ca="1" si="9"/>
        <v/>
      </c>
      <c r="AY29" s="86"/>
      <c r="AZ29" s="86"/>
      <c r="BA29" s="55" t="str">
        <f t="shared" si="21"/>
        <v/>
      </c>
      <c r="BB29" s="86"/>
      <c r="BC29" s="86"/>
      <c r="BD29" s="55" t="str">
        <f t="shared" si="22"/>
        <v/>
      </c>
      <c r="BE29" s="74"/>
      <c r="BW29" s="1"/>
      <c r="BX29" s="1"/>
      <c r="CC29" s="3"/>
      <c r="CD29" s="3"/>
    </row>
    <row r="30" spans="1:82" ht="17.399999999999999" customHeight="1">
      <c r="A30" s="72">
        <f t="shared" si="27"/>
        <v>3.6000000000000005</v>
      </c>
      <c r="B30" s="111">
        <f t="shared" si="11"/>
        <v>20</v>
      </c>
      <c r="C30" s="60"/>
      <c r="D30" s="74"/>
      <c r="E30" s="75"/>
      <c r="F30" s="74"/>
      <c r="G30" s="54">
        <f t="shared" si="30"/>
        <v>0</v>
      </c>
      <c r="H30" s="55">
        <f t="shared" si="30"/>
        <v>0</v>
      </c>
      <c r="I30" s="76">
        <f t="shared" si="13"/>
        <v>0</v>
      </c>
      <c r="J30" s="58">
        <f t="shared" si="14"/>
        <v>0</v>
      </c>
      <c r="K30" s="58">
        <f t="shared" si="15"/>
        <v>0</v>
      </c>
      <c r="L30" s="58">
        <f t="shared" si="16"/>
        <v>0</v>
      </c>
      <c r="M30" s="58" t="str">
        <f t="shared" ca="1" si="17"/>
        <v/>
      </c>
      <c r="N30" s="58" t="str">
        <f t="shared" ca="1" si="0"/>
        <v/>
      </c>
      <c r="O30" s="58">
        <f t="shared" si="18"/>
        <v>5.0000000000000001E-4</v>
      </c>
      <c r="P30" s="77"/>
      <c r="Q30" s="60"/>
      <c r="R30" s="77"/>
      <c r="S30" s="78">
        <f t="shared" si="1"/>
        <v>0</v>
      </c>
      <c r="T30" s="55">
        <f t="shared" si="1"/>
        <v>0</v>
      </c>
      <c r="U30" s="79">
        <f t="shared" si="25"/>
        <v>0</v>
      </c>
      <c r="V30" s="63">
        <f t="shared" si="26"/>
        <v>0</v>
      </c>
      <c r="W30" s="64">
        <f t="shared" si="29"/>
        <v>42</v>
      </c>
      <c r="X30" s="80">
        <f t="shared" si="29"/>
        <v>26</v>
      </c>
      <c r="Y30" s="75"/>
      <c r="Z30" s="60"/>
      <c r="AA30" s="112"/>
      <c r="AB30" s="112"/>
      <c r="AC30" s="112"/>
      <c r="AD30" s="75"/>
      <c r="AE30" s="81">
        <f t="shared" si="2"/>
        <v>0</v>
      </c>
      <c r="AF30" s="55">
        <f t="shared" si="3"/>
        <v>0</v>
      </c>
      <c r="AG30" s="76">
        <f t="shared" si="4"/>
        <v>0</v>
      </c>
      <c r="AH30" s="82">
        <f t="shared" si="5"/>
        <v>0</v>
      </c>
      <c r="AI30" s="83">
        <f t="shared" si="5"/>
        <v>0</v>
      </c>
      <c r="AJ30" s="83">
        <f t="shared" si="5"/>
        <v>0</v>
      </c>
      <c r="AK30" s="58">
        <f t="shared" si="5"/>
        <v>0</v>
      </c>
      <c r="AL30" s="82">
        <f t="shared" si="6"/>
        <v>0</v>
      </c>
      <c r="AM30" s="58">
        <f t="shared" si="7"/>
        <v>0</v>
      </c>
      <c r="AN30" s="74"/>
      <c r="AO30" s="84"/>
      <c r="AP30" s="74"/>
      <c r="AQ30" s="85"/>
      <c r="AR30" s="74"/>
      <c r="AS30" s="74"/>
      <c r="AT30" s="74"/>
      <c r="AU30" s="55" t="str">
        <f t="shared" si="19"/>
        <v/>
      </c>
      <c r="AV30" s="55" t="str">
        <f t="shared" ca="1" si="20"/>
        <v/>
      </c>
      <c r="AW30" s="55" t="str">
        <f t="shared" si="8"/>
        <v/>
      </c>
      <c r="AX30" s="55" t="str">
        <f t="shared" ca="1" si="9"/>
        <v/>
      </c>
      <c r="AY30" s="86"/>
      <c r="AZ30" s="86"/>
      <c r="BA30" s="55" t="str">
        <f t="shared" si="21"/>
        <v/>
      </c>
      <c r="BB30" s="86"/>
      <c r="BC30" s="86"/>
      <c r="BD30" s="55" t="str">
        <f t="shared" si="22"/>
        <v/>
      </c>
      <c r="BE30" s="74"/>
      <c r="BW30" s="1"/>
      <c r="BX30" s="1"/>
      <c r="CC30" s="3"/>
      <c r="CD30" s="3"/>
    </row>
    <row r="31" spans="1:82" ht="17.399999999999999" customHeight="1" thickBot="1">
      <c r="A31" s="87">
        <f t="shared" si="27"/>
        <v>3.7000000000000006</v>
      </c>
      <c r="B31" s="113">
        <f t="shared" si="11"/>
        <v>21</v>
      </c>
      <c r="C31" s="89"/>
      <c r="D31" s="90"/>
      <c r="E31" s="91"/>
      <c r="F31" s="90"/>
      <c r="G31" s="92">
        <f t="shared" si="30"/>
        <v>0</v>
      </c>
      <c r="H31" s="93">
        <f t="shared" si="30"/>
        <v>0</v>
      </c>
      <c r="I31" s="94">
        <f t="shared" si="13"/>
        <v>0</v>
      </c>
      <c r="J31" s="95">
        <f t="shared" si="14"/>
        <v>0</v>
      </c>
      <c r="K31" s="95">
        <f t="shared" si="15"/>
        <v>0</v>
      </c>
      <c r="L31" s="95">
        <f t="shared" si="16"/>
        <v>0</v>
      </c>
      <c r="M31" s="95" t="str">
        <f t="shared" ca="1" si="17"/>
        <v/>
      </c>
      <c r="N31" s="95" t="str">
        <f t="shared" ca="1" si="0"/>
        <v/>
      </c>
      <c r="O31" s="95">
        <f t="shared" si="18"/>
        <v>5.0000000000000001E-4</v>
      </c>
      <c r="P31" s="96"/>
      <c r="Q31" s="89"/>
      <c r="R31" s="96"/>
      <c r="S31" s="78">
        <f t="shared" si="1"/>
        <v>0</v>
      </c>
      <c r="T31" s="55">
        <f t="shared" si="1"/>
        <v>0</v>
      </c>
      <c r="U31" s="97">
        <f t="shared" si="25"/>
        <v>0</v>
      </c>
      <c r="V31" s="98">
        <f t="shared" si="26"/>
        <v>0</v>
      </c>
      <c r="W31" s="99">
        <f t="shared" si="29"/>
        <v>42</v>
      </c>
      <c r="X31" s="100">
        <f t="shared" si="29"/>
        <v>26</v>
      </c>
      <c r="Y31" s="91"/>
      <c r="Z31" s="89"/>
      <c r="AA31" s="112"/>
      <c r="AB31" s="112"/>
      <c r="AC31" s="112"/>
      <c r="AD31" s="75"/>
      <c r="AE31" s="101">
        <f t="shared" si="2"/>
        <v>0</v>
      </c>
      <c r="AF31" s="93">
        <f t="shared" si="3"/>
        <v>0</v>
      </c>
      <c r="AG31" s="94">
        <f t="shared" si="4"/>
        <v>0</v>
      </c>
      <c r="AH31" s="102">
        <f t="shared" si="5"/>
        <v>0</v>
      </c>
      <c r="AI31" s="103">
        <f t="shared" si="5"/>
        <v>0</v>
      </c>
      <c r="AJ31" s="103">
        <f t="shared" si="5"/>
        <v>0</v>
      </c>
      <c r="AK31" s="95">
        <f t="shared" si="5"/>
        <v>0</v>
      </c>
      <c r="AL31" s="102">
        <f t="shared" si="6"/>
        <v>0</v>
      </c>
      <c r="AM31" s="95">
        <f t="shared" si="7"/>
        <v>0</v>
      </c>
      <c r="AN31" s="90"/>
      <c r="AO31" s="104"/>
      <c r="AP31" s="90"/>
      <c r="AQ31" s="105"/>
      <c r="AR31" s="90"/>
      <c r="AS31" s="90"/>
      <c r="AT31" s="90"/>
      <c r="AU31" s="93" t="str">
        <f t="shared" si="19"/>
        <v/>
      </c>
      <c r="AV31" s="93" t="str">
        <f t="shared" ca="1" si="20"/>
        <v/>
      </c>
      <c r="AW31" s="93" t="str">
        <f t="shared" si="8"/>
        <v/>
      </c>
      <c r="AX31" s="93" t="str">
        <f t="shared" ca="1" si="9"/>
        <v/>
      </c>
      <c r="AY31" s="106"/>
      <c r="AZ31" s="106"/>
      <c r="BA31" s="93" t="str">
        <f t="shared" si="21"/>
        <v/>
      </c>
      <c r="BB31" s="106"/>
      <c r="BC31" s="106"/>
      <c r="BD31" s="93" t="str">
        <f t="shared" si="22"/>
        <v/>
      </c>
      <c r="BE31" s="90"/>
      <c r="BW31" s="1"/>
      <c r="BX31" s="1"/>
      <c r="CC31" s="3"/>
      <c r="CD31" s="3"/>
    </row>
    <row r="32" spans="1:82" ht="17.399999999999999" customHeight="1" thickTop="1">
      <c r="A32" s="107">
        <f>A25+1</f>
        <v>4.0999999999999996</v>
      </c>
      <c r="B32" s="108">
        <f>B31+1</f>
        <v>22</v>
      </c>
      <c r="C32" s="51"/>
      <c r="D32" s="52"/>
      <c r="E32" s="53"/>
      <c r="F32" s="52"/>
      <c r="G32" s="54">
        <f t="shared" si="30"/>
        <v>0</v>
      </c>
      <c r="H32" s="55">
        <f t="shared" si="30"/>
        <v>0</v>
      </c>
      <c r="I32" s="56">
        <f t="shared" si="13"/>
        <v>0</v>
      </c>
      <c r="J32" s="57">
        <f t="shared" si="14"/>
        <v>0</v>
      </c>
      <c r="K32" s="57">
        <f t="shared" si="15"/>
        <v>0</v>
      </c>
      <c r="L32" s="57">
        <f t="shared" si="16"/>
        <v>0</v>
      </c>
      <c r="M32" s="58" t="str">
        <f t="shared" ca="1" si="17"/>
        <v/>
      </c>
      <c r="N32" s="58" t="str">
        <f t="shared" ca="1" si="0"/>
        <v/>
      </c>
      <c r="O32" s="58">
        <f t="shared" si="18"/>
        <v>5.0000000000000001E-4</v>
      </c>
      <c r="P32" s="59"/>
      <c r="Q32" s="60"/>
      <c r="R32" s="77"/>
      <c r="S32" s="109">
        <f t="shared" si="1"/>
        <v>0</v>
      </c>
      <c r="T32" s="61">
        <f t="shared" si="1"/>
        <v>0</v>
      </c>
      <c r="U32" s="62">
        <f t="shared" si="25"/>
        <v>0</v>
      </c>
      <c r="V32" s="63">
        <f t="shared" si="26"/>
        <v>0</v>
      </c>
      <c r="W32" s="64">
        <v>49</v>
      </c>
      <c r="X32" s="80">
        <v>31</v>
      </c>
      <c r="Y32" s="53"/>
      <c r="Z32" s="51"/>
      <c r="AA32" s="110"/>
      <c r="AB32" s="110"/>
      <c r="AC32" s="110"/>
      <c r="AD32" s="53"/>
      <c r="AE32" s="66">
        <f t="shared" si="2"/>
        <v>0</v>
      </c>
      <c r="AF32" s="61">
        <f t="shared" si="3"/>
        <v>0</v>
      </c>
      <c r="AG32" s="56">
        <f t="shared" si="4"/>
        <v>0</v>
      </c>
      <c r="AH32" s="67">
        <f t="shared" si="5"/>
        <v>0</v>
      </c>
      <c r="AI32" s="68">
        <f t="shared" si="5"/>
        <v>0</v>
      </c>
      <c r="AJ32" s="68">
        <f t="shared" si="5"/>
        <v>0</v>
      </c>
      <c r="AK32" s="57">
        <f t="shared" si="5"/>
        <v>0</v>
      </c>
      <c r="AL32" s="67">
        <f t="shared" si="6"/>
        <v>0</v>
      </c>
      <c r="AM32" s="57">
        <f t="shared" si="7"/>
        <v>0</v>
      </c>
      <c r="AN32" s="52"/>
      <c r="AO32" s="69"/>
      <c r="AP32" s="52"/>
      <c r="AQ32" s="70"/>
      <c r="AR32" s="52"/>
      <c r="AS32" s="52"/>
      <c r="AT32" s="52"/>
      <c r="AU32" s="61" t="str">
        <f t="shared" si="19"/>
        <v/>
      </c>
      <c r="AV32" s="61" t="str">
        <f t="shared" ca="1" si="20"/>
        <v/>
      </c>
      <c r="AW32" s="61" t="str">
        <f t="shared" si="8"/>
        <v/>
      </c>
      <c r="AX32" s="61" t="str">
        <f t="shared" ca="1" si="9"/>
        <v/>
      </c>
      <c r="AY32" s="71"/>
      <c r="AZ32" s="71"/>
      <c r="BA32" s="61" t="str">
        <f t="shared" si="21"/>
        <v/>
      </c>
      <c r="BB32" s="71"/>
      <c r="BC32" s="71"/>
      <c r="BD32" s="61" t="str">
        <f t="shared" si="22"/>
        <v/>
      </c>
      <c r="BE32" s="52"/>
      <c r="BW32" s="1"/>
      <c r="BX32" s="1"/>
      <c r="CC32" s="3"/>
      <c r="CD32" s="3"/>
    </row>
    <row r="33" spans="1:82" ht="17.399999999999999" customHeight="1">
      <c r="A33" s="87">
        <f t="shared" si="27"/>
        <v>4.2</v>
      </c>
      <c r="B33" s="111">
        <f t="shared" si="11"/>
        <v>23</v>
      </c>
      <c r="C33" s="60"/>
      <c r="D33" s="74"/>
      <c r="E33" s="75"/>
      <c r="F33" s="74"/>
      <c r="G33" s="54">
        <f t="shared" si="30"/>
        <v>0</v>
      </c>
      <c r="H33" s="55">
        <f t="shared" si="30"/>
        <v>0</v>
      </c>
      <c r="I33" s="76">
        <f t="shared" si="13"/>
        <v>0</v>
      </c>
      <c r="J33" s="58">
        <f t="shared" si="14"/>
        <v>0</v>
      </c>
      <c r="K33" s="58">
        <f t="shared" si="15"/>
        <v>0</v>
      </c>
      <c r="L33" s="58">
        <f t="shared" si="16"/>
        <v>0</v>
      </c>
      <c r="M33" s="58" t="str">
        <f t="shared" ca="1" si="17"/>
        <v/>
      </c>
      <c r="N33" s="58" t="str">
        <f t="shared" ca="1" si="0"/>
        <v/>
      </c>
      <c r="O33" s="58">
        <f t="shared" si="18"/>
        <v>5.0000000000000001E-4</v>
      </c>
      <c r="P33" s="77"/>
      <c r="Q33" s="60"/>
      <c r="R33" s="77"/>
      <c r="S33" s="78">
        <f t="shared" si="1"/>
        <v>0</v>
      </c>
      <c r="T33" s="55">
        <f t="shared" si="1"/>
        <v>0</v>
      </c>
      <c r="U33" s="79">
        <f t="shared" si="25"/>
        <v>0</v>
      </c>
      <c r="V33" s="63">
        <f t="shared" si="26"/>
        <v>0</v>
      </c>
      <c r="W33" s="64">
        <f t="shared" ref="W33:X38" si="31">W32</f>
        <v>49</v>
      </c>
      <c r="X33" s="80">
        <f t="shared" si="31"/>
        <v>31</v>
      </c>
      <c r="Y33" s="75"/>
      <c r="Z33" s="60"/>
      <c r="AA33" s="112"/>
      <c r="AB33" s="112"/>
      <c r="AC33" s="112"/>
      <c r="AD33" s="75"/>
      <c r="AE33" s="81">
        <f t="shared" si="2"/>
        <v>0</v>
      </c>
      <c r="AF33" s="55">
        <f t="shared" si="3"/>
        <v>0</v>
      </c>
      <c r="AG33" s="76">
        <f t="shared" si="4"/>
        <v>0</v>
      </c>
      <c r="AH33" s="82">
        <f t="shared" si="5"/>
        <v>0</v>
      </c>
      <c r="AI33" s="83">
        <f t="shared" si="5"/>
        <v>0</v>
      </c>
      <c r="AJ33" s="83">
        <f t="shared" si="5"/>
        <v>0</v>
      </c>
      <c r="AK33" s="58">
        <f t="shared" si="5"/>
        <v>0</v>
      </c>
      <c r="AL33" s="82">
        <f t="shared" si="6"/>
        <v>0</v>
      </c>
      <c r="AM33" s="58">
        <f t="shared" si="7"/>
        <v>0</v>
      </c>
      <c r="AN33" s="74"/>
      <c r="AO33" s="84"/>
      <c r="AP33" s="74"/>
      <c r="AQ33" s="85"/>
      <c r="AR33" s="74"/>
      <c r="AS33" s="74"/>
      <c r="AT33" s="74"/>
      <c r="AU33" s="55" t="str">
        <f t="shared" si="19"/>
        <v/>
      </c>
      <c r="AV33" s="55" t="str">
        <f t="shared" ca="1" si="20"/>
        <v/>
      </c>
      <c r="AW33" s="55" t="str">
        <f t="shared" si="8"/>
        <v/>
      </c>
      <c r="AX33" s="55" t="str">
        <f t="shared" ca="1" si="9"/>
        <v/>
      </c>
      <c r="AY33" s="86"/>
      <c r="AZ33" s="86"/>
      <c r="BA33" s="55" t="str">
        <f t="shared" si="21"/>
        <v/>
      </c>
      <c r="BB33" s="86"/>
      <c r="BC33" s="86"/>
      <c r="BD33" s="55" t="str">
        <f t="shared" si="22"/>
        <v/>
      </c>
      <c r="BE33" s="74"/>
      <c r="BW33" s="1"/>
      <c r="BX33" s="1"/>
      <c r="CC33" s="3"/>
      <c r="CD33" s="3"/>
    </row>
    <row r="34" spans="1:82" ht="17.399999999999999" customHeight="1">
      <c r="A34" s="72">
        <f t="shared" si="27"/>
        <v>4.3000000000000007</v>
      </c>
      <c r="B34" s="111">
        <f t="shared" si="11"/>
        <v>24</v>
      </c>
      <c r="C34" s="60"/>
      <c r="D34" s="74"/>
      <c r="E34" s="75"/>
      <c r="F34" s="74"/>
      <c r="G34" s="54">
        <f t="shared" si="30"/>
        <v>0</v>
      </c>
      <c r="H34" s="55">
        <f t="shared" si="30"/>
        <v>0</v>
      </c>
      <c r="I34" s="76">
        <f t="shared" si="13"/>
        <v>0</v>
      </c>
      <c r="J34" s="58">
        <f t="shared" si="14"/>
        <v>0</v>
      </c>
      <c r="K34" s="58">
        <f t="shared" si="15"/>
        <v>0</v>
      </c>
      <c r="L34" s="58">
        <f t="shared" si="16"/>
        <v>0</v>
      </c>
      <c r="M34" s="58" t="str">
        <f t="shared" ca="1" si="17"/>
        <v/>
      </c>
      <c r="N34" s="58" t="str">
        <f t="shared" ca="1" si="0"/>
        <v/>
      </c>
      <c r="O34" s="58">
        <f t="shared" si="18"/>
        <v>5.0000000000000001E-4</v>
      </c>
      <c r="P34" s="77"/>
      <c r="Q34" s="60"/>
      <c r="R34" s="77"/>
      <c r="S34" s="78">
        <f t="shared" si="1"/>
        <v>0</v>
      </c>
      <c r="T34" s="55">
        <f t="shared" si="1"/>
        <v>0</v>
      </c>
      <c r="U34" s="79">
        <f t="shared" si="25"/>
        <v>0</v>
      </c>
      <c r="V34" s="63">
        <f t="shared" si="26"/>
        <v>0</v>
      </c>
      <c r="W34" s="64">
        <f t="shared" si="31"/>
        <v>49</v>
      </c>
      <c r="X34" s="80">
        <f t="shared" si="31"/>
        <v>31</v>
      </c>
      <c r="Y34" s="75"/>
      <c r="Z34" s="60"/>
      <c r="AA34" s="112"/>
      <c r="AB34" s="112"/>
      <c r="AC34" s="112"/>
      <c r="AD34" s="75"/>
      <c r="AE34" s="81">
        <f t="shared" si="2"/>
        <v>0</v>
      </c>
      <c r="AF34" s="55">
        <f t="shared" si="3"/>
        <v>0</v>
      </c>
      <c r="AG34" s="76">
        <f t="shared" si="4"/>
        <v>0</v>
      </c>
      <c r="AH34" s="82">
        <f t="shared" si="5"/>
        <v>0</v>
      </c>
      <c r="AI34" s="83">
        <f t="shared" si="5"/>
        <v>0</v>
      </c>
      <c r="AJ34" s="83">
        <f t="shared" si="5"/>
        <v>0</v>
      </c>
      <c r="AK34" s="58">
        <f t="shared" si="5"/>
        <v>0</v>
      </c>
      <c r="AL34" s="82">
        <f t="shared" si="6"/>
        <v>0</v>
      </c>
      <c r="AM34" s="58">
        <f t="shared" si="7"/>
        <v>0</v>
      </c>
      <c r="AN34" s="74"/>
      <c r="AO34" s="84"/>
      <c r="AP34" s="74"/>
      <c r="AQ34" s="85"/>
      <c r="AR34" s="74"/>
      <c r="AS34" s="74"/>
      <c r="AT34" s="74"/>
      <c r="AU34" s="55" t="str">
        <f t="shared" si="19"/>
        <v/>
      </c>
      <c r="AV34" s="55" t="str">
        <f t="shared" ca="1" si="20"/>
        <v/>
      </c>
      <c r="AW34" s="55" t="str">
        <f t="shared" si="8"/>
        <v/>
      </c>
      <c r="AX34" s="55" t="str">
        <f t="shared" ca="1" si="9"/>
        <v/>
      </c>
      <c r="AY34" s="86"/>
      <c r="AZ34" s="86"/>
      <c r="BA34" s="55" t="str">
        <f t="shared" si="21"/>
        <v/>
      </c>
      <c r="BB34" s="86"/>
      <c r="BC34" s="86"/>
      <c r="BD34" s="55" t="str">
        <f t="shared" si="22"/>
        <v/>
      </c>
      <c r="BE34" s="74"/>
      <c r="BW34" s="1"/>
      <c r="BX34" s="1"/>
      <c r="CC34" s="3"/>
      <c r="CD34" s="3"/>
    </row>
    <row r="35" spans="1:82" ht="17.399999999999999" customHeight="1">
      <c r="A35" s="87">
        <f t="shared" si="27"/>
        <v>4.4000000000000004</v>
      </c>
      <c r="B35" s="111">
        <f t="shared" si="11"/>
        <v>25</v>
      </c>
      <c r="C35" s="60"/>
      <c r="D35" s="74"/>
      <c r="E35" s="75"/>
      <c r="F35" s="74"/>
      <c r="G35" s="54">
        <f t="shared" si="30"/>
        <v>0</v>
      </c>
      <c r="H35" s="55">
        <f t="shared" si="30"/>
        <v>0</v>
      </c>
      <c r="I35" s="76">
        <f t="shared" si="13"/>
        <v>0</v>
      </c>
      <c r="J35" s="58">
        <f t="shared" si="14"/>
        <v>0</v>
      </c>
      <c r="K35" s="58">
        <f t="shared" si="15"/>
        <v>0</v>
      </c>
      <c r="L35" s="58">
        <f t="shared" si="16"/>
        <v>0</v>
      </c>
      <c r="M35" s="58" t="str">
        <f t="shared" ca="1" si="17"/>
        <v/>
      </c>
      <c r="N35" s="58" t="str">
        <f t="shared" ca="1" si="0"/>
        <v/>
      </c>
      <c r="O35" s="58">
        <f t="shared" si="18"/>
        <v>5.0000000000000001E-4</v>
      </c>
      <c r="P35" s="77"/>
      <c r="Q35" s="60"/>
      <c r="R35" s="77"/>
      <c r="S35" s="78">
        <f t="shared" si="1"/>
        <v>0</v>
      </c>
      <c r="T35" s="55">
        <f t="shared" si="1"/>
        <v>0</v>
      </c>
      <c r="U35" s="79">
        <f t="shared" si="25"/>
        <v>0</v>
      </c>
      <c r="V35" s="63">
        <f t="shared" si="26"/>
        <v>0</v>
      </c>
      <c r="W35" s="64">
        <f t="shared" si="31"/>
        <v>49</v>
      </c>
      <c r="X35" s="80">
        <f t="shared" si="31"/>
        <v>31</v>
      </c>
      <c r="Y35" s="75"/>
      <c r="Z35" s="60"/>
      <c r="AA35" s="112"/>
      <c r="AB35" s="112"/>
      <c r="AC35" s="112"/>
      <c r="AD35" s="75"/>
      <c r="AE35" s="81">
        <f t="shared" si="2"/>
        <v>0</v>
      </c>
      <c r="AF35" s="55">
        <f t="shared" si="3"/>
        <v>0</v>
      </c>
      <c r="AG35" s="76">
        <f t="shared" si="4"/>
        <v>0</v>
      </c>
      <c r="AH35" s="82">
        <f t="shared" si="5"/>
        <v>0</v>
      </c>
      <c r="AI35" s="83">
        <f t="shared" si="5"/>
        <v>0</v>
      </c>
      <c r="AJ35" s="83">
        <f t="shared" si="5"/>
        <v>0</v>
      </c>
      <c r="AK35" s="58">
        <f t="shared" si="5"/>
        <v>0</v>
      </c>
      <c r="AL35" s="82">
        <f t="shared" si="6"/>
        <v>0</v>
      </c>
      <c r="AM35" s="58">
        <f t="shared" si="7"/>
        <v>0</v>
      </c>
      <c r="AN35" s="74"/>
      <c r="AO35" s="84"/>
      <c r="AP35" s="74"/>
      <c r="AQ35" s="85"/>
      <c r="AR35" s="74"/>
      <c r="AS35" s="74"/>
      <c r="AT35" s="74"/>
      <c r="AU35" s="55" t="str">
        <f t="shared" si="19"/>
        <v/>
      </c>
      <c r="AV35" s="55" t="str">
        <f t="shared" ca="1" si="20"/>
        <v/>
      </c>
      <c r="AW35" s="55" t="str">
        <f t="shared" si="8"/>
        <v/>
      </c>
      <c r="AX35" s="55" t="str">
        <f t="shared" ca="1" si="9"/>
        <v/>
      </c>
      <c r="AY35" s="86"/>
      <c r="AZ35" s="86"/>
      <c r="BA35" s="55" t="str">
        <f t="shared" si="21"/>
        <v/>
      </c>
      <c r="BB35" s="86"/>
      <c r="BC35" s="86"/>
      <c r="BD35" s="55" t="str">
        <f t="shared" si="22"/>
        <v/>
      </c>
      <c r="BE35" s="74"/>
      <c r="BW35" s="1"/>
      <c r="BX35" s="1"/>
      <c r="CC35" s="3"/>
      <c r="CD35" s="3"/>
    </row>
    <row r="36" spans="1:82" ht="17.399999999999999" customHeight="1">
      <c r="A36" s="72">
        <f t="shared" si="27"/>
        <v>4.5</v>
      </c>
      <c r="B36" s="111">
        <f t="shared" si="11"/>
        <v>26</v>
      </c>
      <c r="C36" s="60"/>
      <c r="D36" s="74"/>
      <c r="E36" s="75"/>
      <c r="F36" s="74"/>
      <c r="G36" s="54">
        <f t="shared" si="30"/>
        <v>0</v>
      </c>
      <c r="H36" s="55">
        <f t="shared" si="30"/>
        <v>0</v>
      </c>
      <c r="I36" s="76">
        <f t="shared" si="13"/>
        <v>0</v>
      </c>
      <c r="J36" s="58">
        <f t="shared" si="14"/>
        <v>0</v>
      </c>
      <c r="K36" s="58">
        <f t="shared" si="15"/>
        <v>0</v>
      </c>
      <c r="L36" s="58">
        <f t="shared" si="16"/>
        <v>0</v>
      </c>
      <c r="M36" s="58" t="str">
        <f t="shared" ca="1" si="17"/>
        <v/>
      </c>
      <c r="N36" s="58" t="str">
        <f t="shared" ca="1" si="0"/>
        <v/>
      </c>
      <c r="O36" s="58">
        <f t="shared" si="18"/>
        <v>5.0000000000000001E-4</v>
      </c>
      <c r="P36" s="77"/>
      <c r="Q36" s="60"/>
      <c r="R36" s="77"/>
      <c r="S36" s="78">
        <f t="shared" si="1"/>
        <v>0</v>
      </c>
      <c r="T36" s="55">
        <f t="shared" si="1"/>
        <v>0</v>
      </c>
      <c r="U36" s="79">
        <f t="shared" si="25"/>
        <v>0</v>
      </c>
      <c r="V36" s="63">
        <f t="shared" si="26"/>
        <v>0</v>
      </c>
      <c r="W36" s="64">
        <f t="shared" si="31"/>
        <v>49</v>
      </c>
      <c r="X36" s="80">
        <f t="shared" si="31"/>
        <v>31</v>
      </c>
      <c r="Y36" s="75"/>
      <c r="Z36" s="60"/>
      <c r="AA36" s="112"/>
      <c r="AB36" s="112"/>
      <c r="AC36" s="112"/>
      <c r="AD36" s="75"/>
      <c r="AE36" s="81">
        <f t="shared" si="2"/>
        <v>0</v>
      </c>
      <c r="AF36" s="55">
        <f t="shared" si="3"/>
        <v>0</v>
      </c>
      <c r="AG36" s="76">
        <f t="shared" si="4"/>
        <v>0</v>
      </c>
      <c r="AH36" s="82">
        <f t="shared" si="5"/>
        <v>0</v>
      </c>
      <c r="AI36" s="83">
        <f t="shared" si="5"/>
        <v>0</v>
      </c>
      <c r="AJ36" s="83">
        <f t="shared" si="5"/>
        <v>0</v>
      </c>
      <c r="AK36" s="58">
        <f t="shared" si="5"/>
        <v>0</v>
      </c>
      <c r="AL36" s="82">
        <f t="shared" si="6"/>
        <v>0</v>
      </c>
      <c r="AM36" s="58">
        <f t="shared" si="7"/>
        <v>0</v>
      </c>
      <c r="AN36" s="74"/>
      <c r="AO36" s="84"/>
      <c r="AP36" s="74"/>
      <c r="AQ36" s="85"/>
      <c r="AR36" s="74"/>
      <c r="AS36" s="74"/>
      <c r="AT36" s="74"/>
      <c r="AU36" s="55" t="str">
        <f t="shared" si="19"/>
        <v/>
      </c>
      <c r="AV36" s="55" t="str">
        <f t="shared" ca="1" si="20"/>
        <v/>
      </c>
      <c r="AW36" s="55" t="str">
        <f t="shared" si="8"/>
        <v/>
      </c>
      <c r="AX36" s="55" t="str">
        <f t="shared" ca="1" si="9"/>
        <v/>
      </c>
      <c r="AY36" s="86"/>
      <c r="AZ36" s="86"/>
      <c r="BA36" s="55" t="str">
        <f t="shared" si="21"/>
        <v/>
      </c>
      <c r="BB36" s="86"/>
      <c r="BC36" s="86"/>
      <c r="BD36" s="55" t="str">
        <f t="shared" si="22"/>
        <v/>
      </c>
      <c r="BE36" s="74"/>
      <c r="BW36" s="1"/>
      <c r="BX36" s="1"/>
      <c r="CC36" s="3"/>
      <c r="CD36" s="3"/>
    </row>
    <row r="37" spans="1:82" ht="17.399999999999999" customHeight="1">
      <c r="A37" s="87">
        <f t="shared" si="27"/>
        <v>4.6000000000000005</v>
      </c>
      <c r="B37" s="111">
        <f t="shared" si="11"/>
        <v>27</v>
      </c>
      <c r="C37" s="60"/>
      <c r="D37" s="74"/>
      <c r="E37" s="75"/>
      <c r="F37" s="74"/>
      <c r="G37" s="54">
        <f t="shared" si="30"/>
        <v>0</v>
      </c>
      <c r="H37" s="55">
        <f t="shared" si="30"/>
        <v>0</v>
      </c>
      <c r="I37" s="76">
        <f t="shared" si="13"/>
        <v>0</v>
      </c>
      <c r="J37" s="58">
        <f t="shared" si="14"/>
        <v>0</v>
      </c>
      <c r="K37" s="58">
        <f t="shared" si="15"/>
        <v>0</v>
      </c>
      <c r="L37" s="58">
        <f t="shared" si="16"/>
        <v>0</v>
      </c>
      <c r="M37" s="58" t="str">
        <f t="shared" ca="1" si="17"/>
        <v/>
      </c>
      <c r="N37" s="58" t="str">
        <f t="shared" ca="1" si="0"/>
        <v/>
      </c>
      <c r="O37" s="58">
        <f t="shared" si="18"/>
        <v>5.0000000000000001E-4</v>
      </c>
      <c r="P37" s="77"/>
      <c r="Q37" s="60"/>
      <c r="R37" s="77"/>
      <c r="S37" s="78">
        <f t="shared" si="1"/>
        <v>0</v>
      </c>
      <c r="T37" s="55">
        <f t="shared" si="1"/>
        <v>0</v>
      </c>
      <c r="U37" s="79">
        <f t="shared" si="25"/>
        <v>0</v>
      </c>
      <c r="V37" s="63">
        <f t="shared" si="26"/>
        <v>0</v>
      </c>
      <c r="W37" s="64">
        <f t="shared" si="31"/>
        <v>49</v>
      </c>
      <c r="X37" s="80">
        <f t="shared" si="31"/>
        <v>31</v>
      </c>
      <c r="Y37" s="75"/>
      <c r="Z37" s="60"/>
      <c r="AA37" s="112"/>
      <c r="AB37" s="112"/>
      <c r="AC37" s="112"/>
      <c r="AD37" s="75"/>
      <c r="AE37" s="81">
        <f t="shared" si="2"/>
        <v>0</v>
      </c>
      <c r="AF37" s="55">
        <f t="shared" si="3"/>
        <v>0</v>
      </c>
      <c r="AG37" s="76">
        <f t="shared" si="4"/>
        <v>0</v>
      </c>
      <c r="AH37" s="82">
        <f t="shared" si="5"/>
        <v>0</v>
      </c>
      <c r="AI37" s="83">
        <f t="shared" si="5"/>
        <v>0</v>
      </c>
      <c r="AJ37" s="83">
        <f t="shared" si="5"/>
        <v>0</v>
      </c>
      <c r="AK37" s="58">
        <f t="shared" si="5"/>
        <v>0</v>
      </c>
      <c r="AL37" s="82">
        <f t="shared" si="6"/>
        <v>0</v>
      </c>
      <c r="AM37" s="58">
        <f t="shared" si="7"/>
        <v>0</v>
      </c>
      <c r="AN37" s="74"/>
      <c r="AO37" s="84"/>
      <c r="AP37" s="74"/>
      <c r="AQ37" s="85"/>
      <c r="AR37" s="74"/>
      <c r="AS37" s="74"/>
      <c r="AT37" s="74"/>
      <c r="AU37" s="55" t="str">
        <f t="shared" si="19"/>
        <v/>
      </c>
      <c r="AV37" s="55" t="str">
        <f t="shared" ca="1" si="20"/>
        <v/>
      </c>
      <c r="AW37" s="55" t="str">
        <f t="shared" si="8"/>
        <v/>
      </c>
      <c r="AX37" s="55" t="str">
        <f t="shared" ca="1" si="9"/>
        <v/>
      </c>
      <c r="AY37" s="86"/>
      <c r="AZ37" s="86"/>
      <c r="BA37" s="55" t="str">
        <f t="shared" si="21"/>
        <v/>
      </c>
      <c r="BB37" s="86"/>
      <c r="BC37" s="86"/>
      <c r="BD37" s="55" t="str">
        <f t="shared" si="22"/>
        <v/>
      </c>
      <c r="BE37" s="74"/>
      <c r="BW37" s="1"/>
      <c r="BX37" s="1"/>
      <c r="CC37" s="3"/>
      <c r="CD37" s="3"/>
    </row>
    <row r="38" spans="1:82" ht="17.399999999999999" customHeight="1" thickBot="1">
      <c r="A38" s="72">
        <f t="shared" si="27"/>
        <v>4.7000000000000011</v>
      </c>
      <c r="B38" s="113">
        <f t="shared" si="11"/>
        <v>28</v>
      </c>
      <c r="C38" s="89"/>
      <c r="D38" s="90"/>
      <c r="E38" s="91"/>
      <c r="F38" s="90"/>
      <c r="G38" s="92">
        <f t="shared" si="30"/>
        <v>0</v>
      </c>
      <c r="H38" s="93">
        <f t="shared" si="30"/>
        <v>0</v>
      </c>
      <c r="I38" s="94">
        <f t="shared" si="13"/>
        <v>0</v>
      </c>
      <c r="J38" s="95">
        <f t="shared" si="14"/>
        <v>0</v>
      </c>
      <c r="K38" s="95">
        <f t="shared" si="15"/>
        <v>0</v>
      </c>
      <c r="L38" s="95">
        <f t="shared" si="16"/>
        <v>0</v>
      </c>
      <c r="M38" s="95" t="str">
        <f t="shared" ca="1" si="17"/>
        <v/>
      </c>
      <c r="N38" s="95" t="str">
        <f t="shared" ca="1" si="0"/>
        <v/>
      </c>
      <c r="O38" s="95">
        <f t="shared" si="18"/>
        <v>5.0000000000000001E-4</v>
      </c>
      <c r="P38" s="96"/>
      <c r="Q38" s="89"/>
      <c r="R38" s="96"/>
      <c r="S38" s="78">
        <f t="shared" si="1"/>
        <v>0</v>
      </c>
      <c r="T38" s="55">
        <f t="shared" si="1"/>
        <v>0</v>
      </c>
      <c r="U38" s="97">
        <f t="shared" si="25"/>
        <v>0</v>
      </c>
      <c r="V38" s="98">
        <f t="shared" si="26"/>
        <v>0</v>
      </c>
      <c r="W38" s="99">
        <f t="shared" si="31"/>
        <v>49</v>
      </c>
      <c r="X38" s="100">
        <f t="shared" si="31"/>
        <v>31</v>
      </c>
      <c r="Y38" s="91"/>
      <c r="Z38" s="89"/>
      <c r="AA38" s="112"/>
      <c r="AB38" s="112"/>
      <c r="AC38" s="112"/>
      <c r="AD38" s="75"/>
      <c r="AE38" s="101">
        <f t="shared" si="2"/>
        <v>0</v>
      </c>
      <c r="AF38" s="93">
        <f t="shared" si="3"/>
        <v>0</v>
      </c>
      <c r="AG38" s="94">
        <f t="shared" si="4"/>
        <v>0</v>
      </c>
      <c r="AH38" s="102">
        <f t="shared" si="5"/>
        <v>0</v>
      </c>
      <c r="AI38" s="103">
        <f t="shared" si="5"/>
        <v>0</v>
      </c>
      <c r="AJ38" s="103">
        <f t="shared" si="5"/>
        <v>0</v>
      </c>
      <c r="AK38" s="95">
        <f t="shared" si="5"/>
        <v>0</v>
      </c>
      <c r="AL38" s="102">
        <f t="shared" si="6"/>
        <v>0</v>
      </c>
      <c r="AM38" s="95">
        <f t="shared" si="7"/>
        <v>0</v>
      </c>
      <c r="AN38" s="90"/>
      <c r="AO38" s="104"/>
      <c r="AP38" s="90"/>
      <c r="AQ38" s="105"/>
      <c r="AR38" s="90"/>
      <c r="AS38" s="90"/>
      <c r="AT38" s="90"/>
      <c r="AU38" s="93" t="str">
        <f t="shared" si="19"/>
        <v/>
      </c>
      <c r="AV38" s="93" t="str">
        <f t="shared" ca="1" si="20"/>
        <v/>
      </c>
      <c r="AW38" s="93" t="str">
        <f t="shared" si="8"/>
        <v/>
      </c>
      <c r="AX38" s="93" t="str">
        <f t="shared" ca="1" si="9"/>
        <v/>
      </c>
      <c r="AY38" s="106"/>
      <c r="AZ38" s="106"/>
      <c r="BA38" s="93" t="str">
        <f t="shared" si="21"/>
        <v/>
      </c>
      <c r="BB38" s="106"/>
      <c r="BC38" s="106"/>
      <c r="BD38" s="93" t="str">
        <f t="shared" si="22"/>
        <v/>
      </c>
      <c r="BE38" s="90"/>
      <c r="BW38" s="1"/>
      <c r="BX38" s="1"/>
      <c r="CC38" s="3"/>
      <c r="CD38" s="3"/>
    </row>
    <row r="39" spans="1:82" ht="17.399999999999999" customHeight="1" thickTop="1">
      <c r="A39" s="49">
        <f>A32+1</f>
        <v>5.0999999999999996</v>
      </c>
      <c r="B39" s="108">
        <f>B38+1</f>
        <v>29</v>
      </c>
      <c r="C39" s="51"/>
      <c r="D39" s="52"/>
      <c r="E39" s="53"/>
      <c r="F39" s="52"/>
      <c r="G39" s="54">
        <f t="shared" si="30"/>
        <v>0</v>
      </c>
      <c r="H39" s="55">
        <f t="shared" si="30"/>
        <v>0</v>
      </c>
      <c r="I39" s="56">
        <f t="shared" si="13"/>
        <v>0</v>
      </c>
      <c r="J39" s="57">
        <f t="shared" si="14"/>
        <v>0</v>
      </c>
      <c r="K39" s="57">
        <f t="shared" si="15"/>
        <v>0</v>
      </c>
      <c r="L39" s="57">
        <f t="shared" si="16"/>
        <v>0</v>
      </c>
      <c r="M39" s="58" t="str">
        <f t="shared" ca="1" si="17"/>
        <v/>
      </c>
      <c r="N39" s="58" t="str">
        <f t="shared" ca="1" si="0"/>
        <v/>
      </c>
      <c r="O39" s="58">
        <f t="shared" si="18"/>
        <v>5.0000000000000001E-4</v>
      </c>
      <c r="P39" s="59"/>
      <c r="Q39" s="60"/>
      <c r="R39" s="77"/>
      <c r="S39" s="109">
        <f t="shared" si="1"/>
        <v>0</v>
      </c>
      <c r="T39" s="61">
        <f t="shared" si="1"/>
        <v>0</v>
      </c>
      <c r="U39" s="62">
        <f t="shared" si="25"/>
        <v>0</v>
      </c>
      <c r="V39" s="63">
        <f t="shared" si="26"/>
        <v>0</v>
      </c>
      <c r="W39" s="64">
        <v>54</v>
      </c>
      <c r="X39" s="80">
        <v>34</v>
      </c>
      <c r="Y39" s="53"/>
      <c r="Z39" s="51"/>
      <c r="AA39" s="110"/>
      <c r="AB39" s="110"/>
      <c r="AC39" s="110"/>
      <c r="AD39" s="53"/>
      <c r="AE39" s="66">
        <f t="shared" si="2"/>
        <v>0</v>
      </c>
      <c r="AF39" s="61">
        <f t="shared" si="3"/>
        <v>0</v>
      </c>
      <c r="AG39" s="56">
        <f t="shared" si="4"/>
        <v>0</v>
      </c>
      <c r="AH39" s="67">
        <f t="shared" si="5"/>
        <v>0</v>
      </c>
      <c r="AI39" s="68">
        <f t="shared" si="5"/>
        <v>0</v>
      </c>
      <c r="AJ39" s="68">
        <f t="shared" si="5"/>
        <v>0</v>
      </c>
      <c r="AK39" s="57">
        <f t="shared" si="5"/>
        <v>0</v>
      </c>
      <c r="AL39" s="67">
        <f t="shared" si="6"/>
        <v>0</v>
      </c>
      <c r="AM39" s="57">
        <f t="shared" si="7"/>
        <v>0</v>
      </c>
      <c r="AN39" s="52"/>
      <c r="AO39" s="69"/>
      <c r="AP39" s="52"/>
      <c r="AQ39" s="70"/>
      <c r="AR39" s="52"/>
      <c r="AS39" s="52"/>
      <c r="AT39" s="52"/>
      <c r="AU39" s="61" t="str">
        <f t="shared" si="19"/>
        <v/>
      </c>
      <c r="AV39" s="61" t="str">
        <f t="shared" ca="1" si="20"/>
        <v/>
      </c>
      <c r="AW39" s="61" t="str">
        <f t="shared" si="8"/>
        <v/>
      </c>
      <c r="AX39" s="61" t="str">
        <f t="shared" ca="1" si="9"/>
        <v/>
      </c>
      <c r="AY39" s="71"/>
      <c r="AZ39" s="71"/>
      <c r="BA39" s="61" t="str">
        <f t="shared" si="21"/>
        <v/>
      </c>
      <c r="BB39" s="71"/>
      <c r="BC39" s="71"/>
      <c r="BD39" s="61" t="str">
        <f t="shared" si="22"/>
        <v/>
      </c>
      <c r="BE39" s="52"/>
      <c r="BW39" s="1"/>
      <c r="BX39" s="1"/>
      <c r="CC39" s="3"/>
      <c r="CD39" s="3"/>
    </row>
    <row r="40" spans="1:82" ht="17.399999999999999" customHeight="1">
      <c r="A40" s="72">
        <f t="shared" si="27"/>
        <v>5.2</v>
      </c>
      <c r="B40" s="111">
        <f t="shared" si="11"/>
        <v>30</v>
      </c>
      <c r="C40" s="60"/>
      <c r="D40" s="74"/>
      <c r="E40" s="75"/>
      <c r="F40" s="74"/>
      <c r="G40" s="54">
        <f t="shared" si="30"/>
        <v>0</v>
      </c>
      <c r="H40" s="55">
        <f t="shared" si="30"/>
        <v>0</v>
      </c>
      <c r="I40" s="76">
        <f t="shared" si="13"/>
        <v>0</v>
      </c>
      <c r="J40" s="58">
        <f t="shared" si="14"/>
        <v>0</v>
      </c>
      <c r="K40" s="58">
        <f t="shared" si="15"/>
        <v>0</v>
      </c>
      <c r="L40" s="58">
        <f t="shared" si="16"/>
        <v>0</v>
      </c>
      <c r="M40" s="58" t="str">
        <f t="shared" ca="1" si="17"/>
        <v/>
      </c>
      <c r="N40" s="58" t="str">
        <f t="shared" ca="1" si="0"/>
        <v/>
      </c>
      <c r="O40" s="58">
        <f t="shared" si="18"/>
        <v>5.0000000000000001E-4</v>
      </c>
      <c r="P40" s="77"/>
      <c r="Q40" s="60"/>
      <c r="R40" s="77"/>
      <c r="S40" s="78">
        <f t="shared" si="1"/>
        <v>0</v>
      </c>
      <c r="T40" s="55">
        <f t="shared" si="1"/>
        <v>0</v>
      </c>
      <c r="U40" s="79">
        <f t="shared" si="25"/>
        <v>0</v>
      </c>
      <c r="V40" s="63">
        <f t="shared" si="26"/>
        <v>0</v>
      </c>
      <c r="W40" s="64">
        <f t="shared" ref="W40:X45" si="32">W39</f>
        <v>54</v>
      </c>
      <c r="X40" s="80">
        <f t="shared" si="32"/>
        <v>34</v>
      </c>
      <c r="Y40" s="75"/>
      <c r="Z40" s="60"/>
      <c r="AA40" s="112"/>
      <c r="AB40" s="112"/>
      <c r="AC40" s="112"/>
      <c r="AD40" s="75"/>
      <c r="AE40" s="81">
        <f t="shared" si="2"/>
        <v>0</v>
      </c>
      <c r="AF40" s="55">
        <f t="shared" si="3"/>
        <v>0</v>
      </c>
      <c r="AG40" s="76">
        <f t="shared" si="4"/>
        <v>0</v>
      </c>
      <c r="AH40" s="82">
        <f t="shared" si="5"/>
        <v>0</v>
      </c>
      <c r="AI40" s="83">
        <f t="shared" si="5"/>
        <v>0</v>
      </c>
      <c r="AJ40" s="83">
        <f t="shared" si="5"/>
        <v>0</v>
      </c>
      <c r="AK40" s="58">
        <f t="shared" si="5"/>
        <v>0</v>
      </c>
      <c r="AL40" s="82">
        <f t="shared" si="6"/>
        <v>0</v>
      </c>
      <c r="AM40" s="58">
        <f t="shared" si="7"/>
        <v>0</v>
      </c>
      <c r="AN40" s="74"/>
      <c r="AO40" s="84"/>
      <c r="AP40" s="74"/>
      <c r="AQ40" s="85"/>
      <c r="AR40" s="74"/>
      <c r="AS40" s="74"/>
      <c r="AT40" s="74"/>
      <c r="AU40" s="55" t="str">
        <f t="shared" si="19"/>
        <v/>
      </c>
      <c r="AV40" s="55" t="str">
        <f t="shared" ca="1" si="20"/>
        <v/>
      </c>
      <c r="AW40" s="55" t="str">
        <f t="shared" si="8"/>
        <v/>
      </c>
      <c r="AX40" s="55" t="str">
        <f t="shared" ca="1" si="9"/>
        <v/>
      </c>
      <c r="AY40" s="86"/>
      <c r="AZ40" s="86"/>
      <c r="BA40" s="55" t="str">
        <f t="shared" si="21"/>
        <v/>
      </c>
      <c r="BB40" s="86"/>
      <c r="BC40" s="86"/>
      <c r="BD40" s="55" t="str">
        <f t="shared" si="22"/>
        <v/>
      </c>
      <c r="BE40" s="74"/>
      <c r="BW40" s="1"/>
      <c r="BX40" s="1"/>
      <c r="CC40" s="3"/>
      <c r="CD40" s="3"/>
    </row>
    <row r="41" spans="1:82" ht="17.399999999999999" customHeight="1">
      <c r="A41" s="87">
        <f t="shared" si="27"/>
        <v>5.3000000000000007</v>
      </c>
      <c r="B41" s="111">
        <f t="shared" si="11"/>
        <v>31</v>
      </c>
      <c r="C41" s="60"/>
      <c r="D41" s="74"/>
      <c r="E41" s="75"/>
      <c r="F41" s="74"/>
      <c r="G41" s="54">
        <f t="shared" si="30"/>
        <v>0</v>
      </c>
      <c r="H41" s="55">
        <f t="shared" si="30"/>
        <v>0</v>
      </c>
      <c r="I41" s="76">
        <f t="shared" si="13"/>
        <v>0</v>
      </c>
      <c r="J41" s="58">
        <f t="shared" si="14"/>
        <v>0</v>
      </c>
      <c r="K41" s="58">
        <f t="shared" si="15"/>
        <v>0</v>
      </c>
      <c r="L41" s="58">
        <f t="shared" si="16"/>
        <v>0</v>
      </c>
      <c r="M41" s="58" t="str">
        <f t="shared" ca="1" si="17"/>
        <v/>
      </c>
      <c r="N41" s="58" t="str">
        <f t="shared" ca="1" si="0"/>
        <v/>
      </c>
      <c r="O41" s="58">
        <f t="shared" si="18"/>
        <v>5.0000000000000001E-4</v>
      </c>
      <c r="P41" s="77"/>
      <c r="Q41" s="60"/>
      <c r="R41" s="77"/>
      <c r="S41" s="78">
        <f t="shared" si="1"/>
        <v>0</v>
      </c>
      <c r="T41" s="55">
        <f t="shared" si="1"/>
        <v>0</v>
      </c>
      <c r="U41" s="79">
        <f t="shared" si="25"/>
        <v>0</v>
      </c>
      <c r="V41" s="63">
        <f t="shared" si="26"/>
        <v>0</v>
      </c>
      <c r="W41" s="64">
        <f t="shared" si="32"/>
        <v>54</v>
      </c>
      <c r="X41" s="80">
        <f t="shared" si="32"/>
        <v>34</v>
      </c>
      <c r="Y41" s="75"/>
      <c r="Z41" s="60"/>
      <c r="AA41" s="112"/>
      <c r="AB41" s="112"/>
      <c r="AC41" s="112"/>
      <c r="AD41" s="75"/>
      <c r="AE41" s="81">
        <f t="shared" si="2"/>
        <v>0</v>
      </c>
      <c r="AF41" s="55">
        <f t="shared" si="3"/>
        <v>0</v>
      </c>
      <c r="AG41" s="76">
        <f t="shared" si="4"/>
        <v>0</v>
      </c>
      <c r="AH41" s="82">
        <f t="shared" si="5"/>
        <v>0</v>
      </c>
      <c r="AI41" s="83">
        <f t="shared" si="5"/>
        <v>0</v>
      </c>
      <c r="AJ41" s="83">
        <f t="shared" si="5"/>
        <v>0</v>
      </c>
      <c r="AK41" s="58">
        <f t="shared" si="5"/>
        <v>0</v>
      </c>
      <c r="AL41" s="82">
        <f t="shared" si="6"/>
        <v>0</v>
      </c>
      <c r="AM41" s="58">
        <f t="shared" si="7"/>
        <v>0</v>
      </c>
      <c r="AN41" s="74"/>
      <c r="AO41" s="84"/>
      <c r="AP41" s="74"/>
      <c r="AQ41" s="85"/>
      <c r="AR41" s="74"/>
      <c r="AS41" s="74"/>
      <c r="AT41" s="74"/>
      <c r="AU41" s="55" t="str">
        <f t="shared" si="19"/>
        <v/>
      </c>
      <c r="AV41" s="55" t="str">
        <f t="shared" ca="1" si="20"/>
        <v/>
      </c>
      <c r="AW41" s="55" t="str">
        <f t="shared" si="8"/>
        <v/>
      </c>
      <c r="AX41" s="55" t="str">
        <f t="shared" ca="1" si="9"/>
        <v/>
      </c>
      <c r="AY41" s="86"/>
      <c r="AZ41" s="86"/>
      <c r="BA41" s="55" t="str">
        <f t="shared" si="21"/>
        <v/>
      </c>
      <c r="BB41" s="86"/>
      <c r="BC41" s="86"/>
      <c r="BD41" s="55" t="str">
        <f t="shared" si="22"/>
        <v/>
      </c>
      <c r="BE41" s="74"/>
      <c r="BW41" s="1"/>
      <c r="BX41" s="1"/>
      <c r="CC41" s="3"/>
      <c r="CD41" s="3"/>
    </row>
    <row r="42" spans="1:82" ht="17.399999999999999" customHeight="1">
      <c r="A42" s="72">
        <f t="shared" si="27"/>
        <v>5.4</v>
      </c>
      <c r="B42" s="111">
        <f t="shared" si="11"/>
        <v>32</v>
      </c>
      <c r="C42" s="60"/>
      <c r="D42" s="74"/>
      <c r="E42" s="75"/>
      <c r="F42" s="74"/>
      <c r="G42" s="54">
        <f t="shared" si="30"/>
        <v>0</v>
      </c>
      <c r="H42" s="55">
        <f t="shared" si="30"/>
        <v>0</v>
      </c>
      <c r="I42" s="76">
        <f t="shared" si="13"/>
        <v>0</v>
      </c>
      <c r="J42" s="58">
        <f t="shared" si="14"/>
        <v>0</v>
      </c>
      <c r="K42" s="58">
        <f t="shared" si="15"/>
        <v>0</v>
      </c>
      <c r="L42" s="58">
        <f t="shared" si="16"/>
        <v>0</v>
      </c>
      <c r="M42" s="58" t="str">
        <f t="shared" ca="1" si="17"/>
        <v/>
      </c>
      <c r="N42" s="58" t="str">
        <f t="shared" ca="1" si="0"/>
        <v/>
      </c>
      <c r="O42" s="58">
        <f t="shared" si="18"/>
        <v>5.0000000000000001E-4</v>
      </c>
      <c r="P42" s="77"/>
      <c r="Q42" s="60"/>
      <c r="R42" s="77"/>
      <c r="S42" s="78">
        <f t="shared" si="1"/>
        <v>0</v>
      </c>
      <c r="T42" s="55">
        <f t="shared" si="1"/>
        <v>0</v>
      </c>
      <c r="U42" s="79">
        <f t="shared" si="25"/>
        <v>0</v>
      </c>
      <c r="V42" s="63">
        <f t="shared" si="26"/>
        <v>0</v>
      </c>
      <c r="W42" s="64">
        <f t="shared" si="32"/>
        <v>54</v>
      </c>
      <c r="X42" s="80">
        <f t="shared" si="32"/>
        <v>34</v>
      </c>
      <c r="Y42" s="75"/>
      <c r="Z42" s="60"/>
      <c r="AA42" s="112"/>
      <c r="AB42" s="112"/>
      <c r="AC42" s="112"/>
      <c r="AD42" s="75"/>
      <c r="AE42" s="81">
        <f t="shared" si="2"/>
        <v>0</v>
      </c>
      <c r="AF42" s="55">
        <f t="shared" si="3"/>
        <v>0</v>
      </c>
      <c r="AG42" s="76">
        <f t="shared" si="4"/>
        <v>0</v>
      </c>
      <c r="AH42" s="82">
        <f t="shared" si="5"/>
        <v>0</v>
      </c>
      <c r="AI42" s="83">
        <f t="shared" si="5"/>
        <v>0</v>
      </c>
      <c r="AJ42" s="83">
        <f t="shared" si="5"/>
        <v>0</v>
      </c>
      <c r="AK42" s="58">
        <f t="shared" si="5"/>
        <v>0</v>
      </c>
      <c r="AL42" s="82">
        <f t="shared" si="6"/>
        <v>0</v>
      </c>
      <c r="AM42" s="58">
        <f t="shared" si="7"/>
        <v>0</v>
      </c>
      <c r="AN42" s="74"/>
      <c r="AO42" s="84"/>
      <c r="AP42" s="74"/>
      <c r="AQ42" s="85"/>
      <c r="AR42" s="74"/>
      <c r="AS42" s="74"/>
      <c r="AT42" s="74"/>
      <c r="AU42" s="55" t="str">
        <f t="shared" si="19"/>
        <v/>
      </c>
      <c r="AV42" s="55" t="str">
        <f t="shared" ca="1" si="20"/>
        <v/>
      </c>
      <c r="AW42" s="55" t="str">
        <f t="shared" si="8"/>
        <v/>
      </c>
      <c r="AX42" s="55" t="str">
        <f t="shared" ca="1" si="9"/>
        <v/>
      </c>
      <c r="AY42" s="86"/>
      <c r="AZ42" s="86"/>
      <c r="BA42" s="55" t="str">
        <f t="shared" si="21"/>
        <v/>
      </c>
      <c r="BB42" s="86"/>
      <c r="BC42" s="86"/>
      <c r="BD42" s="55" t="str">
        <f t="shared" si="22"/>
        <v/>
      </c>
      <c r="BE42" s="74"/>
      <c r="BW42" s="1"/>
      <c r="BX42" s="1"/>
      <c r="CC42" s="3"/>
      <c r="CD42" s="3"/>
    </row>
    <row r="43" spans="1:82" ht="17.399999999999999" customHeight="1">
      <c r="A43" s="87">
        <f t="shared" si="27"/>
        <v>5.5</v>
      </c>
      <c r="B43" s="111">
        <f t="shared" si="11"/>
        <v>33</v>
      </c>
      <c r="C43" s="60"/>
      <c r="D43" s="74"/>
      <c r="E43" s="75"/>
      <c r="F43" s="74"/>
      <c r="G43" s="54">
        <f t="shared" si="30"/>
        <v>0</v>
      </c>
      <c r="H43" s="55">
        <f t="shared" si="30"/>
        <v>0</v>
      </c>
      <c r="I43" s="76">
        <f t="shared" si="13"/>
        <v>0</v>
      </c>
      <c r="J43" s="58">
        <f t="shared" si="14"/>
        <v>0</v>
      </c>
      <c r="K43" s="58">
        <f t="shared" si="15"/>
        <v>0</v>
      </c>
      <c r="L43" s="58">
        <f t="shared" si="16"/>
        <v>0</v>
      </c>
      <c r="M43" s="58" t="str">
        <f t="shared" ca="1" si="17"/>
        <v/>
      </c>
      <c r="N43" s="58" t="str">
        <f t="shared" ca="1" si="0"/>
        <v/>
      </c>
      <c r="O43" s="58">
        <f t="shared" si="18"/>
        <v>5.0000000000000001E-4</v>
      </c>
      <c r="P43" s="77"/>
      <c r="Q43" s="60"/>
      <c r="R43" s="77"/>
      <c r="S43" s="78">
        <f t="shared" si="1"/>
        <v>0</v>
      </c>
      <c r="T43" s="55">
        <f t="shared" si="1"/>
        <v>0</v>
      </c>
      <c r="U43" s="79">
        <f t="shared" si="25"/>
        <v>0</v>
      </c>
      <c r="V43" s="63">
        <f t="shared" si="26"/>
        <v>0</v>
      </c>
      <c r="W43" s="64">
        <f t="shared" si="32"/>
        <v>54</v>
      </c>
      <c r="X43" s="80">
        <f t="shared" si="32"/>
        <v>34</v>
      </c>
      <c r="Y43" s="75"/>
      <c r="Z43" s="60"/>
      <c r="AA43" s="112"/>
      <c r="AB43" s="112"/>
      <c r="AC43" s="112"/>
      <c r="AD43" s="75"/>
      <c r="AE43" s="81">
        <f t="shared" si="2"/>
        <v>0</v>
      </c>
      <c r="AF43" s="55">
        <f t="shared" si="3"/>
        <v>0</v>
      </c>
      <c r="AG43" s="76">
        <f t="shared" si="4"/>
        <v>0</v>
      </c>
      <c r="AH43" s="82">
        <f t="shared" ref="AH43:AK74" si="33">IFERROR(Z43/$Y43,0)</f>
        <v>0</v>
      </c>
      <c r="AI43" s="83">
        <f t="shared" si="33"/>
        <v>0</v>
      </c>
      <c r="AJ43" s="83">
        <f t="shared" si="33"/>
        <v>0</v>
      </c>
      <c r="AK43" s="58">
        <f t="shared" si="33"/>
        <v>0</v>
      </c>
      <c r="AL43" s="82">
        <f t="shared" si="6"/>
        <v>0</v>
      </c>
      <c r="AM43" s="58">
        <f t="shared" si="7"/>
        <v>0</v>
      </c>
      <c r="AN43" s="74"/>
      <c r="AO43" s="84"/>
      <c r="AP43" s="74"/>
      <c r="AQ43" s="85"/>
      <c r="AR43" s="74"/>
      <c r="AS43" s="74"/>
      <c r="AT43" s="74"/>
      <c r="AU43" s="55" t="str">
        <f t="shared" si="19"/>
        <v/>
      </c>
      <c r="AV43" s="55" t="str">
        <f t="shared" ca="1" si="20"/>
        <v/>
      </c>
      <c r="AW43" s="55" t="str">
        <f t="shared" si="8"/>
        <v/>
      </c>
      <c r="AX43" s="55" t="str">
        <f t="shared" ca="1" si="9"/>
        <v/>
      </c>
      <c r="AY43" s="86"/>
      <c r="AZ43" s="86"/>
      <c r="BA43" s="55" t="str">
        <f t="shared" si="21"/>
        <v/>
      </c>
      <c r="BB43" s="86"/>
      <c r="BC43" s="86"/>
      <c r="BD43" s="55" t="str">
        <f t="shared" si="22"/>
        <v/>
      </c>
      <c r="BE43" s="74"/>
      <c r="BW43" s="1"/>
      <c r="BX43" s="1"/>
      <c r="CC43" s="3"/>
      <c r="CD43" s="3"/>
    </row>
    <row r="44" spans="1:82" ht="17.399999999999999" customHeight="1">
      <c r="A44" s="72">
        <f t="shared" si="27"/>
        <v>5.6000000000000005</v>
      </c>
      <c r="B44" s="111">
        <f t="shared" si="11"/>
        <v>34</v>
      </c>
      <c r="C44" s="60"/>
      <c r="D44" s="74"/>
      <c r="E44" s="75"/>
      <c r="F44" s="74"/>
      <c r="G44" s="54">
        <f t="shared" ref="G44:H59" si="34">G43-E44-C44</f>
        <v>0</v>
      </c>
      <c r="H44" s="55">
        <f t="shared" si="34"/>
        <v>0</v>
      </c>
      <c r="I44" s="76">
        <f t="shared" si="13"/>
        <v>0</v>
      </c>
      <c r="J44" s="58">
        <f t="shared" si="14"/>
        <v>0</v>
      </c>
      <c r="K44" s="58">
        <f t="shared" si="15"/>
        <v>0</v>
      </c>
      <c r="L44" s="58">
        <f t="shared" si="16"/>
        <v>0</v>
      </c>
      <c r="M44" s="58" t="str">
        <f t="shared" ca="1" si="17"/>
        <v/>
      </c>
      <c r="N44" s="58" t="str">
        <f t="shared" ca="1" si="0"/>
        <v/>
      </c>
      <c r="O44" s="58">
        <f t="shared" si="18"/>
        <v>5.0000000000000001E-4</v>
      </c>
      <c r="P44" s="77"/>
      <c r="Q44" s="60"/>
      <c r="R44" s="77"/>
      <c r="S44" s="78">
        <f t="shared" si="1"/>
        <v>0</v>
      </c>
      <c r="T44" s="55">
        <f t="shared" si="1"/>
        <v>0</v>
      </c>
      <c r="U44" s="79">
        <f t="shared" si="25"/>
        <v>0</v>
      </c>
      <c r="V44" s="63">
        <f t="shared" si="26"/>
        <v>0</v>
      </c>
      <c r="W44" s="64">
        <f t="shared" si="32"/>
        <v>54</v>
      </c>
      <c r="X44" s="80">
        <f t="shared" si="32"/>
        <v>34</v>
      </c>
      <c r="Y44" s="75"/>
      <c r="Z44" s="60"/>
      <c r="AA44" s="112"/>
      <c r="AB44" s="112"/>
      <c r="AC44" s="112"/>
      <c r="AD44" s="75"/>
      <c r="AE44" s="81">
        <f t="shared" si="2"/>
        <v>0</v>
      </c>
      <c r="AF44" s="55">
        <f t="shared" si="3"/>
        <v>0</v>
      </c>
      <c r="AG44" s="76">
        <f t="shared" si="4"/>
        <v>0</v>
      </c>
      <c r="AH44" s="82">
        <f t="shared" si="33"/>
        <v>0</v>
      </c>
      <c r="AI44" s="83">
        <f t="shared" si="33"/>
        <v>0</v>
      </c>
      <c r="AJ44" s="83">
        <f t="shared" si="33"/>
        <v>0</v>
      </c>
      <c r="AK44" s="58">
        <f t="shared" si="33"/>
        <v>0</v>
      </c>
      <c r="AL44" s="82">
        <f t="shared" si="6"/>
        <v>0</v>
      </c>
      <c r="AM44" s="58">
        <f t="shared" si="7"/>
        <v>0</v>
      </c>
      <c r="AN44" s="74"/>
      <c r="AO44" s="84"/>
      <c r="AP44" s="74"/>
      <c r="AQ44" s="85"/>
      <c r="AR44" s="74"/>
      <c r="AS44" s="74"/>
      <c r="AT44" s="74"/>
      <c r="AU44" s="55" t="str">
        <f t="shared" si="19"/>
        <v/>
      </c>
      <c r="AV44" s="55" t="str">
        <f t="shared" ca="1" si="20"/>
        <v/>
      </c>
      <c r="AW44" s="55" t="str">
        <f t="shared" si="8"/>
        <v/>
      </c>
      <c r="AX44" s="55" t="str">
        <f t="shared" ca="1" si="9"/>
        <v/>
      </c>
      <c r="AY44" s="86"/>
      <c r="AZ44" s="86"/>
      <c r="BA44" s="55" t="str">
        <f t="shared" si="21"/>
        <v/>
      </c>
      <c r="BB44" s="86"/>
      <c r="BC44" s="86"/>
      <c r="BD44" s="55" t="str">
        <f t="shared" si="22"/>
        <v/>
      </c>
      <c r="BE44" s="74"/>
      <c r="BW44" s="1"/>
      <c r="BX44" s="1"/>
      <c r="CC44" s="3"/>
      <c r="CD44" s="3"/>
    </row>
    <row r="45" spans="1:82" ht="17.399999999999999" customHeight="1" thickBot="1">
      <c r="A45" s="87">
        <f t="shared" si="27"/>
        <v>5.7000000000000011</v>
      </c>
      <c r="B45" s="113">
        <f t="shared" si="11"/>
        <v>35</v>
      </c>
      <c r="C45" s="89"/>
      <c r="D45" s="90"/>
      <c r="E45" s="91"/>
      <c r="F45" s="90"/>
      <c r="G45" s="92">
        <f t="shared" si="34"/>
        <v>0</v>
      </c>
      <c r="H45" s="93">
        <f t="shared" si="34"/>
        <v>0</v>
      </c>
      <c r="I45" s="94">
        <f t="shared" si="13"/>
        <v>0</v>
      </c>
      <c r="J45" s="95">
        <f t="shared" si="14"/>
        <v>0</v>
      </c>
      <c r="K45" s="95">
        <f t="shared" si="15"/>
        <v>0</v>
      </c>
      <c r="L45" s="95">
        <f t="shared" si="16"/>
        <v>0</v>
      </c>
      <c r="M45" s="95" t="str">
        <f t="shared" ca="1" si="17"/>
        <v/>
      </c>
      <c r="N45" s="95" t="str">
        <f t="shared" ca="1" si="0"/>
        <v/>
      </c>
      <c r="O45" s="95">
        <f t="shared" si="18"/>
        <v>5.0000000000000001E-4</v>
      </c>
      <c r="P45" s="96"/>
      <c r="Q45" s="89"/>
      <c r="R45" s="96"/>
      <c r="S45" s="78">
        <f t="shared" si="1"/>
        <v>0</v>
      </c>
      <c r="T45" s="55">
        <f t="shared" si="1"/>
        <v>0</v>
      </c>
      <c r="U45" s="97">
        <f t="shared" si="25"/>
        <v>0</v>
      </c>
      <c r="V45" s="98">
        <f t="shared" si="26"/>
        <v>0</v>
      </c>
      <c r="W45" s="99">
        <f t="shared" si="32"/>
        <v>54</v>
      </c>
      <c r="X45" s="100">
        <f t="shared" si="32"/>
        <v>34</v>
      </c>
      <c r="Y45" s="91"/>
      <c r="Z45" s="89"/>
      <c r="AA45" s="112"/>
      <c r="AB45" s="112"/>
      <c r="AC45" s="112"/>
      <c r="AD45" s="75"/>
      <c r="AE45" s="101">
        <f t="shared" si="2"/>
        <v>0</v>
      </c>
      <c r="AF45" s="93">
        <f t="shared" si="3"/>
        <v>0</v>
      </c>
      <c r="AG45" s="94">
        <f t="shared" si="4"/>
        <v>0</v>
      </c>
      <c r="AH45" s="102">
        <f t="shared" si="33"/>
        <v>0</v>
      </c>
      <c r="AI45" s="103">
        <f t="shared" si="33"/>
        <v>0</v>
      </c>
      <c r="AJ45" s="103">
        <f t="shared" si="33"/>
        <v>0</v>
      </c>
      <c r="AK45" s="95">
        <f t="shared" si="33"/>
        <v>0</v>
      </c>
      <c r="AL45" s="102">
        <f t="shared" si="6"/>
        <v>0</v>
      </c>
      <c r="AM45" s="95">
        <f t="shared" si="7"/>
        <v>0</v>
      </c>
      <c r="AN45" s="90"/>
      <c r="AO45" s="104"/>
      <c r="AP45" s="90"/>
      <c r="AQ45" s="105"/>
      <c r="AR45" s="90"/>
      <c r="AS45" s="90"/>
      <c r="AT45" s="90"/>
      <c r="AU45" s="93" t="str">
        <f t="shared" si="19"/>
        <v/>
      </c>
      <c r="AV45" s="93" t="str">
        <f t="shared" ca="1" si="20"/>
        <v/>
      </c>
      <c r="AW45" s="93" t="str">
        <f t="shared" si="8"/>
        <v/>
      </c>
      <c r="AX45" s="93" t="str">
        <f t="shared" ca="1" si="9"/>
        <v/>
      </c>
      <c r="AY45" s="106"/>
      <c r="AZ45" s="106"/>
      <c r="BA45" s="93" t="str">
        <f t="shared" si="21"/>
        <v/>
      </c>
      <c r="BB45" s="106"/>
      <c r="BC45" s="106"/>
      <c r="BD45" s="93" t="str">
        <f t="shared" si="22"/>
        <v/>
      </c>
      <c r="BE45" s="90"/>
      <c r="BW45" s="1"/>
      <c r="BX45" s="1"/>
      <c r="CC45" s="3"/>
      <c r="CD45" s="3"/>
    </row>
    <row r="46" spans="1:82" ht="17.399999999999999" customHeight="1" thickTop="1">
      <c r="A46" s="107">
        <f>A39+1</f>
        <v>6.1</v>
      </c>
      <c r="B46" s="108">
        <f>B45+1</f>
        <v>36</v>
      </c>
      <c r="C46" s="51"/>
      <c r="D46" s="52"/>
      <c r="E46" s="53"/>
      <c r="F46" s="52"/>
      <c r="G46" s="54">
        <f t="shared" si="34"/>
        <v>0</v>
      </c>
      <c r="H46" s="55">
        <f t="shared" si="34"/>
        <v>0</v>
      </c>
      <c r="I46" s="56">
        <f t="shared" si="13"/>
        <v>0</v>
      </c>
      <c r="J46" s="57">
        <f t="shared" si="14"/>
        <v>0</v>
      </c>
      <c r="K46" s="57">
        <f t="shared" si="15"/>
        <v>0</v>
      </c>
      <c r="L46" s="57">
        <f t="shared" si="16"/>
        <v>0</v>
      </c>
      <c r="M46" s="58" t="str">
        <f t="shared" ca="1" si="17"/>
        <v/>
      </c>
      <c r="N46" s="58" t="str">
        <f t="shared" ca="1" si="0"/>
        <v/>
      </c>
      <c r="O46" s="58">
        <f t="shared" si="18"/>
        <v>5.0000000000000001E-4</v>
      </c>
      <c r="P46" s="77"/>
      <c r="Q46" s="60"/>
      <c r="R46" s="77"/>
      <c r="S46" s="109">
        <f t="shared" si="1"/>
        <v>0</v>
      </c>
      <c r="T46" s="61">
        <f t="shared" si="1"/>
        <v>0</v>
      </c>
      <c r="U46" s="62">
        <f t="shared" si="25"/>
        <v>0</v>
      </c>
      <c r="V46" s="63">
        <f t="shared" si="26"/>
        <v>0</v>
      </c>
      <c r="W46" s="64">
        <v>58</v>
      </c>
      <c r="X46" s="80">
        <v>37</v>
      </c>
      <c r="Y46" s="53"/>
      <c r="Z46" s="51"/>
      <c r="AA46" s="110"/>
      <c r="AB46" s="110"/>
      <c r="AC46" s="110"/>
      <c r="AD46" s="53"/>
      <c r="AE46" s="66">
        <f t="shared" si="2"/>
        <v>0</v>
      </c>
      <c r="AF46" s="61">
        <f t="shared" si="3"/>
        <v>0</v>
      </c>
      <c r="AG46" s="56">
        <f t="shared" si="4"/>
        <v>0</v>
      </c>
      <c r="AH46" s="67">
        <f t="shared" si="33"/>
        <v>0</v>
      </c>
      <c r="AI46" s="68">
        <f t="shared" si="33"/>
        <v>0</v>
      </c>
      <c r="AJ46" s="68">
        <f t="shared" si="33"/>
        <v>0</v>
      </c>
      <c r="AK46" s="57">
        <f t="shared" si="33"/>
        <v>0</v>
      </c>
      <c r="AL46" s="67">
        <f t="shared" si="6"/>
        <v>0</v>
      </c>
      <c r="AM46" s="57">
        <f t="shared" si="7"/>
        <v>0</v>
      </c>
      <c r="AN46" s="52"/>
      <c r="AO46" s="69"/>
      <c r="AP46" s="52"/>
      <c r="AQ46" s="70"/>
      <c r="AR46" s="52"/>
      <c r="AS46" s="52"/>
      <c r="AT46" s="52"/>
      <c r="AU46" s="61" t="str">
        <f t="shared" si="19"/>
        <v/>
      </c>
      <c r="AV46" s="61" t="str">
        <f t="shared" ca="1" si="20"/>
        <v/>
      </c>
      <c r="AW46" s="61" t="str">
        <f t="shared" si="8"/>
        <v/>
      </c>
      <c r="AX46" s="61" t="str">
        <f t="shared" ca="1" si="9"/>
        <v/>
      </c>
      <c r="AY46" s="71"/>
      <c r="AZ46" s="71"/>
      <c r="BA46" s="61" t="str">
        <f t="shared" si="21"/>
        <v/>
      </c>
      <c r="BB46" s="71"/>
      <c r="BC46" s="71"/>
      <c r="BD46" s="61" t="str">
        <f t="shared" si="22"/>
        <v/>
      </c>
      <c r="BE46" s="52"/>
      <c r="BW46" s="1"/>
      <c r="BX46" s="1"/>
      <c r="CC46" s="3"/>
      <c r="CD46" s="3"/>
    </row>
    <row r="47" spans="1:82" ht="17.399999999999999" customHeight="1">
      <c r="A47" s="87">
        <f t="shared" si="27"/>
        <v>6.2</v>
      </c>
      <c r="B47" s="111">
        <f t="shared" si="11"/>
        <v>37</v>
      </c>
      <c r="C47" s="60"/>
      <c r="D47" s="74"/>
      <c r="E47" s="75"/>
      <c r="F47" s="74"/>
      <c r="G47" s="54">
        <f t="shared" si="34"/>
        <v>0</v>
      </c>
      <c r="H47" s="55">
        <f t="shared" si="34"/>
        <v>0</v>
      </c>
      <c r="I47" s="76">
        <f t="shared" si="13"/>
        <v>0</v>
      </c>
      <c r="J47" s="58">
        <f t="shared" si="14"/>
        <v>0</v>
      </c>
      <c r="K47" s="58">
        <f t="shared" si="15"/>
        <v>0</v>
      </c>
      <c r="L47" s="58">
        <f t="shared" si="16"/>
        <v>0</v>
      </c>
      <c r="M47" s="58" t="str">
        <f t="shared" ca="1" si="17"/>
        <v/>
      </c>
      <c r="N47" s="58" t="str">
        <f t="shared" ca="1" si="0"/>
        <v/>
      </c>
      <c r="O47" s="58">
        <f t="shared" si="18"/>
        <v>5.0000000000000001E-4</v>
      </c>
      <c r="P47" s="77"/>
      <c r="Q47" s="60"/>
      <c r="R47" s="77"/>
      <c r="S47" s="78">
        <f t="shared" si="1"/>
        <v>0</v>
      </c>
      <c r="T47" s="55">
        <f t="shared" si="1"/>
        <v>0</v>
      </c>
      <c r="U47" s="79">
        <f t="shared" si="25"/>
        <v>0</v>
      </c>
      <c r="V47" s="63">
        <f t="shared" si="26"/>
        <v>0</v>
      </c>
      <c r="W47" s="64">
        <f t="shared" ref="W47:X52" si="35">W46</f>
        <v>58</v>
      </c>
      <c r="X47" s="80">
        <f t="shared" si="35"/>
        <v>37</v>
      </c>
      <c r="Y47" s="75"/>
      <c r="Z47" s="60"/>
      <c r="AA47" s="112"/>
      <c r="AB47" s="112"/>
      <c r="AC47" s="112"/>
      <c r="AD47" s="75"/>
      <c r="AE47" s="81">
        <f t="shared" si="2"/>
        <v>0</v>
      </c>
      <c r="AF47" s="55">
        <f t="shared" si="3"/>
        <v>0</v>
      </c>
      <c r="AG47" s="76">
        <f t="shared" si="4"/>
        <v>0</v>
      </c>
      <c r="AH47" s="82">
        <f t="shared" si="33"/>
        <v>0</v>
      </c>
      <c r="AI47" s="83">
        <f t="shared" si="33"/>
        <v>0</v>
      </c>
      <c r="AJ47" s="83">
        <f t="shared" si="33"/>
        <v>0</v>
      </c>
      <c r="AK47" s="58">
        <f t="shared" si="33"/>
        <v>0</v>
      </c>
      <c r="AL47" s="82">
        <f t="shared" si="6"/>
        <v>0</v>
      </c>
      <c r="AM47" s="58">
        <f t="shared" si="7"/>
        <v>0</v>
      </c>
      <c r="AN47" s="74"/>
      <c r="AO47" s="84"/>
      <c r="AP47" s="74"/>
      <c r="AQ47" s="85"/>
      <c r="AR47" s="74"/>
      <c r="AS47" s="74"/>
      <c r="AT47" s="74"/>
      <c r="AU47" s="55" t="str">
        <f t="shared" si="19"/>
        <v/>
      </c>
      <c r="AV47" s="55" t="str">
        <f t="shared" ca="1" si="20"/>
        <v/>
      </c>
      <c r="AW47" s="55" t="str">
        <f t="shared" si="8"/>
        <v/>
      </c>
      <c r="AX47" s="55" t="str">
        <f t="shared" ca="1" si="9"/>
        <v/>
      </c>
      <c r="AY47" s="86"/>
      <c r="AZ47" s="86"/>
      <c r="BA47" s="55" t="str">
        <f t="shared" si="21"/>
        <v/>
      </c>
      <c r="BB47" s="86"/>
      <c r="BC47" s="86"/>
      <c r="BD47" s="55" t="str">
        <f t="shared" si="22"/>
        <v/>
      </c>
      <c r="BE47" s="74"/>
      <c r="BW47" s="1"/>
      <c r="BX47" s="1"/>
      <c r="CC47" s="3"/>
      <c r="CD47" s="3"/>
    </row>
    <row r="48" spans="1:82" ht="17.399999999999999" customHeight="1">
      <c r="A48" s="72">
        <f t="shared" si="27"/>
        <v>6.3000000000000007</v>
      </c>
      <c r="B48" s="111">
        <f t="shared" si="11"/>
        <v>38</v>
      </c>
      <c r="C48" s="60"/>
      <c r="D48" s="74"/>
      <c r="E48" s="75"/>
      <c r="F48" s="74"/>
      <c r="G48" s="54">
        <f t="shared" si="34"/>
        <v>0</v>
      </c>
      <c r="H48" s="55">
        <f t="shared" si="34"/>
        <v>0</v>
      </c>
      <c r="I48" s="76">
        <f t="shared" si="13"/>
        <v>0</v>
      </c>
      <c r="J48" s="58">
        <f t="shared" si="14"/>
        <v>0</v>
      </c>
      <c r="K48" s="58">
        <f t="shared" si="15"/>
        <v>0</v>
      </c>
      <c r="L48" s="58">
        <f t="shared" si="16"/>
        <v>0</v>
      </c>
      <c r="M48" s="58" t="str">
        <f t="shared" ca="1" si="17"/>
        <v/>
      </c>
      <c r="N48" s="58" t="str">
        <f t="shared" ca="1" si="0"/>
        <v/>
      </c>
      <c r="O48" s="58">
        <f t="shared" si="18"/>
        <v>5.0000000000000001E-4</v>
      </c>
      <c r="P48" s="77"/>
      <c r="Q48" s="60"/>
      <c r="R48" s="77"/>
      <c r="S48" s="78">
        <f t="shared" si="1"/>
        <v>0</v>
      </c>
      <c r="T48" s="55">
        <f t="shared" si="1"/>
        <v>0</v>
      </c>
      <c r="U48" s="79">
        <f t="shared" si="25"/>
        <v>0</v>
      </c>
      <c r="V48" s="63">
        <f t="shared" si="26"/>
        <v>0</v>
      </c>
      <c r="W48" s="64">
        <f t="shared" si="35"/>
        <v>58</v>
      </c>
      <c r="X48" s="80">
        <f t="shared" si="35"/>
        <v>37</v>
      </c>
      <c r="Y48" s="75"/>
      <c r="Z48" s="60"/>
      <c r="AA48" s="112"/>
      <c r="AB48" s="112"/>
      <c r="AC48" s="112"/>
      <c r="AD48" s="75"/>
      <c r="AE48" s="81">
        <f t="shared" si="2"/>
        <v>0</v>
      </c>
      <c r="AF48" s="55">
        <f t="shared" si="3"/>
        <v>0</v>
      </c>
      <c r="AG48" s="76">
        <f t="shared" si="4"/>
        <v>0</v>
      </c>
      <c r="AH48" s="82">
        <f t="shared" si="33"/>
        <v>0</v>
      </c>
      <c r="AI48" s="83">
        <f t="shared" si="33"/>
        <v>0</v>
      </c>
      <c r="AJ48" s="83">
        <f t="shared" si="33"/>
        <v>0</v>
      </c>
      <c r="AK48" s="58">
        <f t="shared" si="33"/>
        <v>0</v>
      </c>
      <c r="AL48" s="82">
        <f t="shared" si="6"/>
        <v>0</v>
      </c>
      <c r="AM48" s="58">
        <f t="shared" si="7"/>
        <v>0</v>
      </c>
      <c r="AN48" s="74"/>
      <c r="AO48" s="84"/>
      <c r="AP48" s="74"/>
      <c r="AQ48" s="85"/>
      <c r="AR48" s="74"/>
      <c r="AS48" s="74"/>
      <c r="AT48" s="74"/>
      <c r="AU48" s="55" t="str">
        <f t="shared" si="19"/>
        <v/>
      </c>
      <c r="AV48" s="55" t="str">
        <f t="shared" ca="1" si="20"/>
        <v/>
      </c>
      <c r="AW48" s="55" t="str">
        <f t="shared" si="8"/>
        <v/>
      </c>
      <c r="AX48" s="55" t="str">
        <f t="shared" ca="1" si="9"/>
        <v/>
      </c>
      <c r="AY48" s="86"/>
      <c r="AZ48" s="86"/>
      <c r="BA48" s="55" t="str">
        <f t="shared" si="21"/>
        <v/>
      </c>
      <c r="BB48" s="86"/>
      <c r="BC48" s="86"/>
      <c r="BD48" s="55" t="str">
        <f t="shared" si="22"/>
        <v/>
      </c>
      <c r="BE48" s="74"/>
      <c r="BW48" s="1"/>
      <c r="BX48" s="1"/>
      <c r="CC48" s="3"/>
      <c r="CD48" s="3"/>
    </row>
    <row r="49" spans="1:82" ht="17.399999999999999" customHeight="1">
      <c r="A49" s="87">
        <f t="shared" si="27"/>
        <v>6.4</v>
      </c>
      <c r="B49" s="111">
        <f t="shared" si="11"/>
        <v>39</v>
      </c>
      <c r="C49" s="60"/>
      <c r="D49" s="74"/>
      <c r="E49" s="75"/>
      <c r="F49" s="74"/>
      <c r="G49" s="54">
        <f t="shared" si="34"/>
        <v>0</v>
      </c>
      <c r="H49" s="55">
        <f t="shared" si="34"/>
        <v>0</v>
      </c>
      <c r="I49" s="76">
        <f t="shared" si="13"/>
        <v>0</v>
      </c>
      <c r="J49" s="58">
        <f t="shared" si="14"/>
        <v>0</v>
      </c>
      <c r="K49" s="58">
        <f t="shared" si="15"/>
        <v>0</v>
      </c>
      <c r="L49" s="58">
        <f t="shared" si="16"/>
        <v>0</v>
      </c>
      <c r="M49" s="58" t="str">
        <f t="shared" ca="1" si="17"/>
        <v/>
      </c>
      <c r="N49" s="58" t="str">
        <f t="shared" ca="1" si="0"/>
        <v/>
      </c>
      <c r="O49" s="58">
        <f t="shared" si="18"/>
        <v>5.0000000000000001E-4</v>
      </c>
      <c r="P49" s="77"/>
      <c r="Q49" s="60"/>
      <c r="R49" s="77"/>
      <c r="S49" s="78">
        <f t="shared" si="1"/>
        <v>0</v>
      </c>
      <c r="T49" s="55">
        <f t="shared" si="1"/>
        <v>0</v>
      </c>
      <c r="U49" s="79">
        <f t="shared" si="25"/>
        <v>0</v>
      </c>
      <c r="V49" s="63">
        <f t="shared" si="26"/>
        <v>0</v>
      </c>
      <c r="W49" s="64">
        <f t="shared" si="35"/>
        <v>58</v>
      </c>
      <c r="X49" s="80">
        <f t="shared" si="35"/>
        <v>37</v>
      </c>
      <c r="Y49" s="75"/>
      <c r="Z49" s="60"/>
      <c r="AA49" s="112"/>
      <c r="AB49" s="112"/>
      <c r="AC49" s="112"/>
      <c r="AD49" s="75"/>
      <c r="AE49" s="81">
        <f t="shared" si="2"/>
        <v>0</v>
      </c>
      <c r="AF49" s="55">
        <f t="shared" si="3"/>
        <v>0</v>
      </c>
      <c r="AG49" s="76">
        <f t="shared" si="4"/>
        <v>0</v>
      </c>
      <c r="AH49" s="82">
        <f t="shared" si="33"/>
        <v>0</v>
      </c>
      <c r="AI49" s="83">
        <f t="shared" si="33"/>
        <v>0</v>
      </c>
      <c r="AJ49" s="83">
        <f t="shared" si="33"/>
        <v>0</v>
      </c>
      <c r="AK49" s="58">
        <f t="shared" si="33"/>
        <v>0</v>
      </c>
      <c r="AL49" s="82">
        <f t="shared" si="6"/>
        <v>0</v>
      </c>
      <c r="AM49" s="58">
        <f t="shared" si="7"/>
        <v>0</v>
      </c>
      <c r="AN49" s="74"/>
      <c r="AO49" s="84"/>
      <c r="AP49" s="74"/>
      <c r="AQ49" s="85"/>
      <c r="AR49" s="74"/>
      <c r="AS49" s="74"/>
      <c r="AT49" s="74"/>
      <c r="AU49" s="55" t="str">
        <f t="shared" si="19"/>
        <v/>
      </c>
      <c r="AV49" s="55" t="str">
        <f t="shared" ca="1" si="20"/>
        <v/>
      </c>
      <c r="AW49" s="55" t="str">
        <f t="shared" si="8"/>
        <v/>
      </c>
      <c r="AX49" s="55" t="str">
        <f t="shared" ca="1" si="9"/>
        <v/>
      </c>
      <c r="AY49" s="86"/>
      <c r="AZ49" s="86"/>
      <c r="BA49" s="55" t="str">
        <f t="shared" si="21"/>
        <v/>
      </c>
      <c r="BB49" s="86"/>
      <c r="BC49" s="86"/>
      <c r="BD49" s="55" t="str">
        <f t="shared" si="22"/>
        <v/>
      </c>
      <c r="BE49" s="74"/>
      <c r="BW49" s="1"/>
      <c r="BX49" s="1"/>
      <c r="CC49" s="3"/>
      <c r="CD49" s="3"/>
    </row>
    <row r="50" spans="1:82" ht="17.399999999999999" customHeight="1">
      <c r="A50" s="72">
        <f t="shared" si="27"/>
        <v>6.5</v>
      </c>
      <c r="B50" s="111">
        <f t="shared" si="11"/>
        <v>40</v>
      </c>
      <c r="C50" s="60"/>
      <c r="D50" s="74"/>
      <c r="E50" s="75"/>
      <c r="F50" s="74"/>
      <c r="G50" s="54">
        <f t="shared" si="34"/>
        <v>0</v>
      </c>
      <c r="H50" s="55">
        <f t="shared" si="34"/>
        <v>0</v>
      </c>
      <c r="I50" s="76">
        <f t="shared" si="13"/>
        <v>0</v>
      </c>
      <c r="J50" s="58">
        <f t="shared" si="14"/>
        <v>0</v>
      </c>
      <c r="K50" s="58">
        <f t="shared" si="15"/>
        <v>0</v>
      </c>
      <c r="L50" s="58">
        <f t="shared" si="16"/>
        <v>0</v>
      </c>
      <c r="M50" s="58" t="str">
        <f t="shared" ca="1" si="17"/>
        <v/>
      </c>
      <c r="N50" s="58" t="str">
        <f t="shared" ca="1" si="0"/>
        <v/>
      </c>
      <c r="O50" s="58">
        <f t="shared" si="18"/>
        <v>5.0000000000000001E-4</v>
      </c>
      <c r="P50" s="77"/>
      <c r="Q50" s="60"/>
      <c r="R50" s="77"/>
      <c r="S50" s="78">
        <f t="shared" si="1"/>
        <v>0</v>
      </c>
      <c r="T50" s="55">
        <f t="shared" si="1"/>
        <v>0</v>
      </c>
      <c r="U50" s="79">
        <f t="shared" si="25"/>
        <v>0</v>
      </c>
      <c r="V50" s="63">
        <f t="shared" si="26"/>
        <v>0</v>
      </c>
      <c r="W50" s="64">
        <f t="shared" si="35"/>
        <v>58</v>
      </c>
      <c r="X50" s="80">
        <f t="shared" si="35"/>
        <v>37</v>
      </c>
      <c r="Y50" s="75"/>
      <c r="Z50" s="60"/>
      <c r="AA50" s="112"/>
      <c r="AB50" s="112"/>
      <c r="AC50" s="112"/>
      <c r="AD50" s="75"/>
      <c r="AE50" s="81">
        <f t="shared" si="2"/>
        <v>0</v>
      </c>
      <c r="AF50" s="55">
        <f t="shared" si="3"/>
        <v>0</v>
      </c>
      <c r="AG50" s="76">
        <f t="shared" si="4"/>
        <v>0</v>
      </c>
      <c r="AH50" s="82">
        <f t="shared" si="33"/>
        <v>0</v>
      </c>
      <c r="AI50" s="83">
        <f t="shared" si="33"/>
        <v>0</v>
      </c>
      <c r="AJ50" s="83">
        <f t="shared" si="33"/>
        <v>0</v>
      </c>
      <c r="AK50" s="58">
        <f t="shared" si="33"/>
        <v>0</v>
      </c>
      <c r="AL50" s="82">
        <f t="shared" si="6"/>
        <v>0</v>
      </c>
      <c r="AM50" s="58">
        <f t="shared" si="7"/>
        <v>0</v>
      </c>
      <c r="AN50" s="74"/>
      <c r="AO50" s="84"/>
      <c r="AP50" s="74"/>
      <c r="AQ50" s="85"/>
      <c r="AR50" s="74"/>
      <c r="AS50" s="74"/>
      <c r="AT50" s="74"/>
      <c r="AU50" s="55" t="str">
        <f t="shared" si="19"/>
        <v/>
      </c>
      <c r="AV50" s="55" t="str">
        <f t="shared" ca="1" si="20"/>
        <v/>
      </c>
      <c r="AW50" s="55" t="str">
        <f t="shared" si="8"/>
        <v/>
      </c>
      <c r="AX50" s="55" t="str">
        <f t="shared" ca="1" si="9"/>
        <v/>
      </c>
      <c r="AY50" s="86"/>
      <c r="AZ50" s="86"/>
      <c r="BA50" s="55" t="str">
        <f t="shared" si="21"/>
        <v/>
      </c>
      <c r="BB50" s="86"/>
      <c r="BC50" s="86"/>
      <c r="BD50" s="55" t="str">
        <f t="shared" si="22"/>
        <v/>
      </c>
      <c r="BE50" s="74"/>
      <c r="BW50" s="1"/>
      <c r="BX50" s="1"/>
      <c r="CC50" s="3"/>
      <c r="CD50" s="3"/>
    </row>
    <row r="51" spans="1:82" ht="17.399999999999999" customHeight="1">
      <c r="A51" s="87">
        <f t="shared" si="27"/>
        <v>6.6000000000000005</v>
      </c>
      <c r="B51" s="111">
        <f t="shared" si="11"/>
        <v>41</v>
      </c>
      <c r="C51" s="60"/>
      <c r="D51" s="74"/>
      <c r="E51" s="75"/>
      <c r="F51" s="74"/>
      <c r="G51" s="54">
        <f t="shared" si="34"/>
        <v>0</v>
      </c>
      <c r="H51" s="55">
        <f t="shared" si="34"/>
        <v>0</v>
      </c>
      <c r="I51" s="76">
        <f t="shared" si="13"/>
        <v>0</v>
      </c>
      <c r="J51" s="58">
        <f t="shared" si="14"/>
        <v>0</v>
      </c>
      <c r="K51" s="58">
        <f t="shared" si="15"/>
        <v>0</v>
      </c>
      <c r="L51" s="58">
        <f t="shared" si="16"/>
        <v>0</v>
      </c>
      <c r="M51" s="58" t="str">
        <f t="shared" ca="1" si="17"/>
        <v/>
      </c>
      <c r="N51" s="58" t="str">
        <f t="shared" ca="1" si="0"/>
        <v/>
      </c>
      <c r="O51" s="58">
        <f t="shared" si="18"/>
        <v>5.0000000000000001E-4</v>
      </c>
      <c r="P51" s="77"/>
      <c r="Q51" s="60"/>
      <c r="R51" s="77"/>
      <c r="S51" s="78">
        <f t="shared" si="1"/>
        <v>0</v>
      </c>
      <c r="T51" s="55">
        <f t="shared" si="1"/>
        <v>0</v>
      </c>
      <c r="U51" s="79">
        <f t="shared" si="25"/>
        <v>0</v>
      </c>
      <c r="V51" s="63">
        <f t="shared" si="26"/>
        <v>0</v>
      </c>
      <c r="W51" s="64">
        <f t="shared" si="35"/>
        <v>58</v>
      </c>
      <c r="X51" s="80">
        <f t="shared" si="35"/>
        <v>37</v>
      </c>
      <c r="Y51" s="75"/>
      <c r="Z51" s="60"/>
      <c r="AA51" s="112"/>
      <c r="AB51" s="112"/>
      <c r="AC51" s="112"/>
      <c r="AD51" s="75"/>
      <c r="AE51" s="81">
        <f t="shared" si="2"/>
        <v>0</v>
      </c>
      <c r="AF51" s="55">
        <f t="shared" si="3"/>
        <v>0</v>
      </c>
      <c r="AG51" s="76">
        <f t="shared" si="4"/>
        <v>0</v>
      </c>
      <c r="AH51" s="82">
        <f t="shared" si="33"/>
        <v>0</v>
      </c>
      <c r="AI51" s="83">
        <f t="shared" si="33"/>
        <v>0</v>
      </c>
      <c r="AJ51" s="83">
        <f t="shared" si="33"/>
        <v>0</v>
      </c>
      <c r="AK51" s="58">
        <f t="shared" si="33"/>
        <v>0</v>
      </c>
      <c r="AL51" s="82">
        <f t="shared" si="6"/>
        <v>0</v>
      </c>
      <c r="AM51" s="58">
        <f t="shared" si="7"/>
        <v>0</v>
      </c>
      <c r="AN51" s="74"/>
      <c r="AO51" s="84"/>
      <c r="AP51" s="74"/>
      <c r="AQ51" s="85"/>
      <c r="AR51" s="74"/>
      <c r="AS51" s="74"/>
      <c r="AT51" s="74"/>
      <c r="AU51" s="55" t="str">
        <f t="shared" si="19"/>
        <v/>
      </c>
      <c r="AV51" s="55" t="str">
        <f t="shared" ca="1" si="20"/>
        <v/>
      </c>
      <c r="AW51" s="55" t="str">
        <f t="shared" si="8"/>
        <v/>
      </c>
      <c r="AX51" s="55" t="str">
        <f t="shared" ca="1" si="9"/>
        <v/>
      </c>
      <c r="AY51" s="86"/>
      <c r="AZ51" s="86"/>
      <c r="BA51" s="55" t="str">
        <f t="shared" si="21"/>
        <v/>
      </c>
      <c r="BB51" s="86"/>
      <c r="BC51" s="86"/>
      <c r="BD51" s="55" t="str">
        <f t="shared" si="22"/>
        <v/>
      </c>
      <c r="BE51" s="74"/>
      <c r="BW51" s="1"/>
      <c r="BX51" s="1"/>
      <c r="CC51" s="3"/>
      <c r="CD51" s="3"/>
    </row>
    <row r="52" spans="1:82" ht="17.399999999999999" customHeight="1" thickBot="1">
      <c r="A52" s="72">
        <f t="shared" si="27"/>
        <v>6.7000000000000011</v>
      </c>
      <c r="B52" s="113">
        <f t="shared" si="11"/>
        <v>42</v>
      </c>
      <c r="C52" s="89"/>
      <c r="D52" s="90"/>
      <c r="E52" s="91"/>
      <c r="F52" s="90"/>
      <c r="G52" s="92">
        <f t="shared" si="34"/>
        <v>0</v>
      </c>
      <c r="H52" s="93">
        <f t="shared" si="34"/>
        <v>0</v>
      </c>
      <c r="I52" s="94">
        <f t="shared" si="13"/>
        <v>0</v>
      </c>
      <c r="J52" s="95">
        <f t="shared" si="14"/>
        <v>0</v>
      </c>
      <c r="K52" s="95">
        <f t="shared" si="15"/>
        <v>0</v>
      </c>
      <c r="L52" s="95">
        <f t="shared" si="16"/>
        <v>0</v>
      </c>
      <c r="M52" s="95" t="str">
        <f t="shared" ca="1" si="17"/>
        <v/>
      </c>
      <c r="N52" s="95" t="str">
        <f t="shared" ca="1" si="0"/>
        <v/>
      </c>
      <c r="O52" s="95">
        <f t="shared" si="18"/>
        <v>5.0000000000000001E-4</v>
      </c>
      <c r="P52" s="96"/>
      <c r="Q52" s="89"/>
      <c r="R52" s="96"/>
      <c r="S52" s="78">
        <f t="shared" si="1"/>
        <v>0</v>
      </c>
      <c r="T52" s="55">
        <f t="shared" si="1"/>
        <v>0</v>
      </c>
      <c r="U52" s="97">
        <f t="shared" si="25"/>
        <v>0</v>
      </c>
      <c r="V52" s="98">
        <f t="shared" si="26"/>
        <v>0</v>
      </c>
      <c r="W52" s="99">
        <f t="shared" si="35"/>
        <v>58</v>
      </c>
      <c r="X52" s="100">
        <f t="shared" si="35"/>
        <v>37</v>
      </c>
      <c r="Y52" s="91"/>
      <c r="Z52" s="89"/>
      <c r="AA52" s="112"/>
      <c r="AB52" s="112"/>
      <c r="AC52" s="112"/>
      <c r="AD52" s="75"/>
      <c r="AE52" s="101">
        <f t="shared" si="2"/>
        <v>0</v>
      </c>
      <c r="AF52" s="93">
        <f t="shared" si="3"/>
        <v>0</v>
      </c>
      <c r="AG52" s="94">
        <f t="shared" si="4"/>
        <v>0</v>
      </c>
      <c r="AH52" s="102">
        <f t="shared" si="33"/>
        <v>0</v>
      </c>
      <c r="AI52" s="103">
        <f t="shared" si="33"/>
        <v>0</v>
      </c>
      <c r="AJ52" s="103">
        <f t="shared" si="33"/>
        <v>0</v>
      </c>
      <c r="AK52" s="95">
        <f t="shared" si="33"/>
        <v>0</v>
      </c>
      <c r="AL52" s="102">
        <f t="shared" si="6"/>
        <v>0</v>
      </c>
      <c r="AM52" s="95">
        <f t="shared" si="7"/>
        <v>0</v>
      </c>
      <c r="AN52" s="90"/>
      <c r="AO52" s="104"/>
      <c r="AP52" s="90"/>
      <c r="AQ52" s="105"/>
      <c r="AR52" s="90"/>
      <c r="AS52" s="90"/>
      <c r="AT52" s="90"/>
      <c r="AU52" s="93" t="str">
        <f t="shared" si="19"/>
        <v/>
      </c>
      <c r="AV52" s="93" t="str">
        <f t="shared" ca="1" si="20"/>
        <v/>
      </c>
      <c r="AW52" s="93" t="str">
        <f t="shared" si="8"/>
        <v/>
      </c>
      <c r="AX52" s="93" t="str">
        <f t="shared" ca="1" si="9"/>
        <v/>
      </c>
      <c r="AY52" s="106"/>
      <c r="AZ52" s="106"/>
      <c r="BA52" s="93" t="str">
        <f t="shared" si="21"/>
        <v/>
      </c>
      <c r="BB52" s="106"/>
      <c r="BC52" s="106"/>
      <c r="BD52" s="93" t="str">
        <f t="shared" si="22"/>
        <v/>
      </c>
      <c r="BE52" s="90"/>
      <c r="BW52" s="1"/>
      <c r="BX52" s="1"/>
      <c r="CC52" s="3"/>
      <c r="CD52" s="3"/>
    </row>
    <row r="53" spans="1:82" ht="17.399999999999999" customHeight="1" thickTop="1">
      <c r="A53" s="49">
        <f>A46+1</f>
        <v>7.1</v>
      </c>
      <c r="B53" s="108">
        <f>B52+1</f>
        <v>43</v>
      </c>
      <c r="C53" s="51"/>
      <c r="D53" s="52"/>
      <c r="E53" s="53"/>
      <c r="F53" s="52"/>
      <c r="G53" s="54">
        <f t="shared" si="34"/>
        <v>0</v>
      </c>
      <c r="H53" s="55">
        <f t="shared" si="34"/>
        <v>0</v>
      </c>
      <c r="I53" s="56">
        <f t="shared" si="13"/>
        <v>0</v>
      </c>
      <c r="J53" s="57">
        <f t="shared" si="14"/>
        <v>0</v>
      </c>
      <c r="K53" s="57">
        <f t="shared" si="15"/>
        <v>0</v>
      </c>
      <c r="L53" s="57">
        <f t="shared" si="16"/>
        <v>0</v>
      </c>
      <c r="M53" s="58" t="str">
        <f t="shared" ca="1" si="17"/>
        <v/>
      </c>
      <c r="N53" s="58" t="str">
        <f t="shared" ca="1" si="0"/>
        <v/>
      </c>
      <c r="O53" s="58">
        <f t="shared" si="18"/>
        <v>5.0000000000000001E-4</v>
      </c>
      <c r="P53" s="77"/>
      <c r="Q53" s="60"/>
      <c r="R53" s="77"/>
      <c r="S53" s="109">
        <f t="shared" si="1"/>
        <v>0</v>
      </c>
      <c r="T53" s="61">
        <f t="shared" si="1"/>
        <v>0</v>
      </c>
      <c r="U53" s="62">
        <f t="shared" si="25"/>
        <v>0</v>
      </c>
      <c r="V53" s="63">
        <f t="shared" si="26"/>
        <v>0</v>
      </c>
      <c r="W53" s="64">
        <v>61</v>
      </c>
      <c r="X53" s="80">
        <v>40</v>
      </c>
      <c r="Y53" s="53"/>
      <c r="Z53" s="51"/>
      <c r="AA53" s="110"/>
      <c r="AB53" s="110"/>
      <c r="AC53" s="110"/>
      <c r="AD53" s="53"/>
      <c r="AE53" s="66">
        <f t="shared" si="2"/>
        <v>0</v>
      </c>
      <c r="AF53" s="61">
        <f t="shared" si="3"/>
        <v>0</v>
      </c>
      <c r="AG53" s="56">
        <f t="shared" si="4"/>
        <v>0</v>
      </c>
      <c r="AH53" s="67">
        <f t="shared" si="33"/>
        <v>0</v>
      </c>
      <c r="AI53" s="68">
        <f t="shared" si="33"/>
        <v>0</v>
      </c>
      <c r="AJ53" s="68">
        <f t="shared" si="33"/>
        <v>0</v>
      </c>
      <c r="AK53" s="57">
        <f t="shared" si="33"/>
        <v>0</v>
      </c>
      <c r="AL53" s="67">
        <f t="shared" si="6"/>
        <v>0</v>
      </c>
      <c r="AM53" s="57">
        <f t="shared" si="7"/>
        <v>0</v>
      </c>
      <c r="AN53" s="52"/>
      <c r="AO53" s="69"/>
      <c r="AP53" s="52"/>
      <c r="AQ53" s="70"/>
      <c r="AR53" s="52"/>
      <c r="AS53" s="52"/>
      <c r="AT53" s="52"/>
      <c r="AU53" s="61" t="str">
        <f t="shared" si="19"/>
        <v/>
      </c>
      <c r="AV53" s="61" t="str">
        <f t="shared" ca="1" si="20"/>
        <v/>
      </c>
      <c r="AW53" s="61" t="str">
        <f t="shared" si="8"/>
        <v/>
      </c>
      <c r="AX53" s="61" t="str">
        <f t="shared" ca="1" si="9"/>
        <v/>
      </c>
      <c r="AY53" s="71"/>
      <c r="AZ53" s="71"/>
      <c r="BA53" s="61" t="str">
        <f t="shared" si="21"/>
        <v/>
      </c>
      <c r="BB53" s="71"/>
      <c r="BC53" s="71"/>
      <c r="BD53" s="61" t="str">
        <f t="shared" si="22"/>
        <v/>
      </c>
      <c r="BE53" s="52"/>
      <c r="BW53" s="1"/>
      <c r="BX53" s="1"/>
      <c r="CC53" s="3"/>
      <c r="CD53" s="3"/>
    </row>
    <row r="54" spans="1:82" ht="17.399999999999999" customHeight="1">
      <c r="A54" s="72">
        <f t="shared" si="27"/>
        <v>7.2</v>
      </c>
      <c r="B54" s="111">
        <f t="shared" si="11"/>
        <v>44</v>
      </c>
      <c r="C54" s="60"/>
      <c r="D54" s="74"/>
      <c r="E54" s="75"/>
      <c r="F54" s="74"/>
      <c r="G54" s="54">
        <f t="shared" si="34"/>
        <v>0</v>
      </c>
      <c r="H54" s="55">
        <f t="shared" si="34"/>
        <v>0</v>
      </c>
      <c r="I54" s="76">
        <f t="shared" si="13"/>
        <v>0</v>
      </c>
      <c r="J54" s="58">
        <f t="shared" si="14"/>
        <v>0</v>
      </c>
      <c r="K54" s="58">
        <f t="shared" si="15"/>
        <v>0</v>
      </c>
      <c r="L54" s="58">
        <f t="shared" si="16"/>
        <v>0</v>
      </c>
      <c r="M54" s="58" t="str">
        <f t="shared" ca="1" si="17"/>
        <v/>
      </c>
      <c r="N54" s="58" t="str">
        <f t="shared" ca="1" si="0"/>
        <v/>
      </c>
      <c r="O54" s="58">
        <f t="shared" si="18"/>
        <v>5.0000000000000001E-4</v>
      </c>
      <c r="P54" s="77"/>
      <c r="Q54" s="60"/>
      <c r="R54" s="77"/>
      <c r="S54" s="78">
        <f t="shared" si="1"/>
        <v>0</v>
      </c>
      <c r="T54" s="55">
        <f t="shared" si="1"/>
        <v>0</v>
      </c>
      <c r="U54" s="79">
        <f t="shared" si="25"/>
        <v>0</v>
      </c>
      <c r="V54" s="63">
        <f t="shared" si="26"/>
        <v>0</v>
      </c>
      <c r="W54" s="64">
        <f t="shared" ref="W54:X59" si="36">W53</f>
        <v>61</v>
      </c>
      <c r="X54" s="80">
        <f t="shared" si="36"/>
        <v>40</v>
      </c>
      <c r="Y54" s="75"/>
      <c r="Z54" s="60"/>
      <c r="AA54" s="112"/>
      <c r="AB54" s="112"/>
      <c r="AC54" s="112"/>
      <c r="AD54" s="75"/>
      <c r="AE54" s="81">
        <f t="shared" si="2"/>
        <v>0</v>
      </c>
      <c r="AF54" s="55">
        <f t="shared" si="3"/>
        <v>0</v>
      </c>
      <c r="AG54" s="76">
        <f t="shared" si="4"/>
        <v>0</v>
      </c>
      <c r="AH54" s="82">
        <f t="shared" si="33"/>
        <v>0</v>
      </c>
      <c r="AI54" s="83">
        <f t="shared" si="33"/>
        <v>0</v>
      </c>
      <c r="AJ54" s="83">
        <f t="shared" si="33"/>
        <v>0</v>
      </c>
      <c r="AK54" s="58">
        <f t="shared" si="33"/>
        <v>0</v>
      </c>
      <c r="AL54" s="82">
        <f t="shared" si="6"/>
        <v>0</v>
      </c>
      <c r="AM54" s="58">
        <f t="shared" si="7"/>
        <v>0</v>
      </c>
      <c r="AN54" s="74"/>
      <c r="AO54" s="84"/>
      <c r="AP54" s="74"/>
      <c r="AQ54" s="85"/>
      <c r="AR54" s="74"/>
      <c r="AS54" s="74"/>
      <c r="AT54" s="74"/>
      <c r="AU54" s="55" t="str">
        <f t="shared" si="19"/>
        <v/>
      </c>
      <c r="AV54" s="55" t="str">
        <f t="shared" ca="1" si="20"/>
        <v/>
      </c>
      <c r="AW54" s="55" t="str">
        <f t="shared" si="8"/>
        <v/>
      </c>
      <c r="AX54" s="55" t="str">
        <f t="shared" ca="1" si="9"/>
        <v/>
      </c>
      <c r="AY54" s="86"/>
      <c r="AZ54" s="86"/>
      <c r="BA54" s="55" t="str">
        <f t="shared" si="21"/>
        <v/>
      </c>
      <c r="BB54" s="86"/>
      <c r="BC54" s="86"/>
      <c r="BD54" s="55" t="str">
        <f t="shared" si="22"/>
        <v/>
      </c>
      <c r="BE54" s="74"/>
      <c r="BW54" s="1"/>
      <c r="BX54" s="1"/>
      <c r="CC54" s="3"/>
      <c r="CD54" s="3"/>
    </row>
    <row r="55" spans="1:82" ht="17.399999999999999" customHeight="1">
      <c r="A55" s="87">
        <f t="shared" si="27"/>
        <v>7.3000000000000007</v>
      </c>
      <c r="B55" s="111">
        <f t="shared" si="11"/>
        <v>45</v>
      </c>
      <c r="C55" s="60"/>
      <c r="D55" s="74"/>
      <c r="E55" s="75"/>
      <c r="F55" s="74"/>
      <c r="G55" s="54">
        <f t="shared" si="34"/>
        <v>0</v>
      </c>
      <c r="H55" s="55">
        <f t="shared" si="34"/>
        <v>0</v>
      </c>
      <c r="I55" s="76">
        <f t="shared" si="13"/>
        <v>0</v>
      </c>
      <c r="J55" s="58">
        <f t="shared" si="14"/>
        <v>0</v>
      </c>
      <c r="K55" s="58">
        <f t="shared" si="15"/>
        <v>0</v>
      </c>
      <c r="L55" s="58">
        <f t="shared" si="16"/>
        <v>0</v>
      </c>
      <c r="M55" s="58" t="str">
        <f t="shared" ca="1" si="17"/>
        <v/>
      </c>
      <c r="N55" s="58" t="str">
        <f t="shared" ca="1" si="0"/>
        <v/>
      </c>
      <c r="O55" s="58">
        <f t="shared" si="18"/>
        <v>5.0000000000000001E-4</v>
      </c>
      <c r="P55" s="77"/>
      <c r="Q55" s="60"/>
      <c r="R55" s="77"/>
      <c r="S55" s="78">
        <f t="shared" si="1"/>
        <v>0</v>
      </c>
      <c r="T55" s="55">
        <f t="shared" si="1"/>
        <v>0</v>
      </c>
      <c r="U55" s="79">
        <f t="shared" si="25"/>
        <v>0</v>
      </c>
      <c r="V55" s="63">
        <f t="shared" si="26"/>
        <v>0</v>
      </c>
      <c r="W55" s="64">
        <f t="shared" si="36"/>
        <v>61</v>
      </c>
      <c r="X55" s="80">
        <f t="shared" si="36"/>
        <v>40</v>
      </c>
      <c r="Y55" s="75"/>
      <c r="Z55" s="60"/>
      <c r="AA55" s="112"/>
      <c r="AB55" s="112"/>
      <c r="AC55" s="112"/>
      <c r="AD55" s="75"/>
      <c r="AE55" s="81">
        <f t="shared" si="2"/>
        <v>0</v>
      </c>
      <c r="AF55" s="55">
        <f t="shared" si="3"/>
        <v>0</v>
      </c>
      <c r="AG55" s="76">
        <f t="shared" si="4"/>
        <v>0</v>
      </c>
      <c r="AH55" s="82">
        <f t="shared" si="33"/>
        <v>0</v>
      </c>
      <c r="AI55" s="83">
        <f t="shared" si="33"/>
        <v>0</v>
      </c>
      <c r="AJ55" s="83">
        <f t="shared" si="33"/>
        <v>0</v>
      </c>
      <c r="AK55" s="58">
        <f t="shared" si="33"/>
        <v>0</v>
      </c>
      <c r="AL55" s="82">
        <f t="shared" si="6"/>
        <v>0</v>
      </c>
      <c r="AM55" s="58">
        <f t="shared" si="7"/>
        <v>0</v>
      </c>
      <c r="AN55" s="74"/>
      <c r="AO55" s="84"/>
      <c r="AP55" s="74"/>
      <c r="AQ55" s="85"/>
      <c r="AR55" s="74"/>
      <c r="AS55" s="74"/>
      <c r="AT55" s="74"/>
      <c r="AU55" s="55" t="str">
        <f t="shared" si="19"/>
        <v/>
      </c>
      <c r="AV55" s="55" t="str">
        <f t="shared" ca="1" si="20"/>
        <v/>
      </c>
      <c r="AW55" s="55" t="str">
        <f t="shared" si="8"/>
        <v/>
      </c>
      <c r="AX55" s="55" t="str">
        <f t="shared" ca="1" si="9"/>
        <v/>
      </c>
      <c r="AY55" s="86"/>
      <c r="AZ55" s="86"/>
      <c r="BA55" s="55" t="str">
        <f t="shared" si="21"/>
        <v/>
      </c>
      <c r="BB55" s="86"/>
      <c r="BC55" s="86"/>
      <c r="BD55" s="55" t="str">
        <f t="shared" si="22"/>
        <v/>
      </c>
      <c r="BE55" s="74"/>
      <c r="BW55" s="1"/>
      <c r="BX55" s="1"/>
      <c r="CC55" s="3"/>
      <c r="CD55" s="3"/>
    </row>
    <row r="56" spans="1:82" ht="17.399999999999999" customHeight="1">
      <c r="A56" s="72">
        <f t="shared" si="27"/>
        <v>7.4</v>
      </c>
      <c r="B56" s="111">
        <f t="shared" si="11"/>
        <v>46</v>
      </c>
      <c r="C56" s="60"/>
      <c r="D56" s="74"/>
      <c r="E56" s="75"/>
      <c r="F56" s="74"/>
      <c r="G56" s="54">
        <f t="shared" si="34"/>
        <v>0</v>
      </c>
      <c r="H56" s="55">
        <f t="shared" si="34"/>
        <v>0</v>
      </c>
      <c r="I56" s="76">
        <f t="shared" si="13"/>
        <v>0</v>
      </c>
      <c r="J56" s="58">
        <f t="shared" si="14"/>
        <v>0</v>
      </c>
      <c r="K56" s="58">
        <f t="shared" si="15"/>
        <v>0</v>
      </c>
      <c r="L56" s="58">
        <f t="shared" si="16"/>
        <v>0</v>
      </c>
      <c r="M56" s="58" t="str">
        <f t="shared" ca="1" si="17"/>
        <v/>
      </c>
      <c r="N56" s="58" t="str">
        <f t="shared" ca="1" si="0"/>
        <v/>
      </c>
      <c r="O56" s="58">
        <f t="shared" si="18"/>
        <v>5.0000000000000001E-4</v>
      </c>
      <c r="P56" s="77"/>
      <c r="Q56" s="60"/>
      <c r="R56" s="77"/>
      <c r="S56" s="78">
        <f t="shared" si="1"/>
        <v>0</v>
      </c>
      <c r="T56" s="55">
        <f t="shared" si="1"/>
        <v>0</v>
      </c>
      <c r="U56" s="79">
        <f t="shared" si="25"/>
        <v>0</v>
      </c>
      <c r="V56" s="63">
        <f t="shared" si="26"/>
        <v>0</v>
      </c>
      <c r="W56" s="64">
        <f t="shared" si="36"/>
        <v>61</v>
      </c>
      <c r="X56" s="80">
        <f t="shared" si="36"/>
        <v>40</v>
      </c>
      <c r="Y56" s="75"/>
      <c r="Z56" s="60"/>
      <c r="AA56" s="112"/>
      <c r="AB56" s="112"/>
      <c r="AC56" s="112"/>
      <c r="AD56" s="75"/>
      <c r="AE56" s="81">
        <f t="shared" si="2"/>
        <v>0</v>
      </c>
      <c r="AF56" s="55">
        <f t="shared" si="3"/>
        <v>0</v>
      </c>
      <c r="AG56" s="76">
        <f t="shared" si="4"/>
        <v>0</v>
      </c>
      <c r="AH56" s="82">
        <f t="shared" si="33"/>
        <v>0</v>
      </c>
      <c r="AI56" s="83">
        <f t="shared" si="33"/>
        <v>0</v>
      </c>
      <c r="AJ56" s="83">
        <f t="shared" si="33"/>
        <v>0</v>
      </c>
      <c r="AK56" s="58">
        <f t="shared" si="33"/>
        <v>0</v>
      </c>
      <c r="AL56" s="82">
        <f t="shared" si="6"/>
        <v>0</v>
      </c>
      <c r="AM56" s="58">
        <f t="shared" si="7"/>
        <v>0</v>
      </c>
      <c r="AN56" s="74"/>
      <c r="AO56" s="84"/>
      <c r="AP56" s="74"/>
      <c r="AQ56" s="85"/>
      <c r="AR56" s="74"/>
      <c r="AS56" s="74"/>
      <c r="AT56" s="74"/>
      <c r="AU56" s="55" t="str">
        <f t="shared" si="19"/>
        <v/>
      </c>
      <c r="AV56" s="55" t="str">
        <f t="shared" ca="1" si="20"/>
        <v/>
      </c>
      <c r="AW56" s="55" t="str">
        <f t="shared" si="8"/>
        <v/>
      </c>
      <c r="AX56" s="55" t="str">
        <f t="shared" ca="1" si="9"/>
        <v/>
      </c>
      <c r="AY56" s="86"/>
      <c r="AZ56" s="86"/>
      <c r="BA56" s="55" t="str">
        <f t="shared" si="21"/>
        <v/>
      </c>
      <c r="BB56" s="86"/>
      <c r="BC56" s="86"/>
      <c r="BD56" s="55" t="str">
        <f t="shared" si="22"/>
        <v/>
      </c>
      <c r="BE56" s="74"/>
      <c r="BW56" s="1"/>
      <c r="BX56" s="1"/>
      <c r="CC56" s="3"/>
      <c r="CD56" s="3"/>
    </row>
    <row r="57" spans="1:82" ht="17.399999999999999" customHeight="1">
      <c r="A57" s="87">
        <f t="shared" si="27"/>
        <v>7.5</v>
      </c>
      <c r="B57" s="111">
        <f t="shared" si="11"/>
        <v>47</v>
      </c>
      <c r="C57" s="60"/>
      <c r="D57" s="74"/>
      <c r="E57" s="75"/>
      <c r="F57" s="74"/>
      <c r="G57" s="54">
        <f t="shared" si="34"/>
        <v>0</v>
      </c>
      <c r="H57" s="55">
        <f t="shared" si="34"/>
        <v>0</v>
      </c>
      <c r="I57" s="76">
        <f t="shared" si="13"/>
        <v>0</v>
      </c>
      <c r="J57" s="58">
        <f t="shared" si="14"/>
        <v>0</v>
      </c>
      <c r="K57" s="58">
        <f t="shared" si="15"/>
        <v>0</v>
      </c>
      <c r="L57" s="58">
        <f t="shared" si="16"/>
        <v>0</v>
      </c>
      <c r="M57" s="58" t="str">
        <f t="shared" ca="1" si="17"/>
        <v/>
      </c>
      <c r="N57" s="58" t="str">
        <f t="shared" ca="1" si="0"/>
        <v/>
      </c>
      <c r="O57" s="58">
        <f t="shared" si="18"/>
        <v>5.0000000000000001E-4</v>
      </c>
      <c r="P57" s="77"/>
      <c r="Q57" s="60"/>
      <c r="R57" s="77"/>
      <c r="S57" s="78">
        <f t="shared" si="1"/>
        <v>0</v>
      </c>
      <c r="T57" s="55">
        <f t="shared" si="1"/>
        <v>0</v>
      </c>
      <c r="U57" s="79">
        <f t="shared" si="25"/>
        <v>0</v>
      </c>
      <c r="V57" s="63">
        <f t="shared" si="26"/>
        <v>0</v>
      </c>
      <c r="W57" s="64">
        <f t="shared" si="36"/>
        <v>61</v>
      </c>
      <c r="X57" s="80">
        <f t="shared" si="36"/>
        <v>40</v>
      </c>
      <c r="Y57" s="75"/>
      <c r="Z57" s="60"/>
      <c r="AA57" s="112"/>
      <c r="AB57" s="112"/>
      <c r="AC57" s="112"/>
      <c r="AD57" s="75"/>
      <c r="AE57" s="81">
        <f t="shared" si="2"/>
        <v>0</v>
      </c>
      <c r="AF57" s="55">
        <f t="shared" si="3"/>
        <v>0</v>
      </c>
      <c r="AG57" s="76">
        <f t="shared" si="4"/>
        <v>0</v>
      </c>
      <c r="AH57" s="82">
        <f t="shared" si="33"/>
        <v>0</v>
      </c>
      <c r="AI57" s="83">
        <f t="shared" si="33"/>
        <v>0</v>
      </c>
      <c r="AJ57" s="83">
        <f t="shared" si="33"/>
        <v>0</v>
      </c>
      <c r="AK57" s="58">
        <f t="shared" si="33"/>
        <v>0</v>
      </c>
      <c r="AL57" s="82">
        <f t="shared" si="6"/>
        <v>0</v>
      </c>
      <c r="AM57" s="58">
        <f t="shared" si="7"/>
        <v>0</v>
      </c>
      <c r="AN57" s="74"/>
      <c r="AO57" s="84"/>
      <c r="AP57" s="74"/>
      <c r="AQ57" s="85"/>
      <c r="AR57" s="74"/>
      <c r="AS57" s="74"/>
      <c r="AT57" s="74"/>
      <c r="AU57" s="55" t="str">
        <f t="shared" si="19"/>
        <v/>
      </c>
      <c r="AV57" s="55" t="str">
        <f t="shared" ca="1" si="20"/>
        <v/>
      </c>
      <c r="AW57" s="55" t="str">
        <f t="shared" si="8"/>
        <v/>
      </c>
      <c r="AX57" s="55" t="str">
        <f t="shared" ca="1" si="9"/>
        <v/>
      </c>
      <c r="AY57" s="86"/>
      <c r="AZ57" s="86"/>
      <c r="BA57" s="55" t="str">
        <f t="shared" si="21"/>
        <v/>
      </c>
      <c r="BB57" s="86"/>
      <c r="BC57" s="86"/>
      <c r="BD57" s="55" t="str">
        <f t="shared" si="22"/>
        <v/>
      </c>
      <c r="BE57" s="74"/>
      <c r="BW57" s="1"/>
      <c r="BX57" s="1"/>
      <c r="CC57" s="3"/>
      <c r="CD57" s="3"/>
    </row>
    <row r="58" spans="1:82" ht="17.399999999999999" customHeight="1">
      <c r="A58" s="72">
        <f t="shared" si="27"/>
        <v>7.6000000000000005</v>
      </c>
      <c r="B58" s="111">
        <f t="shared" si="11"/>
        <v>48</v>
      </c>
      <c r="C58" s="60"/>
      <c r="D58" s="74"/>
      <c r="E58" s="75"/>
      <c r="F58" s="74"/>
      <c r="G58" s="54">
        <f t="shared" si="34"/>
        <v>0</v>
      </c>
      <c r="H58" s="55">
        <f t="shared" si="34"/>
        <v>0</v>
      </c>
      <c r="I58" s="76">
        <f t="shared" si="13"/>
        <v>0</v>
      </c>
      <c r="J58" s="58">
        <f t="shared" si="14"/>
        <v>0</v>
      </c>
      <c r="K58" s="58">
        <f t="shared" si="15"/>
        <v>0</v>
      </c>
      <c r="L58" s="58">
        <f t="shared" si="16"/>
        <v>0</v>
      </c>
      <c r="M58" s="58" t="str">
        <f t="shared" ca="1" si="17"/>
        <v/>
      </c>
      <c r="N58" s="58" t="str">
        <f t="shared" ca="1" si="0"/>
        <v/>
      </c>
      <c r="O58" s="58">
        <f t="shared" si="18"/>
        <v>5.0000000000000001E-4</v>
      </c>
      <c r="P58" s="77"/>
      <c r="Q58" s="60"/>
      <c r="R58" s="77"/>
      <c r="S58" s="78">
        <f t="shared" si="1"/>
        <v>0</v>
      </c>
      <c r="T58" s="55">
        <f t="shared" si="1"/>
        <v>0</v>
      </c>
      <c r="U58" s="79">
        <f t="shared" si="25"/>
        <v>0</v>
      </c>
      <c r="V58" s="63">
        <f t="shared" si="26"/>
        <v>0</v>
      </c>
      <c r="W58" s="64">
        <f t="shared" si="36"/>
        <v>61</v>
      </c>
      <c r="X58" s="80">
        <f t="shared" si="36"/>
        <v>40</v>
      </c>
      <c r="Y58" s="75"/>
      <c r="Z58" s="60"/>
      <c r="AA58" s="112"/>
      <c r="AB58" s="112"/>
      <c r="AC58" s="112"/>
      <c r="AD58" s="75"/>
      <c r="AE58" s="81">
        <f t="shared" si="2"/>
        <v>0</v>
      </c>
      <c r="AF58" s="55">
        <f t="shared" si="3"/>
        <v>0</v>
      </c>
      <c r="AG58" s="76">
        <f t="shared" si="4"/>
        <v>0</v>
      </c>
      <c r="AH58" s="82">
        <f t="shared" si="33"/>
        <v>0</v>
      </c>
      <c r="AI58" s="83">
        <f t="shared" si="33"/>
        <v>0</v>
      </c>
      <c r="AJ58" s="83">
        <f t="shared" si="33"/>
        <v>0</v>
      </c>
      <c r="AK58" s="58">
        <f t="shared" si="33"/>
        <v>0</v>
      </c>
      <c r="AL58" s="82">
        <f t="shared" si="6"/>
        <v>0</v>
      </c>
      <c r="AM58" s="58">
        <f t="shared" si="7"/>
        <v>0</v>
      </c>
      <c r="AN58" s="74"/>
      <c r="AO58" s="84"/>
      <c r="AP58" s="74"/>
      <c r="AQ58" s="85"/>
      <c r="AR58" s="74"/>
      <c r="AS58" s="74"/>
      <c r="AT58" s="74"/>
      <c r="AU58" s="55" t="str">
        <f t="shared" si="19"/>
        <v/>
      </c>
      <c r="AV58" s="55" t="str">
        <f t="shared" ca="1" si="20"/>
        <v/>
      </c>
      <c r="AW58" s="55" t="str">
        <f t="shared" si="8"/>
        <v/>
      </c>
      <c r="AX58" s="55" t="str">
        <f t="shared" ca="1" si="9"/>
        <v/>
      </c>
      <c r="AY58" s="86"/>
      <c r="AZ58" s="86"/>
      <c r="BA58" s="55" t="str">
        <f t="shared" si="21"/>
        <v/>
      </c>
      <c r="BB58" s="86"/>
      <c r="BC58" s="86"/>
      <c r="BD58" s="55" t="str">
        <f t="shared" si="22"/>
        <v/>
      </c>
      <c r="BE58" s="74"/>
      <c r="BW58" s="1"/>
      <c r="BX58" s="1"/>
      <c r="CC58" s="3"/>
      <c r="CD58" s="3"/>
    </row>
    <row r="59" spans="1:82" ht="17.399999999999999" customHeight="1" thickBot="1">
      <c r="A59" s="87">
        <f t="shared" si="27"/>
        <v>7.7000000000000011</v>
      </c>
      <c r="B59" s="113">
        <f t="shared" si="11"/>
        <v>49</v>
      </c>
      <c r="C59" s="89"/>
      <c r="D59" s="90"/>
      <c r="E59" s="91"/>
      <c r="F59" s="90"/>
      <c r="G59" s="92">
        <f t="shared" si="34"/>
        <v>0</v>
      </c>
      <c r="H59" s="93">
        <f t="shared" si="34"/>
        <v>0</v>
      </c>
      <c r="I59" s="94">
        <f t="shared" si="13"/>
        <v>0</v>
      </c>
      <c r="J59" s="95">
        <f t="shared" si="14"/>
        <v>0</v>
      </c>
      <c r="K59" s="95">
        <f t="shared" si="15"/>
        <v>0</v>
      </c>
      <c r="L59" s="95">
        <f t="shared" si="16"/>
        <v>0</v>
      </c>
      <c r="M59" s="95" t="str">
        <f t="shared" ca="1" si="17"/>
        <v/>
      </c>
      <c r="N59" s="95" t="str">
        <f t="shared" ca="1" si="0"/>
        <v/>
      </c>
      <c r="O59" s="95">
        <f t="shared" si="18"/>
        <v>5.0000000000000001E-4</v>
      </c>
      <c r="P59" s="96"/>
      <c r="Q59" s="89"/>
      <c r="R59" s="96"/>
      <c r="S59" s="78">
        <f t="shared" si="1"/>
        <v>0</v>
      </c>
      <c r="T59" s="55">
        <f t="shared" si="1"/>
        <v>0</v>
      </c>
      <c r="U59" s="97">
        <f t="shared" si="25"/>
        <v>0</v>
      </c>
      <c r="V59" s="98">
        <f t="shared" si="26"/>
        <v>0</v>
      </c>
      <c r="W59" s="99">
        <f t="shared" si="36"/>
        <v>61</v>
      </c>
      <c r="X59" s="100">
        <f t="shared" si="36"/>
        <v>40</v>
      </c>
      <c r="Y59" s="91"/>
      <c r="Z59" s="89"/>
      <c r="AA59" s="112"/>
      <c r="AB59" s="112"/>
      <c r="AC59" s="112"/>
      <c r="AD59" s="75"/>
      <c r="AE59" s="101">
        <f t="shared" si="2"/>
        <v>0</v>
      </c>
      <c r="AF59" s="93">
        <f t="shared" si="3"/>
        <v>0</v>
      </c>
      <c r="AG59" s="94">
        <f t="shared" si="4"/>
        <v>0</v>
      </c>
      <c r="AH59" s="102">
        <f t="shared" si="33"/>
        <v>0</v>
      </c>
      <c r="AI59" s="103">
        <f t="shared" si="33"/>
        <v>0</v>
      </c>
      <c r="AJ59" s="103">
        <f t="shared" si="33"/>
        <v>0</v>
      </c>
      <c r="AK59" s="95">
        <f t="shared" si="33"/>
        <v>0</v>
      </c>
      <c r="AL59" s="102">
        <f t="shared" si="6"/>
        <v>0</v>
      </c>
      <c r="AM59" s="95">
        <f t="shared" si="7"/>
        <v>0</v>
      </c>
      <c r="AN59" s="90"/>
      <c r="AO59" s="104"/>
      <c r="AP59" s="90"/>
      <c r="AQ59" s="105"/>
      <c r="AR59" s="90"/>
      <c r="AS59" s="90"/>
      <c r="AT59" s="90"/>
      <c r="AU59" s="93" t="str">
        <f t="shared" si="19"/>
        <v/>
      </c>
      <c r="AV59" s="93" t="str">
        <f t="shared" ca="1" si="20"/>
        <v/>
      </c>
      <c r="AW59" s="93" t="str">
        <f t="shared" si="8"/>
        <v/>
      </c>
      <c r="AX59" s="93" t="str">
        <f t="shared" ca="1" si="9"/>
        <v/>
      </c>
      <c r="AY59" s="106"/>
      <c r="AZ59" s="106"/>
      <c r="BA59" s="93" t="str">
        <f t="shared" si="21"/>
        <v/>
      </c>
      <c r="BB59" s="106"/>
      <c r="BC59" s="106"/>
      <c r="BD59" s="93" t="str">
        <f t="shared" si="22"/>
        <v/>
      </c>
      <c r="BE59" s="90"/>
      <c r="BW59" s="1"/>
      <c r="BX59" s="1"/>
      <c r="CC59" s="3"/>
      <c r="CD59" s="3"/>
    </row>
    <row r="60" spans="1:82" ht="17.399999999999999" customHeight="1" thickTop="1">
      <c r="A60" s="107">
        <f>A53+1</f>
        <v>8.1</v>
      </c>
      <c r="B60" s="108">
        <f>B59+1</f>
        <v>50</v>
      </c>
      <c r="C60" s="51"/>
      <c r="D60" s="52"/>
      <c r="E60" s="53"/>
      <c r="F60" s="52"/>
      <c r="G60" s="54">
        <f t="shared" ref="G60:H75" si="37">G59-E60-C60</f>
        <v>0</v>
      </c>
      <c r="H60" s="55">
        <f t="shared" si="37"/>
        <v>0</v>
      </c>
      <c r="I60" s="56">
        <f t="shared" si="13"/>
        <v>0</v>
      </c>
      <c r="J60" s="57">
        <f t="shared" si="14"/>
        <v>0</v>
      </c>
      <c r="K60" s="57">
        <f t="shared" si="15"/>
        <v>0</v>
      </c>
      <c r="L60" s="57">
        <f t="shared" si="16"/>
        <v>0</v>
      </c>
      <c r="M60" s="58" t="str">
        <f t="shared" ca="1" si="17"/>
        <v/>
      </c>
      <c r="N60" s="58" t="str">
        <f t="shared" ca="1" si="0"/>
        <v/>
      </c>
      <c r="O60" s="58">
        <f t="shared" si="18"/>
        <v>5.0000000000000001E-4</v>
      </c>
      <c r="P60" s="77"/>
      <c r="Q60" s="60"/>
      <c r="R60" s="77"/>
      <c r="S60" s="109">
        <f t="shared" si="1"/>
        <v>0</v>
      </c>
      <c r="T60" s="61">
        <f t="shared" si="1"/>
        <v>0</v>
      </c>
      <c r="U60" s="62">
        <f t="shared" si="25"/>
        <v>0</v>
      </c>
      <c r="V60" s="63">
        <f t="shared" si="26"/>
        <v>0</v>
      </c>
      <c r="W60" s="64">
        <v>63</v>
      </c>
      <c r="X60" s="80">
        <v>43</v>
      </c>
      <c r="Y60" s="53"/>
      <c r="Z60" s="51"/>
      <c r="AA60" s="110"/>
      <c r="AB60" s="110"/>
      <c r="AC60" s="110"/>
      <c r="AD60" s="53"/>
      <c r="AE60" s="66">
        <f t="shared" si="2"/>
        <v>0</v>
      </c>
      <c r="AF60" s="61">
        <f t="shared" si="3"/>
        <v>0</v>
      </c>
      <c r="AG60" s="56">
        <f t="shared" si="4"/>
        <v>0</v>
      </c>
      <c r="AH60" s="67">
        <f t="shared" si="33"/>
        <v>0</v>
      </c>
      <c r="AI60" s="68">
        <f t="shared" si="33"/>
        <v>0</v>
      </c>
      <c r="AJ60" s="68">
        <f t="shared" si="33"/>
        <v>0</v>
      </c>
      <c r="AK60" s="57">
        <f t="shared" si="33"/>
        <v>0</v>
      </c>
      <c r="AL60" s="67">
        <f t="shared" si="6"/>
        <v>0</v>
      </c>
      <c r="AM60" s="57">
        <f t="shared" si="7"/>
        <v>0</v>
      </c>
      <c r="AN60" s="52"/>
      <c r="AO60" s="69"/>
      <c r="AP60" s="52"/>
      <c r="AQ60" s="70"/>
      <c r="AR60" s="52"/>
      <c r="AS60" s="52"/>
      <c r="AT60" s="52"/>
      <c r="AU60" s="61" t="str">
        <f t="shared" si="19"/>
        <v/>
      </c>
      <c r="AV60" s="61" t="str">
        <f t="shared" ca="1" si="20"/>
        <v/>
      </c>
      <c r="AW60" s="61" t="str">
        <f t="shared" si="8"/>
        <v/>
      </c>
      <c r="AX60" s="61" t="str">
        <f t="shared" ca="1" si="9"/>
        <v/>
      </c>
      <c r="AY60" s="71"/>
      <c r="AZ60" s="71"/>
      <c r="BA60" s="61" t="str">
        <f t="shared" si="21"/>
        <v/>
      </c>
      <c r="BB60" s="71"/>
      <c r="BC60" s="71"/>
      <c r="BD60" s="61" t="str">
        <f t="shared" si="22"/>
        <v/>
      </c>
      <c r="BE60" s="52"/>
      <c r="BW60" s="1"/>
      <c r="BX60" s="1"/>
      <c r="CC60" s="3"/>
      <c r="CD60" s="3"/>
    </row>
    <row r="61" spans="1:82" ht="17.399999999999999" customHeight="1">
      <c r="A61" s="87">
        <f t="shared" si="27"/>
        <v>8.1999999999999993</v>
      </c>
      <c r="B61" s="111">
        <f t="shared" si="11"/>
        <v>51</v>
      </c>
      <c r="C61" s="60"/>
      <c r="D61" s="74"/>
      <c r="E61" s="75"/>
      <c r="F61" s="74"/>
      <c r="G61" s="54">
        <f t="shared" si="37"/>
        <v>0</v>
      </c>
      <c r="H61" s="55">
        <f t="shared" si="37"/>
        <v>0</v>
      </c>
      <c r="I61" s="76">
        <f t="shared" si="13"/>
        <v>0</v>
      </c>
      <c r="J61" s="58">
        <f t="shared" si="14"/>
        <v>0</v>
      </c>
      <c r="K61" s="58">
        <f t="shared" si="15"/>
        <v>0</v>
      </c>
      <c r="L61" s="58">
        <f t="shared" si="16"/>
        <v>0</v>
      </c>
      <c r="M61" s="58" t="str">
        <f t="shared" ca="1" si="17"/>
        <v/>
      </c>
      <c r="N61" s="58" t="str">
        <f t="shared" ca="1" si="0"/>
        <v/>
      </c>
      <c r="O61" s="58">
        <f t="shared" si="18"/>
        <v>5.0000000000000001E-4</v>
      </c>
      <c r="P61" s="77"/>
      <c r="Q61" s="60"/>
      <c r="R61" s="77"/>
      <c r="S61" s="78">
        <f t="shared" si="1"/>
        <v>0</v>
      </c>
      <c r="T61" s="55">
        <f t="shared" si="1"/>
        <v>0</v>
      </c>
      <c r="U61" s="79">
        <f t="shared" si="25"/>
        <v>0</v>
      </c>
      <c r="V61" s="63">
        <f t="shared" si="26"/>
        <v>0</v>
      </c>
      <c r="W61" s="64">
        <f t="shared" ref="W61:X66" si="38">W60</f>
        <v>63</v>
      </c>
      <c r="X61" s="80">
        <f t="shared" si="38"/>
        <v>43</v>
      </c>
      <c r="Y61" s="75"/>
      <c r="Z61" s="60"/>
      <c r="AA61" s="112"/>
      <c r="AB61" s="112"/>
      <c r="AC61" s="112"/>
      <c r="AD61" s="75"/>
      <c r="AE61" s="81">
        <f t="shared" si="2"/>
        <v>0</v>
      </c>
      <c r="AF61" s="55">
        <f t="shared" si="3"/>
        <v>0</v>
      </c>
      <c r="AG61" s="76">
        <f t="shared" si="4"/>
        <v>0</v>
      </c>
      <c r="AH61" s="82">
        <f t="shared" si="33"/>
        <v>0</v>
      </c>
      <c r="AI61" s="83">
        <f t="shared" si="33"/>
        <v>0</v>
      </c>
      <c r="AJ61" s="83">
        <f t="shared" si="33"/>
        <v>0</v>
      </c>
      <c r="AK61" s="58">
        <f t="shared" si="33"/>
        <v>0</v>
      </c>
      <c r="AL61" s="82">
        <f t="shared" si="6"/>
        <v>0</v>
      </c>
      <c r="AM61" s="58">
        <f t="shared" si="7"/>
        <v>0</v>
      </c>
      <c r="AN61" s="74"/>
      <c r="AO61" s="84"/>
      <c r="AP61" s="74"/>
      <c r="AQ61" s="85"/>
      <c r="AR61" s="74"/>
      <c r="AS61" s="74"/>
      <c r="AT61" s="74"/>
      <c r="AU61" s="55" t="str">
        <f t="shared" si="19"/>
        <v/>
      </c>
      <c r="AV61" s="55" t="str">
        <f t="shared" ca="1" si="20"/>
        <v/>
      </c>
      <c r="AW61" s="55" t="str">
        <f t="shared" si="8"/>
        <v/>
      </c>
      <c r="AX61" s="55" t="str">
        <f t="shared" ca="1" si="9"/>
        <v/>
      </c>
      <c r="AY61" s="86"/>
      <c r="AZ61" s="86"/>
      <c r="BA61" s="55" t="str">
        <f t="shared" si="21"/>
        <v/>
      </c>
      <c r="BB61" s="86"/>
      <c r="BC61" s="86"/>
      <c r="BD61" s="55" t="str">
        <f t="shared" si="22"/>
        <v/>
      </c>
      <c r="BE61" s="74"/>
      <c r="BW61" s="1"/>
      <c r="BX61" s="1"/>
      <c r="CC61" s="3"/>
      <c r="CD61" s="3"/>
    </row>
    <row r="62" spans="1:82" ht="17.399999999999999" customHeight="1">
      <c r="A62" s="72">
        <f t="shared" si="27"/>
        <v>8.3000000000000007</v>
      </c>
      <c r="B62" s="111">
        <f t="shared" si="11"/>
        <v>52</v>
      </c>
      <c r="C62" s="60"/>
      <c r="D62" s="74"/>
      <c r="E62" s="75"/>
      <c r="F62" s="74"/>
      <c r="G62" s="54">
        <f t="shared" si="37"/>
        <v>0</v>
      </c>
      <c r="H62" s="55">
        <f t="shared" si="37"/>
        <v>0</v>
      </c>
      <c r="I62" s="76">
        <f t="shared" si="13"/>
        <v>0</v>
      </c>
      <c r="J62" s="58">
        <f t="shared" si="14"/>
        <v>0</v>
      </c>
      <c r="K62" s="58">
        <f t="shared" si="15"/>
        <v>0</v>
      </c>
      <c r="L62" s="58">
        <f t="shared" si="16"/>
        <v>0</v>
      </c>
      <c r="M62" s="58" t="str">
        <f t="shared" ca="1" si="17"/>
        <v/>
      </c>
      <c r="N62" s="58" t="str">
        <f t="shared" ca="1" si="0"/>
        <v/>
      </c>
      <c r="O62" s="58">
        <f t="shared" si="18"/>
        <v>5.0000000000000001E-4</v>
      </c>
      <c r="P62" s="77"/>
      <c r="Q62" s="60"/>
      <c r="R62" s="77"/>
      <c r="S62" s="78">
        <f t="shared" si="1"/>
        <v>0</v>
      </c>
      <c r="T62" s="55">
        <f t="shared" si="1"/>
        <v>0</v>
      </c>
      <c r="U62" s="79">
        <f t="shared" si="25"/>
        <v>0</v>
      </c>
      <c r="V62" s="63">
        <f t="shared" si="26"/>
        <v>0</v>
      </c>
      <c r="W62" s="64">
        <f t="shared" si="38"/>
        <v>63</v>
      </c>
      <c r="X62" s="80">
        <f t="shared" si="38"/>
        <v>43</v>
      </c>
      <c r="Y62" s="75"/>
      <c r="Z62" s="60"/>
      <c r="AA62" s="112"/>
      <c r="AB62" s="112"/>
      <c r="AC62" s="112"/>
      <c r="AD62" s="75"/>
      <c r="AE62" s="81">
        <f t="shared" si="2"/>
        <v>0</v>
      </c>
      <c r="AF62" s="55">
        <f t="shared" si="3"/>
        <v>0</v>
      </c>
      <c r="AG62" s="76">
        <f t="shared" si="4"/>
        <v>0</v>
      </c>
      <c r="AH62" s="82">
        <f t="shared" si="33"/>
        <v>0</v>
      </c>
      <c r="AI62" s="83">
        <f t="shared" si="33"/>
        <v>0</v>
      </c>
      <c r="AJ62" s="83">
        <f t="shared" si="33"/>
        <v>0</v>
      </c>
      <c r="AK62" s="58">
        <f t="shared" si="33"/>
        <v>0</v>
      </c>
      <c r="AL62" s="82">
        <f t="shared" si="6"/>
        <v>0</v>
      </c>
      <c r="AM62" s="58">
        <f t="shared" si="7"/>
        <v>0</v>
      </c>
      <c r="AN62" s="74"/>
      <c r="AO62" s="84"/>
      <c r="AP62" s="74"/>
      <c r="AQ62" s="85"/>
      <c r="AR62" s="74"/>
      <c r="AS62" s="74"/>
      <c r="AT62" s="74"/>
      <c r="AU62" s="55" t="str">
        <f t="shared" si="19"/>
        <v/>
      </c>
      <c r="AV62" s="55" t="str">
        <f t="shared" ca="1" si="20"/>
        <v/>
      </c>
      <c r="AW62" s="55" t="str">
        <f t="shared" si="8"/>
        <v/>
      </c>
      <c r="AX62" s="55" t="str">
        <f t="shared" ca="1" si="9"/>
        <v/>
      </c>
      <c r="AY62" s="86"/>
      <c r="AZ62" s="86"/>
      <c r="BA62" s="55" t="str">
        <f t="shared" si="21"/>
        <v/>
      </c>
      <c r="BB62" s="86"/>
      <c r="BC62" s="86"/>
      <c r="BD62" s="55" t="str">
        <f t="shared" si="22"/>
        <v/>
      </c>
      <c r="BE62" s="74"/>
      <c r="BW62" s="1"/>
      <c r="BX62" s="1"/>
      <c r="CC62" s="3"/>
      <c r="CD62" s="3"/>
    </row>
    <row r="63" spans="1:82" ht="17.399999999999999" customHeight="1">
      <c r="A63" s="87">
        <f t="shared" si="27"/>
        <v>8.4</v>
      </c>
      <c r="B63" s="111">
        <f t="shared" si="11"/>
        <v>53</v>
      </c>
      <c r="C63" s="60"/>
      <c r="D63" s="74"/>
      <c r="E63" s="75"/>
      <c r="F63" s="74"/>
      <c r="G63" s="54">
        <f t="shared" si="37"/>
        <v>0</v>
      </c>
      <c r="H63" s="55">
        <f t="shared" si="37"/>
        <v>0</v>
      </c>
      <c r="I63" s="76">
        <f t="shared" si="13"/>
        <v>0</v>
      </c>
      <c r="J63" s="58">
        <f t="shared" si="14"/>
        <v>0</v>
      </c>
      <c r="K63" s="58">
        <f t="shared" si="15"/>
        <v>0</v>
      </c>
      <c r="L63" s="58">
        <f t="shared" si="16"/>
        <v>0</v>
      </c>
      <c r="M63" s="58" t="str">
        <f t="shared" ca="1" si="17"/>
        <v/>
      </c>
      <c r="N63" s="58" t="str">
        <f t="shared" ca="1" si="0"/>
        <v/>
      </c>
      <c r="O63" s="58">
        <f t="shared" si="18"/>
        <v>5.0000000000000001E-4</v>
      </c>
      <c r="P63" s="77"/>
      <c r="Q63" s="60"/>
      <c r="R63" s="77"/>
      <c r="S63" s="78">
        <f t="shared" si="1"/>
        <v>0</v>
      </c>
      <c r="T63" s="55">
        <f t="shared" si="1"/>
        <v>0</v>
      </c>
      <c r="U63" s="79">
        <f t="shared" si="25"/>
        <v>0</v>
      </c>
      <c r="V63" s="63">
        <f t="shared" si="26"/>
        <v>0</v>
      </c>
      <c r="W63" s="64">
        <f t="shared" si="38"/>
        <v>63</v>
      </c>
      <c r="X63" s="80">
        <f t="shared" si="38"/>
        <v>43</v>
      </c>
      <c r="Y63" s="75"/>
      <c r="Z63" s="60"/>
      <c r="AA63" s="112"/>
      <c r="AB63" s="112"/>
      <c r="AC63" s="112"/>
      <c r="AD63" s="75"/>
      <c r="AE63" s="81">
        <f t="shared" si="2"/>
        <v>0</v>
      </c>
      <c r="AF63" s="55">
        <f t="shared" si="3"/>
        <v>0</v>
      </c>
      <c r="AG63" s="76">
        <f t="shared" si="4"/>
        <v>0</v>
      </c>
      <c r="AH63" s="82">
        <f t="shared" si="33"/>
        <v>0</v>
      </c>
      <c r="AI63" s="83">
        <f t="shared" si="33"/>
        <v>0</v>
      </c>
      <c r="AJ63" s="83">
        <f t="shared" si="33"/>
        <v>0</v>
      </c>
      <c r="AK63" s="58">
        <f t="shared" si="33"/>
        <v>0</v>
      </c>
      <c r="AL63" s="82">
        <f t="shared" si="6"/>
        <v>0</v>
      </c>
      <c r="AM63" s="58">
        <f t="shared" si="7"/>
        <v>0</v>
      </c>
      <c r="AN63" s="74"/>
      <c r="AO63" s="84"/>
      <c r="AP63" s="74"/>
      <c r="AQ63" s="85"/>
      <c r="AR63" s="74"/>
      <c r="AS63" s="74"/>
      <c r="AT63" s="74"/>
      <c r="AU63" s="55" t="str">
        <f t="shared" si="19"/>
        <v/>
      </c>
      <c r="AV63" s="55" t="str">
        <f t="shared" ca="1" si="20"/>
        <v/>
      </c>
      <c r="AW63" s="55" t="str">
        <f t="shared" si="8"/>
        <v/>
      </c>
      <c r="AX63" s="55" t="str">
        <f t="shared" ca="1" si="9"/>
        <v/>
      </c>
      <c r="AY63" s="86"/>
      <c r="AZ63" s="86"/>
      <c r="BA63" s="55" t="str">
        <f t="shared" si="21"/>
        <v/>
      </c>
      <c r="BB63" s="86"/>
      <c r="BC63" s="86"/>
      <c r="BD63" s="55" t="str">
        <f t="shared" si="22"/>
        <v/>
      </c>
      <c r="BE63" s="74"/>
      <c r="BW63" s="1"/>
      <c r="BX63" s="1"/>
      <c r="CC63" s="3"/>
      <c r="CD63" s="3"/>
    </row>
    <row r="64" spans="1:82" ht="17.399999999999999" customHeight="1">
      <c r="A64" s="72">
        <f t="shared" si="27"/>
        <v>8.5</v>
      </c>
      <c r="B64" s="111">
        <f t="shared" si="11"/>
        <v>54</v>
      </c>
      <c r="C64" s="60"/>
      <c r="D64" s="74"/>
      <c r="E64" s="75"/>
      <c r="F64" s="74"/>
      <c r="G64" s="54">
        <f t="shared" si="37"/>
        <v>0</v>
      </c>
      <c r="H64" s="55">
        <f t="shared" si="37"/>
        <v>0</v>
      </c>
      <c r="I64" s="76">
        <f t="shared" si="13"/>
        <v>0</v>
      </c>
      <c r="J64" s="58">
        <f t="shared" si="14"/>
        <v>0</v>
      </c>
      <c r="K64" s="58">
        <f t="shared" si="15"/>
        <v>0</v>
      </c>
      <c r="L64" s="58">
        <f t="shared" si="16"/>
        <v>0</v>
      </c>
      <c r="M64" s="58" t="str">
        <f t="shared" ca="1" si="17"/>
        <v/>
      </c>
      <c r="N64" s="58" t="str">
        <f t="shared" ca="1" si="0"/>
        <v/>
      </c>
      <c r="O64" s="58">
        <f t="shared" si="18"/>
        <v>5.0000000000000001E-4</v>
      </c>
      <c r="P64" s="77"/>
      <c r="Q64" s="60"/>
      <c r="R64" s="77"/>
      <c r="S64" s="78">
        <f t="shared" si="1"/>
        <v>0</v>
      </c>
      <c r="T64" s="55">
        <f t="shared" si="1"/>
        <v>0</v>
      </c>
      <c r="U64" s="79">
        <f t="shared" si="25"/>
        <v>0</v>
      </c>
      <c r="V64" s="63">
        <f t="shared" si="26"/>
        <v>0</v>
      </c>
      <c r="W64" s="64">
        <f t="shared" si="38"/>
        <v>63</v>
      </c>
      <c r="X64" s="80">
        <f t="shared" si="38"/>
        <v>43</v>
      </c>
      <c r="Y64" s="75"/>
      <c r="Z64" s="60"/>
      <c r="AA64" s="112"/>
      <c r="AB64" s="112"/>
      <c r="AC64" s="112"/>
      <c r="AD64" s="75"/>
      <c r="AE64" s="81">
        <f t="shared" si="2"/>
        <v>0</v>
      </c>
      <c r="AF64" s="55">
        <f t="shared" si="3"/>
        <v>0</v>
      </c>
      <c r="AG64" s="76">
        <f t="shared" si="4"/>
        <v>0</v>
      </c>
      <c r="AH64" s="82">
        <f t="shared" si="33"/>
        <v>0</v>
      </c>
      <c r="AI64" s="83">
        <f t="shared" si="33"/>
        <v>0</v>
      </c>
      <c r="AJ64" s="83">
        <f t="shared" si="33"/>
        <v>0</v>
      </c>
      <c r="AK64" s="58">
        <f t="shared" si="33"/>
        <v>0</v>
      </c>
      <c r="AL64" s="82">
        <f t="shared" si="6"/>
        <v>0</v>
      </c>
      <c r="AM64" s="58">
        <f t="shared" si="7"/>
        <v>0</v>
      </c>
      <c r="AN64" s="74"/>
      <c r="AO64" s="84"/>
      <c r="AP64" s="74"/>
      <c r="AQ64" s="85"/>
      <c r="AR64" s="74"/>
      <c r="AS64" s="74"/>
      <c r="AT64" s="74"/>
      <c r="AU64" s="55" t="str">
        <f t="shared" si="19"/>
        <v/>
      </c>
      <c r="AV64" s="55" t="str">
        <f t="shared" ca="1" si="20"/>
        <v/>
      </c>
      <c r="AW64" s="55" t="str">
        <f t="shared" si="8"/>
        <v/>
      </c>
      <c r="AX64" s="55" t="str">
        <f t="shared" ca="1" si="9"/>
        <v/>
      </c>
      <c r="AY64" s="86"/>
      <c r="AZ64" s="86"/>
      <c r="BA64" s="55" t="str">
        <f t="shared" si="21"/>
        <v/>
      </c>
      <c r="BB64" s="86"/>
      <c r="BC64" s="86"/>
      <c r="BD64" s="55" t="str">
        <f t="shared" si="22"/>
        <v/>
      </c>
      <c r="BE64" s="74"/>
      <c r="BW64" s="1"/>
      <c r="BX64" s="1"/>
      <c r="CC64" s="3"/>
      <c r="CD64" s="3"/>
    </row>
    <row r="65" spans="1:82" ht="17.399999999999999" customHeight="1">
      <c r="A65" s="87">
        <f t="shared" si="27"/>
        <v>8.6000000000000014</v>
      </c>
      <c r="B65" s="111">
        <f t="shared" si="11"/>
        <v>55</v>
      </c>
      <c r="C65" s="60"/>
      <c r="D65" s="74"/>
      <c r="E65" s="75"/>
      <c r="F65" s="74"/>
      <c r="G65" s="54">
        <f t="shared" si="37"/>
        <v>0</v>
      </c>
      <c r="H65" s="55">
        <f t="shared" si="37"/>
        <v>0</v>
      </c>
      <c r="I65" s="76">
        <f t="shared" si="13"/>
        <v>0</v>
      </c>
      <c r="J65" s="58">
        <f t="shared" si="14"/>
        <v>0</v>
      </c>
      <c r="K65" s="58">
        <f t="shared" si="15"/>
        <v>0</v>
      </c>
      <c r="L65" s="58">
        <f t="shared" si="16"/>
        <v>0</v>
      </c>
      <c r="M65" s="58" t="str">
        <f t="shared" ca="1" si="17"/>
        <v/>
      </c>
      <c r="N65" s="58" t="str">
        <f t="shared" ca="1" si="0"/>
        <v/>
      </c>
      <c r="O65" s="58">
        <f t="shared" si="18"/>
        <v>5.0000000000000001E-4</v>
      </c>
      <c r="P65" s="77"/>
      <c r="Q65" s="60"/>
      <c r="R65" s="77"/>
      <c r="S65" s="78">
        <f t="shared" si="1"/>
        <v>0</v>
      </c>
      <c r="T65" s="55">
        <f t="shared" si="1"/>
        <v>0</v>
      </c>
      <c r="U65" s="79">
        <f t="shared" si="25"/>
        <v>0</v>
      </c>
      <c r="V65" s="63">
        <f t="shared" si="26"/>
        <v>0</v>
      </c>
      <c r="W65" s="64">
        <f t="shared" si="38"/>
        <v>63</v>
      </c>
      <c r="X65" s="80">
        <f t="shared" si="38"/>
        <v>43</v>
      </c>
      <c r="Y65" s="75"/>
      <c r="Z65" s="60"/>
      <c r="AA65" s="112"/>
      <c r="AB65" s="112"/>
      <c r="AC65" s="112"/>
      <c r="AD65" s="75"/>
      <c r="AE65" s="81">
        <f t="shared" si="2"/>
        <v>0</v>
      </c>
      <c r="AF65" s="55">
        <f t="shared" si="3"/>
        <v>0</v>
      </c>
      <c r="AG65" s="76">
        <f t="shared" si="4"/>
        <v>0</v>
      </c>
      <c r="AH65" s="82">
        <f t="shared" si="33"/>
        <v>0</v>
      </c>
      <c r="AI65" s="83">
        <f t="shared" si="33"/>
        <v>0</v>
      </c>
      <c r="AJ65" s="83">
        <f t="shared" si="33"/>
        <v>0</v>
      </c>
      <c r="AK65" s="58">
        <f t="shared" si="33"/>
        <v>0</v>
      </c>
      <c r="AL65" s="82">
        <f t="shared" si="6"/>
        <v>0</v>
      </c>
      <c r="AM65" s="58">
        <f t="shared" si="7"/>
        <v>0</v>
      </c>
      <c r="AN65" s="74"/>
      <c r="AO65" s="84"/>
      <c r="AP65" s="74"/>
      <c r="AQ65" s="85"/>
      <c r="AR65" s="74"/>
      <c r="AS65" s="74"/>
      <c r="AT65" s="74"/>
      <c r="AU65" s="55" t="str">
        <f t="shared" si="19"/>
        <v/>
      </c>
      <c r="AV65" s="55" t="str">
        <f t="shared" ca="1" si="20"/>
        <v/>
      </c>
      <c r="AW65" s="55" t="str">
        <f t="shared" si="8"/>
        <v/>
      </c>
      <c r="AX65" s="55" t="str">
        <f t="shared" ca="1" si="9"/>
        <v/>
      </c>
      <c r="AY65" s="86"/>
      <c r="AZ65" s="86"/>
      <c r="BA65" s="55" t="str">
        <f t="shared" si="21"/>
        <v/>
      </c>
      <c r="BB65" s="86"/>
      <c r="BC65" s="86"/>
      <c r="BD65" s="55" t="str">
        <f t="shared" si="22"/>
        <v/>
      </c>
      <c r="BE65" s="74"/>
      <c r="BW65" s="1"/>
      <c r="BX65" s="1"/>
      <c r="CC65" s="3"/>
      <c r="CD65" s="3"/>
    </row>
    <row r="66" spans="1:82" ht="17.399999999999999" customHeight="1" thickBot="1">
      <c r="A66" s="72">
        <f t="shared" si="27"/>
        <v>8.7000000000000011</v>
      </c>
      <c r="B66" s="113">
        <f t="shared" si="11"/>
        <v>56</v>
      </c>
      <c r="C66" s="89"/>
      <c r="D66" s="90"/>
      <c r="E66" s="91"/>
      <c r="F66" s="90"/>
      <c r="G66" s="92">
        <f t="shared" si="37"/>
        <v>0</v>
      </c>
      <c r="H66" s="93">
        <f t="shared" si="37"/>
        <v>0</v>
      </c>
      <c r="I66" s="94">
        <f t="shared" si="13"/>
        <v>0</v>
      </c>
      <c r="J66" s="95">
        <f t="shared" si="14"/>
        <v>0</v>
      </c>
      <c r="K66" s="95">
        <f t="shared" si="15"/>
        <v>0</v>
      </c>
      <c r="L66" s="95">
        <f t="shared" si="16"/>
        <v>0</v>
      </c>
      <c r="M66" s="95" t="str">
        <f t="shared" ca="1" si="17"/>
        <v/>
      </c>
      <c r="N66" s="95" t="str">
        <f t="shared" ca="1" si="0"/>
        <v/>
      </c>
      <c r="O66" s="95">
        <f t="shared" si="18"/>
        <v>5.0000000000000001E-4</v>
      </c>
      <c r="P66" s="96"/>
      <c r="Q66" s="89"/>
      <c r="R66" s="96"/>
      <c r="S66" s="78">
        <f t="shared" si="1"/>
        <v>0</v>
      </c>
      <c r="T66" s="55">
        <f t="shared" si="1"/>
        <v>0</v>
      </c>
      <c r="U66" s="97">
        <f t="shared" si="25"/>
        <v>0</v>
      </c>
      <c r="V66" s="98">
        <f t="shared" si="26"/>
        <v>0</v>
      </c>
      <c r="W66" s="99">
        <f t="shared" si="38"/>
        <v>63</v>
      </c>
      <c r="X66" s="100">
        <f t="shared" si="38"/>
        <v>43</v>
      </c>
      <c r="Y66" s="91"/>
      <c r="Z66" s="89"/>
      <c r="AA66" s="112"/>
      <c r="AB66" s="112"/>
      <c r="AC66" s="112"/>
      <c r="AD66" s="75"/>
      <c r="AE66" s="101">
        <f t="shared" si="2"/>
        <v>0</v>
      </c>
      <c r="AF66" s="93">
        <f t="shared" si="3"/>
        <v>0</v>
      </c>
      <c r="AG66" s="94">
        <f t="shared" si="4"/>
        <v>0</v>
      </c>
      <c r="AH66" s="102">
        <f t="shared" si="33"/>
        <v>0</v>
      </c>
      <c r="AI66" s="103">
        <f t="shared" si="33"/>
        <v>0</v>
      </c>
      <c r="AJ66" s="103">
        <f t="shared" si="33"/>
        <v>0</v>
      </c>
      <c r="AK66" s="95">
        <f t="shared" si="33"/>
        <v>0</v>
      </c>
      <c r="AL66" s="102">
        <f t="shared" si="6"/>
        <v>0</v>
      </c>
      <c r="AM66" s="95">
        <f t="shared" si="7"/>
        <v>0</v>
      </c>
      <c r="AN66" s="90"/>
      <c r="AO66" s="104"/>
      <c r="AP66" s="90"/>
      <c r="AQ66" s="105"/>
      <c r="AR66" s="90"/>
      <c r="AS66" s="90"/>
      <c r="AT66" s="90"/>
      <c r="AU66" s="93" t="str">
        <f t="shared" si="19"/>
        <v/>
      </c>
      <c r="AV66" s="93" t="str">
        <f t="shared" ca="1" si="20"/>
        <v/>
      </c>
      <c r="AW66" s="93" t="str">
        <f t="shared" si="8"/>
        <v/>
      </c>
      <c r="AX66" s="93" t="str">
        <f t="shared" ca="1" si="9"/>
        <v/>
      </c>
      <c r="AY66" s="106"/>
      <c r="AZ66" s="106"/>
      <c r="BA66" s="93" t="str">
        <f t="shared" si="21"/>
        <v/>
      </c>
      <c r="BB66" s="106"/>
      <c r="BC66" s="106"/>
      <c r="BD66" s="93" t="str">
        <f t="shared" si="22"/>
        <v/>
      </c>
      <c r="BE66" s="90"/>
      <c r="BW66" s="1"/>
      <c r="BX66" s="1"/>
      <c r="CC66" s="3"/>
      <c r="CD66" s="3"/>
    </row>
    <row r="67" spans="1:82" ht="17.399999999999999" customHeight="1" thickTop="1">
      <c r="A67" s="49">
        <f>A60+1</f>
        <v>9.1</v>
      </c>
      <c r="B67" s="108">
        <f>B66+1</f>
        <v>57</v>
      </c>
      <c r="C67" s="51"/>
      <c r="D67" s="52"/>
      <c r="E67" s="53"/>
      <c r="F67" s="52"/>
      <c r="G67" s="54">
        <f t="shared" si="37"/>
        <v>0</v>
      </c>
      <c r="H67" s="55">
        <f t="shared" si="37"/>
        <v>0</v>
      </c>
      <c r="I67" s="56">
        <f t="shared" si="13"/>
        <v>0</v>
      </c>
      <c r="J67" s="57">
        <f t="shared" si="14"/>
        <v>0</v>
      </c>
      <c r="K67" s="57">
        <f t="shared" si="15"/>
        <v>0</v>
      </c>
      <c r="L67" s="57">
        <f t="shared" si="16"/>
        <v>0</v>
      </c>
      <c r="M67" s="58" t="str">
        <f t="shared" ca="1" si="17"/>
        <v/>
      </c>
      <c r="N67" s="58" t="str">
        <f t="shared" ca="1" si="0"/>
        <v/>
      </c>
      <c r="O67" s="58">
        <f t="shared" si="18"/>
        <v>5.0000000000000001E-4</v>
      </c>
      <c r="P67" s="77"/>
      <c r="Q67" s="60"/>
      <c r="R67" s="77"/>
      <c r="S67" s="109">
        <f t="shared" si="1"/>
        <v>0</v>
      </c>
      <c r="T67" s="61">
        <f t="shared" si="1"/>
        <v>0</v>
      </c>
      <c r="U67" s="62">
        <f t="shared" si="25"/>
        <v>0</v>
      </c>
      <c r="V67" s="63">
        <f t="shared" si="26"/>
        <v>0</v>
      </c>
      <c r="W67" s="64">
        <v>65</v>
      </c>
      <c r="X67" s="80">
        <v>46</v>
      </c>
      <c r="Y67" s="53"/>
      <c r="Z67" s="51"/>
      <c r="AA67" s="110"/>
      <c r="AB67" s="110"/>
      <c r="AC67" s="110"/>
      <c r="AD67" s="53"/>
      <c r="AE67" s="66">
        <f t="shared" si="2"/>
        <v>0</v>
      </c>
      <c r="AF67" s="61">
        <f t="shared" si="3"/>
        <v>0</v>
      </c>
      <c r="AG67" s="56">
        <f t="shared" si="4"/>
        <v>0</v>
      </c>
      <c r="AH67" s="67">
        <f t="shared" si="33"/>
        <v>0</v>
      </c>
      <c r="AI67" s="68">
        <f t="shared" si="33"/>
        <v>0</v>
      </c>
      <c r="AJ67" s="68">
        <f t="shared" si="33"/>
        <v>0</v>
      </c>
      <c r="AK67" s="57">
        <f t="shared" si="33"/>
        <v>0</v>
      </c>
      <c r="AL67" s="67">
        <f t="shared" si="6"/>
        <v>0</v>
      </c>
      <c r="AM67" s="57">
        <f t="shared" si="7"/>
        <v>0</v>
      </c>
      <c r="AN67" s="52"/>
      <c r="AO67" s="69"/>
      <c r="AP67" s="52"/>
      <c r="AQ67" s="70"/>
      <c r="AR67" s="52"/>
      <c r="AS67" s="52"/>
      <c r="AT67" s="52"/>
      <c r="AU67" s="61" t="str">
        <f t="shared" si="19"/>
        <v/>
      </c>
      <c r="AV67" s="61" t="str">
        <f t="shared" ca="1" si="20"/>
        <v/>
      </c>
      <c r="AW67" s="61" t="str">
        <f t="shared" si="8"/>
        <v/>
      </c>
      <c r="AX67" s="61" t="str">
        <f t="shared" ca="1" si="9"/>
        <v/>
      </c>
      <c r="AY67" s="71"/>
      <c r="AZ67" s="71"/>
      <c r="BA67" s="61" t="str">
        <f t="shared" si="21"/>
        <v/>
      </c>
      <c r="BB67" s="71"/>
      <c r="BC67" s="71"/>
      <c r="BD67" s="61" t="str">
        <f t="shared" si="22"/>
        <v/>
      </c>
      <c r="BE67" s="52"/>
      <c r="BW67" s="1"/>
      <c r="BX67" s="1"/>
      <c r="CC67" s="3"/>
      <c r="CD67" s="3"/>
    </row>
    <row r="68" spans="1:82" ht="17.399999999999999" customHeight="1">
      <c r="A68" s="72">
        <f t="shared" si="27"/>
        <v>9.1999999999999993</v>
      </c>
      <c r="B68" s="111">
        <f t="shared" si="11"/>
        <v>58</v>
      </c>
      <c r="C68" s="60"/>
      <c r="D68" s="74"/>
      <c r="E68" s="75"/>
      <c r="F68" s="74"/>
      <c r="G68" s="54">
        <f t="shared" si="37"/>
        <v>0</v>
      </c>
      <c r="H68" s="55">
        <f t="shared" si="37"/>
        <v>0</v>
      </c>
      <c r="I68" s="76">
        <f t="shared" si="13"/>
        <v>0</v>
      </c>
      <c r="J68" s="58">
        <f t="shared" si="14"/>
        <v>0</v>
      </c>
      <c r="K68" s="58">
        <f t="shared" si="15"/>
        <v>0</v>
      </c>
      <c r="L68" s="58">
        <f t="shared" si="16"/>
        <v>0</v>
      </c>
      <c r="M68" s="58" t="str">
        <f t="shared" ca="1" si="17"/>
        <v/>
      </c>
      <c r="N68" s="58" t="str">
        <f t="shared" ca="1" si="0"/>
        <v/>
      </c>
      <c r="O68" s="58">
        <f t="shared" si="18"/>
        <v>5.0000000000000001E-4</v>
      </c>
      <c r="P68" s="77"/>
      <c r="Q68" s="60"/>
      <c r="R68" s="77"/>
      <c r="S68" s="78">
        <f t="shared" si="1"/>
        <v>0</v>
      </c>
      <c r="T68" s="55">
        <f t="shared" si="1"/>
        <v>0</v>
      </c>
      <c r="U68" s="79">
        <f t="shared" si="25"/>
        <v>0</v>
      </c>
      <c r="V68" s="63">
        <f t="shared" si="26"/>
        <v>0</v>
      </c>
      <c r="W68" s="64">
        <f t="shared" ref="W68:X73" si="39">W67</f>
        <v>65</v>
      </c>
      <c r="X68" s="80">
        <f t="shared" si="39"/>
        <v>46</v>
      </c>
      <c r="Y68" s="75"/>
      <c r="Z68" s="60"/>
      <c r="AA68" s="112"/>
      <c r="AB68" s="112"/>
      <c r="AC68" s="112"/>
      <c r="AD68" s="75"/>
      <c r="AE68" s="81">
        <f t="shared" si="2"/>
        <v>0</v>
      </c>
      <c r="AF68" s="55">
        <f t="shared" si="3"/>
        <v>0</v>
      </c>
      <c r="AG68" s="76">
        <f t="shared" si="4"/>
        <v>0</v>
      </c>
      <c r="AH68" s="82">
        <f t="shared" si="33"/>
        <v>0</v>
      </c>
      <c r="AI68" s="83">
        <f t="shared" si="33"/>
        <v>0</v>
      </c>
      <c r="AJ68" s="83">
        <f t="shared" si="33"/>
        <v>0</v>
      </c>
      <c r="AK68" s="58">
        <f t="shared" si="33"/>
        <v>0</v>
      </c>
      <c r="AL68" s="82">
        <f t="shared" si="6"/>
        <v>0</v>
      </c>
      <c r="AM68" s="58">
        <f t="shared" si="7"/>
        <v>0</v>
      </c>
      <c r="AN68" s="74"/>
      <c r="AO68" s="84"/>
      <c r="AP68" s="74"/>
      <c r="AQ68" s="85"/>
      <c r="AR68" s="74"/>
      <c r="AS68" s="74"/>
      <c r="AT68" s="74"/>
      <c r="AU68" s="55" t="str">
        <f t="shared" si="19"/>
        <v/>
      </c>
      <c r="AV68" s="55" t="str">
        <f t="shared" ca="1" si="20"/>
        <v/>
      </c>
      <c r="AW68" s="55" t="str">
        <f t="shared" si="8"/>
        <v/>
      </c>
      <c r="AX68" s="55" t="str">
        <f t="shared" ca="1" si="9"/>
        <v/>
      </c>
      <c r="AY68" s="86"/>
      <c r="AZ68" s="86"/>
      <c r="BA68" s="55" t="str">
        <f t="shared" si="21"/>
        <v/>
      </c>
      <c r="BB68" s="86"/>
      <c r="BC68" s="86"/>
      <c r="BD68" s="55" t="str">
        <f t="shared" si="22"/>
        <v/>
      </c>
      <c r="BE68" s="74"/>
      <c r="BW68" s="1"/>
      <c r="BX68" s="1"/>
      <c r="CC68" s="3"/>
      <c r="CD68" s="3"/>
    </row>
    <row r="69" spans="1:82" ht="17.399999999999999" customHeight="1">
      <c r="A69" s="87">
        <f t="shared" si="27"/>
        <v>9.3000000000000007</v>
      </c>
      <c r="B69" s="111">
        <f t="shared" si="11"/>
        <v>59</v>
      </c>
      <c r="C69" s="60"/>
      <c r="D69" s="74"/>
      <c r="E69" s="75"/>
      <c r="F69" s="74"/>
      <c r="G69" s="54">
        <f t="shared" si="37"/>
        <v>0</v>
      </c>
      <c r="H69" s="55">
        <f t="shared" si="37"/>
        <v>0</v>
      </c>
      <c r="I69" s="76">
        <f t="shared" si="13"/>
        <v>0</v>
      </c>
      <c r="J69" s="58">
        <f t="shared" si="14"/>
        <v>0</v>
      </c>
      <c r="K69" s="58">
        <f t="shared" si="15"/>
        <v>0</v>
      </c>
      <c r="L69" s="58">
        <f t="shared" si="16"/>
        <v>0</v>
      </c>
      <c r="M69" s="58" t="str">
        <f t="shared" ca="1" si="17"/>
        <v/>
      </c>
      <c r="N69" s="58" t="str">
        <f t="shared" ca="1" si="0"/>
        <v/>
      </c>
      <c r="O69" s="58">
        <f t="shared" si="18"/>
        <v>5.0000000000000001E-4</v>
      </c>
      <c r="P69" s="77"/>
      <c r="Q69" s="60"/>
      <c r="R69" s="77"/>
      <c r="S69" s="78">
        <f t="shared" si="1"/>
        <v>0</v>
      </c>
      <c r="T69" s="55">
        <f t="shared" si="1"/>
        <v>0</v>
      </c>
      <c r="U69" s="79">
        <f t="shared" si="25"/>
        <v>0</v>
      </c>
      <c r="V69" s="63">
        <f t="shared" si="26"/>
        <v>0</v>
      </c>
      <c r="W69" s="64">
        <f t="shared" si="39"/>
        <v>65</v>
      </c>
      <c r="X69" s="80">
        <f t="shared" si="39"/>
        <v>46</v>
      </c>
      <c r="Y69" s="75"/>
      <c r="Z69" s="60"/>
      <c r="AA69" s="112"/>
      <c r="AB69" s="112"/>
      <c r="AC69" s="112"/>
      <c r="AD69" s="75"/>
      <c r="AE69" s="81">
        <f t="shared" si="2"/>
        <v>0</v>
      </c>
      <c r="AF69" s="55">
        <f t="shared" si="3"/>
        <v>0</v>
      </c>
      <c r="AG69" s="76">
        <f t="shared" si="4"/>
        <v>0</v>
      </c>
      <c r="AH69" s="82">
        <f t="shared" si="33"/>
        <v>0</v>
      </c>
      <c r="AI69" s="83">
        <f t="shared" si="33"/>
        <v>0</v>
      </c>
      <c r="AJ69" s="83">
        <f t="shared" si="33"/>
        <v>0</v>
      </c>
      <c r="AK69" s="58">
        <f t="shared" si="33"/>
        <v>0</v>
      </c>
      <c r="AL69" s="82">
        <f t="shared" si="6"/>
        <v>0</v>
      </c>
      <c r="AM69" s="58">
        <f t="shared" si="7"/>
        <v>0</v>
      </c>
      <c r="AN69" s="74"/>
      <c r="AO69" s="84"/>
      <c r="AP69" s="74"/>
      <c r="AQ69" s="85"/>
      <c r="AR69" s="74"/>
      <c r="AS69" s="74"/>
      <c r="AT69" s="74"/>
      <c r="AU69" s="55" t="str">
        <f t="shared" si="19"/>
        <v/>
      </c>
      <c r="AV69" s="55" t="str">
        <f t="shared" ca="1" si="20"/>
        <v/>
      </c>
      <c r="AW69" s="55" t="str">
        <f t="shared" si="8"/>
        <v/>
      </c>
      <c r="AX69" s="55" t="str">
        <f t="shared" ca="1" si="9"/>
        <v/>
      </c>
      <c r="AY69" s="86"/>
      <c r="AZ69" s="86"/>
      <c r="BA69" s="55" t="str">
        <f t="shared" si="21"/>
        <v/>
      </c>
      <c r="BB69" s="86"/>
      <c r="BC69" s="86"/>
      <c r="BD69" s="55" t="str">
        <f t="shared" si="22"/>
        <v/>
      </c>
      <c r="BE69" s="74"/>
      <c r="BW69" s="1"/>
      <c r="BX69" s="1"/>
      <c r="CC69" s="3"/>
      <c r="CD69" s="3"/>
    </row>
    <row r="70" spans="1:82" ht="17.399999999999999" customHeight="1">
      <c r="A70" s="72">
        <f t="shared" si="27"/>
        <v>9.4</v>
      </c>
      <c r="B70" s="111">
        <f t="shared" si="11"/>
        <v>60</v>
      </c>
      <c r="C70" s="60"/>
      <c r="D70" s="74"/>
      <c r="E70" s="75"/>
      <c r="F70" s="74"/>
      <c r="G70" s="54">
        <f t="shared" si="37"/>
        <v>0</v>
      </c>
      <c r="H70" s="55">
        <f t="shared" si="37"/>
        <v>0</v>
      </c>
      <c r="I70" s="76">
        <f t="shared" si="13"/>
        <v>0</v>
      </c>
      <c r="J70" s="58">
        <f t="shared" si="14"/>
        <v>0</v>
      </c>
      <c r="K70" s="58">
        <f t="shared" si="15"/>
        <v>0</v>
      </c>
      <c r="L70" s="58">
        <f t="shared" si="16"/>
        <v>0</v>
      </c>
      <c r="M70" s="58" t="str">
        <f t="shared" ca="1" si="17"/>
        <v/>
      </c>
      <c r="N70" s="58" t="str">
        <f t="shared" ca="1" si="0"/>
        <v/>
      </c>
      <c r="O70" s="58">
        <f t="shared" si="18"/>
        <v>5.0000000000000001E-4</v>
      </c>
      <c r="P70" s="77"/>
      <c r="Q70" s="60"/>
      <c r="R70" s="77"/>
      <c r="S70" s="78">
        <f t="shared" si="1"/>
        <v>0</v>
      </c>
      <c r="T70" s="55">
        <f t="shared" si="1"/>
        <v>0</v>
      </c>
      <c r="U70" s="79">
        <f t="shared" si="25"/>
        <v>0</v>
      </c>
      <c r="V70" s="63">
        <f t="shared" si="26"/>
        <v>0</v>
      </c>
      <c r="W70" s="64">
        <f t="shared" si="39"/>
        <v>65</v>
      </c>
      <c r="X70" s="80">
        <f t="shared" si="39"/>
        <v>46</v>
      </c>
      <c r="Y70" s="75"/>
      <c r="Z70" s="60"/>
      <c r="AA70" s="112"/>
      <c r="AB70" s="112"/>
      <c r="AC70" s="112"/>
      <c r="AD70" s="75"/>
      <c r="AE70" s="81">
        <f t="shared" si="2"/>
        <v>0</v>
      </c>
      <c r="AF70" s="55">
        <f t="shared" si="3"/>
        <v>0</v>
      </c>
      <c r="AG70" s="76">
        <f t="shared" si="4"/>
        <v>0</v>
      </c>
      <c r="AH70" s="82">
        <f t="shared" si="33"/>
        <v>0</v>
      </c>
      <c r="AI70" s="83">
        <f t="shared" si="33"/>
        <v>0</v>
      </c>
      <c r="AJ70" s="83">
        <f t="shared" si="33"/>
        <v>0</v>
      </c>
      <c r="AK70" s="58">
        <f t="shared" si="33"/>
        <v>0</v>
      </c>
      <c r="AL70" s="82">
        <f t="shared" si="6"/>
        <v>0</v>
      </c>
      <c r="AM70" s="58">
        <f t="shared" si="7"/>
        <v>0</v>
      </c>
      <c r="AN70" s="74"/>
      <c r="AO70" s="84"/>
      <c r="AP70" s="74"/>
      <c r="AQ70" s="85"/>
      <c r="AR70" s="74"/>
      <c r="AS70" s="74"/>
      <c r="AT70" s="74"/>
      <c r="AU70" s="55" t="str">
        <f t="shared" si="19"/>
        <v/>
      </c>
      <c r="AV70" s="55" t="str">
        <f t="shared" ca="1" si="20"/>
        <v/>
      </c>
      <c r="AW70" s="55" t="str">
        <f t="shared" si="8"/>
        <v/>
      </c>
      <c r="AX70" s="55" t="str">
        <f t="shared" ca="1" si="9"/>
        <v/>
      </c>
      <c r="AY70" s="86"/>
      <c r="AZ70" s="86"/>
      <c r="BA70" s="55" t="str">
        <f t="shared" si="21"/>
        <v/>
      </c>
      <c r="BB70" s="86"/>
      <c r="BC70" s="86"/>
      <c r="BD70" s="55" t="str">
        <f t="shared" si="22"/>
        <v/>
      </c>
      <c r="BE70" s="74"/>
      <c r="BW70" s="1"/>
      <c r="BX70" s="1"/>
      <c r="CC70" s="3"/>
      <c r="CD70" s="3"/>
    </row>
    <row r="71" spans="1:82" ht="17.399999999999999" customHeight="1">
      <c r="A71" s="87">
        <f t="shared" si="27"/>
        <v>9.5</v>
      </c>
      <c r="B71" s="111">
        <f t="shared" si="11"/>
        <v>61</v>
      </c>
      <c r="C71" s="60"/>
      <c r="D71" s="74"/>
      <c r="E71" s="75"/>
      <c r="F71" s="74"/>
      <c r="G71" s="54">
        <f t="shared" si="37"/>
        <v>0</v>
      </c>
      <c r="H71" s="55">
        <f t="shared" si="37"/>
        <v>0</v>
      </c>
      <c r="I71" s="76">
        <f t="shared" si="13"/>
        <v>0</v>
      </c>
      <c r="J71" s="58">
        <f t="shared" si="14"/>
        <v>0</v>
      </c>
      <c r="K71" s="58">
        <f t="shared" si="15"/>
        <v>0</v>
      </c>
      <c r="L71" s="58">
        <f t="shared" si="16"/>
        <v>0</v>
      </c>
      <c r="M71" s="58" t="str">
        <f t="shared" ca="1" si="17"/>
        <v/>
      </c>
      <c r="N71" s="58" t="str">
        <f t="shared" ca="1" si="0"/>
        <v/>
      </c>
      <c r="O71" s="58">
        <f t="shared" si="18"/>
        <v>5.0000000000000001E-4</v>
      </c>
      <c r="P71" s="77"/>
      <c r="Q71" s="60"/>
      <c r="R71" s="77"/>
      <c r="S71" s="78">
        <f t="shared" si="1"/>
        <v>0</v>
      </c>
      <c r="T71" s="55">
        <f t="shared" si="1"/>
        <v>0</v>
      </c>
      <c r="U71" s="79">
        <f t="shared" si="25"/>
        <v>0</v>
      </c>
      <c r="V71" s="63">
        <f t="shared" si="26"/>
        <v>0</v>
      </c>
      <c r="W71" s="64">
        <f t="shared" si="39"/>
        <v>65</v>
      </c>
      <c r="X71" s="80">
        <f t="shared" si="39"/>
        <v>46</v>
      </c>
      <c r="Y71" s="75"/>
      <c r="Z71" s="60"/>
      <c r="AA71" s="112"/>
      <c r="AB71" s="112"/>
      <c r="AC71" s="112"/>
      <c r="AD71" s="75"/>
      <c r="AE71" s="81">
        <f t="shared" si="2"/>
        <v>0</v>
      </c>
      <c r="AF71" s="55">
        <f t="shared" si="3"/>
        <v>0</v>
      </c>
      <c r="AG71" s="76">
        <f t="shared" si="4"/>
        <v>0</v>
      </c>
      <c r="AH71" s="82">
        <f t="shared" si="33"/>
        <v>0</v>
      </c>
      <c r="AI71" s="83">
        <f t="shared" si="33"/>
        <v>0</v>
      </c>
      <c r="AJ71" s="83">
        <f t="shared" si="33"/>
        <v>0</v>
      </c>
      <c r="AK71" s="58">
        <f t="shared" si="33"/>
        <v>0</v>
      </c>
      <c r="AL71" s="82">
        <f t="shared" si="6"/>
        <v>0</v>
      </c>
      <c r="AM71" s="58">
        <f t="shared" si="7"/>
        <v>0</v>
      </c>
      <c r="AN71" s="74"/>
      <c r="AO71" s="84"/>
      <c r="AP71" s="74"/>
      <c r="AQ71" s="85"/>
      <c r="AR71" s="74"/>
      <c r="AS71" s="74"/>
      <c r="AT71" s="74"/>
      <c r="AU71" s="55" t="str">
        <f t="shared" si="19"/>
        <v/>
      </c>
      <c r="AV71" s="55" t="str">
        <f t="shared" ca="1" si="20"/>
        <v/>
      </c>
      <c r="AW71" s="55" t="str">
        <f t="shared" si="8"/>
        <v/>
      </c>
      <c r="AX71" s="55" t="str">
        <f t="shared" ca="1" si="9"/>
        <v/>
      </c>
      <c r="AY71" s="86"/>
      <c r="AZ71" s="86"/>
      <c r="BA71" s="55" t="str">
        <f t="shared" si="21"/>
        <v/>
      </c>
      <c r="BB71" s="86"/>
      <c r="BC71" s="86"/>
      <c r="BD71" s="55" t="str">
        <f t="shared" si="22"/>
        <v/>
      </c>
      <c r="BE71" s="74"/>
      <c r="BW71" s="1"/>
      <c r="BX71" s="1"/>
      <c r="CC71" s="3"/>
      <c r="CD71" s="3"/>
    </row>
    <row r="72" spans="1:82" ht="17.399999999999999" customHeight="1">
      <c r="A72" s="72">
        <f t="shared" si="27"/>
        <v>9.6000000000000014</v>
      </c>
      <c r="B72" s="111">
        <f t="shared" si="11"/>
        <v>62</v>
      </c>
      <c r="C72" s="60"/>
      <c r="D72" s="74"/>
      <c r="E72" s="75"/>
      <c r="F72" s="74"/>
      <c r="G72" s="54">
        <f t="shared" si="37"/>
        <v>0</v>
      </c>
      <c r="H72" s="55">
        <f t="shared" si="37"/>
        <v>0</v>
      </c>
      <c r="I72" s="76">
        <f t="shared" si="13"/>
        <v>0</v>
      </c>
      <c r="J72" s="58">
        <f t="shared" si="14"/>
        <v>0</v>
      </c>
      <c r="K72" s="58">
        <f t="shared" si="15"/>
        <v>0</v>
      </c>
      <c r="L72" s="58">
        <f t="shared" si="16"/>
        <v>0</v>
      </c>
      <c r="M72" s="58" t="str">
        <f t="shared" ca="1" si="17"/>
        <v/>
      </c>
      <c r="N72" s="58" t="str">
        <f t="shared" ca="1" si="0"/>
        <v/>
      </c>
      <c r="O72" s="58">
        <f t="shared" si="18"/>
        <v>5.0000000000000001E-4</v>
      </c>
      <c r="P72" s="77"/>
      <c r="Q72" s="60"/>
      <c r="R72" s="77"/>
      <c r="S72" s="78">
        <f t="shared" si="1"/>
        <v>0</v>
      </c>
      <c r="T72" s="55">
        <f t="shared" si="1"/>
        <v>0</v>
      </c>
      <c r="U72" s="79">
        <f t="shared" si="25"/>
        <v>0</v>
      </c>
      <c r="V72" s="63">
        <f t="shared" si="26"/>
        <v>0</v>
      </c>
      <c r="W72" s="64">
        <f t="shared" si="39"/>
        <v>65</v>
      </c>
      <c r="X72" s="80">
        <f t="shared" si="39"/>
        <v>46</v>
      </c>
      <c r="Y72" s="75"/>
      <c r="Z72" s="60"/>
      <c r="AA72" s="112"/>
      <c r="AB72" s="112"/>
      <c r="AC72" s="112"/>
      <c r="AD72" s="75"/>
      <c r="AE72" s="81">
        <f t="shared" si="2"/>
        <v>0</v>
      </c>
      <c r="AF72" s="55">
        <f t="shared" si="3"/>
        <v>0</v>
      </c>
      <c r="AG72" s="76">
        <f t="shared" si="4"/>
        <v>0</v>
      </c>
      <c r="AH72" s="82">
        <f t="shared" si="33"/>
        <v>0</v>
      </c>
      <c r="AI72" s="83">
        <f t="shared" si="33"/>
        <v>0</v>
      </c>
      <c r="AJ72" s="83">
        <f t="shared" si="33"/>
        <v>0</v>
      </c>
      <c r="AK72" s="58">
        <f t="shared" si="33"/>
        <v>0</v>
      </c>
      <c r="AL72" s="82">
        <f t="shared" si="6"/>
        <v>0</v>
      </c>
      <c r="AM72" s="58">
        <f t="shared" si="7"/>
        <v>0</v>
      </c>
      <c r="AN72" s="74"/>
      <c r="AO72" s="84"/>
      <c r="AP72" s="74"/>
      <c r="AQ72" s="85"/>
      <c r="AR72" s="74"/>
      <c r="AS72" s="74"/>
      <c r="AT72" s="74"/>
      <c r="AU72" s="55" t="str">
        <f t="shared" si="19"/>
        <v/>
      </c>
      <c r="AV72" s="55" t="str">
        <f t="shared" ca="1" si="20"/>
        <v/>
      </c>
      <c r="AW72" s="55" t="str">
        <f t="shared" si="8"/>
        <v/>
      </c>
      <c r="AX72" s="55" t="str">
        <f t="shared" ca="1" si="9"/>
        <v/>
      </c>
      <c r="AY72" s="86"/>
      <c r="AZ72" s="86"/>
      <c r="BA72" s="55" t="str">
        <f t="shared" si="21"/>
        <v/>
      </c>
      <c r="BB72" s="86"/>
      <c r="BC72" s="86"/>
      <c r="BD72" s="55" t="str">
        <f t="shared" si="22"/>
        <v/>
      </c>
      <c r="BE72" s="74"/>
      <c r="BW72" s="1"/>
      <c r="BX72" s="1"/>
      <c r="CC72" s="3"/>
      <c r="CD72" s="3"/>
    </row>
    <row r="73" spans="1:82" ht="17.399999999999999" customHeight="1" thickBot="1">
      <c r="A73" s="87">
        <f t="shared" si="27"/>
        <v>9.7000000000000011</v>
      </c>
      <c r="B73" s="113">
        <f t="shared" si="11"/>
        <v>63</v>
      </c>
      <c r="C73" s="89"/>
      <c r="D73" s="90"/>
      <c r="E73" s="91"/>
      <c r="F73" s="90"/>
      <c r="G73" s="92">
        <f t="shared" si="37"/>
        <v>0</v>
      </c>
      <c r="H73" s="93">
        <f t="shared" si="37"/>
        <v>0</v>
      </c>
      <c r="I73" s="94">
        <f t="shared" si="13"/>
        <v>0</v>
      </c>
      <c r="J73" s="95">
        <f t="shared" si="14"/>
        <v>0</v>
      </c>
      <c r="K73" s="95">
        <f t="shared" si="15"/>
        <v>0</v>
      </c>
      <c r="L73" s="95">
        <f t="shared" si="16"/>
        <v>0</v>
      </c>
      <c r="M73" s="95" t="str">
        <f t="shared" ca="1" si="17"/>
        <v/>
      </c>
      <c r="N73" s="95" t="str">
        <f t="shared" ca="1" si="0"/>
        <v/>
      </c>
      <c r="O73" s="95">
        <f t="shared" si="18"/>
        <v>5.0000000000000001E-4</v>
      </c>
      <c r="P73" s="96"/>
      <c r="Q73" s="89"/>
      <c r="R73" s="96"/>
      <c r="S73" s="78">
        <f t="shared" si="1"/>
        <v>0</v>
      </c>
      <c r="T73" s="55">
        <f t="shared" si="1"/>
        <v>0</v>
      </c>
      <c r="U73" s="97">
        <f t="shared" si="25"/>
        <v>0</v>
      </c>
      <c r="V73" s="98">
        <f t="shared" si="26"/>
        <v>0</v>
      </c>
      <c r="W73" s="99">
        <f t="shared" si="39"/>
        <v>65</v>
      </c>
      <c r="X73" s="100">
        <f t="shared" si="39"/>
        <v>46</v>
      </c>
      <c r="Y73" s="91"/>
      <c r="Z73" s="89"/>
      <c r="AA73" s="112"/>
      <c r="AB73" s="112"/>
      <c r="AC73" s="112"/>
      <c r="AD73" s="75"/>
      <c r="AE73" s="101">
        <f t="shared" si="2"/>
        <v>0</v>
      </c>
      <c r="AF73" s="93">
        <f t="shared" si="3"/>
        <v>0</v>
      </c>
      <c r="AG73" s="94">
        <f t="shared" si="4"/>
        <v>0</v>
      </c>
      <c r="AH73" s="102">
        <f t="shared" si="33"/>
        <v>0</v>
      </c>
      <c r="AI73" s="103">
        <f t="shared" si="33"/>
        <v>0</v>
      </c>
      <c r="AJ73" s="103">
        <f t="shared" si="33"/>
        <v>0</v>
      </c>
      <c r="AK73" s="95">
        <f t="shared" si="33"/>
        <v>0</v>
      </c>
      <c r="AL73" s="102">
        <f t="shared" si="6"/>
        <v>0</v>
      </c>
      <c r="AM73" s="95">
        <f t="shared" si="7"/>
        <v>0</v>
      </c>
      <c r="AN73" s="90"/>
      <c r="AO73" s="104"/>
      <c r="AP73" s="90"/>
      <c r="AQ73" s="105"/>
      <c r="AR73" s="90"/>
      <c r="AS73" s="90"/>
      <c r="AT73" s="90"/>
      <c r="AU73" s="93" t="str">
        <f t="shared" si="19"/>
        <v/>
      </c>
      <c r="AV73" s="93" t="str">
        <f t="shared" ca="1" si="20"/>
        <v/>
      </c>
      <c r="AW73" s="93" t="str">
        <f t="shared" si="8"/>
        <v/>
      </c>
      <c r="AX73" s="93" t="str">
        <f t="shared" ca="1" si="9"/>
        <v/>
      </c>
      <c r="AY73" s="106"/>
      <c r="AZ73" s="106"/>
      <c r="BA73" s="93" t="str">
        <f t="shared" si="21"/>
        <v/>
      </c>
      <c r="BB73" s="106"/>
      <c r="BC73" s="106"/>
      <c r="BD73" s="93" t="str">
        <f t="shared" si="22"/>
        <v/>
      </c>
      <c r="BE73" s="90"/>
      <c r="BW73" s="1"/>
      <c r="BX73" s="1"/>
      <c r="CC73" s="3"/>
      <c r="CD73" s="3"/>
    </row>
    <row r="74" spans="1:82" ht="17.399999999999999" customHeight="1" thickTop="1">
      <c r="A74" s="107">
        <f>A67+1</f>
        <v>10.1</v>
      </c>
      <c r="B74" s="108">
        <f>B73+1</f>
        <v>64</v>
      </c>
      <c r="C74" s="51"/>
      <c r="D74" s="52"/>
      <c r="E74" s="53"/>
      <c r="F74" s="52"/>
      <c r="G74" s="54">
        <f t="shared" si="37"/>
        <v>0</v>
      </c>
      <c r="H74" s="55">
        <f t="shared" si="37"/>
        <v>0</v>
      </c>
      <c r="I74" s="56">
        <f t="shared" si="13"/>
        <v>0</v>
      </c>
      <c r="J74" s="57">
        <f t="shared" si="14"/>
        <v>0</v>
      </c>
      <c r="K74" s="57">
        <f t="shared" si="15"/>
        <v>0</v>
      </c>
      <c r="L74" s="57">
        <f t="shared" si="16"/>
        <v>0</v>
      </c>
      <c r="M74" s="58" t="str">
        <f t="shared" ca="1" si="17"/>
        <v/>
      </c>
      <c r="N74" s="58" t="str">
        <f t="shared" ca="1" si="0"/>
        <v/>
      </c>
      <c r="O74" s="58">
        <f t="shared" si="18"/>
        <v>5.0000000000000001E-4</v>
      </c>
      <c r="P74" s="77"/>
      <c r="Q74" s="60"/>
      <c r="R74" s="77"/>
      <c r="S74" s="109">
        <f t="shared" si="1"/>
        <v>0</v>
      </c>
      <c r="T74" s="61">
        <f t="shared" si="1"/>
        <v>0</v>
      </c>
      <c r="U74" s="62">
        <f t="shared" si="25"/>
        <v>0</v>
      </c>
      <c r="V74" s="63">
        <f t="shared" si="26"/>
        <v>0</v>
      </c>
      <c r="W74" s="64">
        <v>67</v>
      </c>
      <c r="X74" s="80">
        <v>50</v>
      </c>
      <c r="Y74" s="53"/>
      <c r="Z74" s="51"/>
      <c r="AA74" s="110"/>
      <c r="AB74" s="110"/>
      <c r="AC74" s="110"/>
      <c r="AD74" s="53"/>
      <c r="AE74" s="66">
        <f t="shared" si="2"/>
        <v>0</v>
      </c>
      <c r="AF74" s="61">
        <f t="shared" si="3"/>
        <v>0</v>
      </c>
      <c r="AG74" s="56">
        <f t="shared" si="4"/>
        <v>0</v>
      </c>
      <c r="AH74" s="67">
        <f t="shared" si="33"/>
        <v>0</v>
      </c>
      <c r="AI74" s="68">
        <f t="shared" si="33"/>
        <v>0</v>
      </c>
      <c r="AJ74" s="68">
        <f t="shared" si="33"/>
        <v>0</v>
      </c>
      <c r="AK74" s="57">
        <f t="shared" si="33"/>
        <v>0</v>
      </c>
      <c r="AL74" s="67">
        <f t="shared" si="6"/>
        <v>0</v>
      </c>
      <c r="AM74" s="57">
        <f t="shared" si="7"/>
        <v>0</v>
      </c>
      <c r="AN74" s="52"/>
      <c r="AO74" s="69"/>
      <c r="AP74" s="52"/>
      <c r="AQ74" s="70"/>
      <c r="AR74" s="52"/>
      <c r="AS74" s="52"/>
      <c r="AT74" s="52"/>
      <c r="AU74" s="61" t="str">
        <f t="shared" si="19"/>
        <v/>
      </c>
      <c r="AV74" s="61" t="str">
        <f t="shared" ca="1" si="20"/>
        <v/>
      </c>
      <c r="AW74" s="61" t="str">
        <f t="shared" si="8"/>
        <v/>
      </c>
      <c r="AX74" s="61" t="str">
        <f t="shared" ca="1" si="9"/>
        <v/>
      </c>
      <c r="AY74" s="71"/>
      <c r="AZ74" s="71"/>
      <c r="BA74" s="61" t="str">
        <f t="shared" si="21"/>
        <v/>
      </c>
      <c r="BB74" s="71"/>
      <c r="BC74" s="71"/>
      <c r="BD74" s="61" t="str">
        <f t="shared" si="22"/>
        <v/>
      </c>
      <c r="BE74" s="52"/>
      <c r="BW74" s="1"/>
      <c r="BX74" s="1"/>
      <c r="CC74" s="3"/>
      <c r="CD74" s="3"/>
    </row>
    <row r="75" spans="1:82" ht="17.399999999999999" customHeight="1">
      <c r="A75" s="87">
        <f t="shared" si="27"/>
        <v>10.199999999999999</v>
      </c>
      <c r="B75" s="111">
        <f t="shared" ref="B75:B138" si="40">B74+1</f>
        <v>65</v>
      </c>
      <c r="C75" s="60"/>
      <c r="D75" s="74"/>
      <c r="E75" s="75"/>
      <c r="F75" s="74"/>
      <c r="G75" s="54">
        <f t="shared" si="37"/>
        <v>0</v>
      </c>
      <c r="H75" s="55">
        <f t="shared" si="37"/>
        <v>0</v>
      </c>
      <c r="I75" s="76">
        <f t="shared" si="13"/>
        <v>0</v>
      </c>
      <c r="J75" s="58">
        <f t="shared" si="14"/>
        <v>0</v>
      </c>
      <c r="K75" s="58">
        <f t="shared" si="15"/>
        <v>0</v>
      </c>
      <c r="L75" s="58">
        <f t="shared" si="16"/>
        <v>0</v>
      </c>
      <c r="M75" s="58" t="str">
        <f t="shared" ca="1" si="17"/>
        <v/>
      </c>
      <c r="N75" s="58" t="str">
        <f t="shared" ca="1" si="17"/>
        <v/>
      </c>
      <c r="O75" s="58">
        <f t="shared" si="18"/>
        <v>5.0000000000000001E-4</v>
      </c>
      <c r="P75" s="77"/>
      <c r="Q75" s="60"/>
      <c r="R75" s="77"/>
      <c r="S75" s="78">
        <f t="shared" ref="S75:T138" si="41">IF($P75="FULL FEED",Q75,Q75*2)</f>
        <v>0</v>
      </c>
      <c r="T75" s="55">
        <f t="shared" si="41"/>
        <v>0</v>
      </c>
      <c r="U75" s="79">
        <f t="shared" si="25"/>
        <v>0</v>
      </c>
      <c r="V75" s="63">
        <f t="shared" si="26"/>
        <v>0</v>
      </c>
      <c r="W75" s="64">
        <f t="shared" ref="W75:X80" si="42">W74</f>
        <v>67</v>
      </c>
      <c r="X75" s="80">
        <f t="shared" si="42"/>
        <v>50</v>
      </c>
      <c r="Y75" s="75"/>
      <c r="Z75" s="60"/>
      <c r="AA75" s="112"/>
      <c r="AB75" s="112"/>
      <c r="AC75" s="112"/>
      <c r="AD75" s="75"/>
      <c r="AE75" s="81">
        <f t="shared" ref="AE75:AE138" si="43">SUM(Z75,AA75,AB75,AC75)</f>
        <v>0</v>
      </c>
      <c r="AF75" s="55">
        <f t="shared" ref="AF75:AF138" si="44">Y75-AE75</f>
        <v>0</v>
      </c>
      <c r="AG75" s="76">
        <f t="shared" ref="AG75:AG130" si="45">IFERROR(Y75/H74,0)</f>
        <v>0</v>
      </c>
      <c r="AH75" s="82">
        <f t="shared" ref="AH75:AK106" si="46">IFERROR(Z75/$Y75,0)</f>
        <v>0</v>
      </c>
      <c r="AI75" s="83">
        <f t="shared" si="46"/>
        <v>0</v>
      </c>
      <c r="AJ75" s="83">
        <f t="shared" si="46"/>
        <v>0</v>
      </c>
      <c r="AK75" s="58">
        <f t="shared" si="46"/>
        <v>0</v>
      </c>
      <c r="AL75" s="82">
        <f t="shared" ref="AL75:AL138" si="47">IFERROR(AE75/Y75,0)</f>
        <v>0</v>
      </c>
      <c r="AM75" s="58">
        <f t="shared" ref="AM75:AM138" si="48">IFERROR(AF75/Y75,0)</f>
        <v>0</v>
      </c>
      <c r="AN75" s="74"/>
      <c r="AO75" s="84"/>
      <c r="AP75" s="74"/>
      <c r="AQ75" s="85"/>
      <c r="AR75" s="74"/>
      <c r="AS75" s="74"/>
      <c r="AT75" s="74"/>
      <c r="AU75" s="55" t="str">
        <f t="shared" si="19"/>
        <v/>
      </c>
      <c r="AV75" s="55" t="str">
        <f t="shared" ca="1" si="20"/>
        <v/>
      </c>
      <c r="AW75" s="55" t="str">
        <f t="shared" ref="AW75:AW138" si="49">IFERROR(IF(OR(AR75="",AT75="",K75="",L75=""),"", ((AT75-AR75)/100*1000)/(U75+V75)),0)</f>
        <v/>
      </c>
      <c r="AX75" s="55" t="str">
        <f t="shared" ref="AX75:AX138" ca="1" si="50">IF(OR(AR75="",AR76="",M75="",N75=""),"", ((AR76-AR75)/100*1000)/((G75+H75))*1000)</f>
        <v/>
      </c>
      <c r="AY75" s="86"/>
      <c r="AZ75" s="86"/>
      <c r="BA75" s="55" t="str">
        <f t="shared" si="21"/>
        <v/>
      </c>
      <c r="BB75" s="86"/>
      <c r="BC75" s="86"/>
      <c r="BD75" s="55" t="str">
        <f t="shared" si="22"/>
        <v/>
      </c>
      <c r="BE75" s="74"/>
      <c r="BW75" s="1"/>
      <c r="BX75" s="1"/>
      <c r="CC75" s="3"/>
      <c r="CD75" s="3"/>
    </row>
    <row r="76" spans="1:82" ht="17.399999999999999" customHeight="1">
      <c r="A76" s="72">
        <f t="shared" si="27"/>
        <v>10.3</v>
      </c>
      <c r="B76" s="111">
        <f t="shared" si="40"/>
        <v>66</v>
      </c>
      <c r="C76" s="60"/>
      <c r="D76" s="74"/>
      <c r="E76" s="75"/>
      <c r="F76" s="74"/>
      <c r="G76" s="54">
        <f t="shared" ref="G76:H91" si="51">G75-E76-C76</f>
        <v>0</v>
      </c>
      <c r="H76" s="55">
        <f t="shared" si="51"/>
        <v>0</v>
      </c>
      <c r="I76" s="76">
        <f t="shared" ref="I76:I139" si="52">IFERROR(C76/G75,0)</f>
        <v>0</v>
      </c>
      <c r="J76" s="58">
        <f t="shared" ref="J76:J139" si="53">IFERROR(E76/G75,0)</f>
        <v>0</v>
      </c>
      <c r="K76" s="58">
        <f t="shared" ref="K76:K139" si="54">IFERROR(D76/H75,0)</f>
        <v>0</v>
      </c>
      <c r="L76" s="58">
        <f t="shared" ref="L76:L139" si="55">IFERROR(F76/H75,0)</f>
        <v>0</v>
      </c>
      <c r="M76" s="58" t="str">
        <f t="shared" ref="M76:N139" ca="1" si="56">IF(ROW()=11,
   IF($B$4&gt;0,E76/$B$4,""),
   IF($B$4&gt;0,
      (OFFSET(M76,-1,0)*$B$4 + E76)/$B$4,
      "")
)</f>
        <v/>
      </c>
      <c r="N76" s="58" t="str">
        <f t="shared" ca="1" si="56"/>
        <v/>
      </c>
      <c r="O76" s="58">
        <f t="shared" ref="O76:O139" si="57">$O$10</f>
        <v>5.0000000000000001E-4</v>
      </c>
      <c r="P76" s="77"/>
      <c r="Q76" s="60"/>
      <c r="R76" s="77"/>
      <c r="S76" s="78">
        <f t="shared" si="41"/>
        <v>0</v>
      </c>
      <c r="T76" s="55">
        <f t="shared" si="41"/>
        <v>0</v>
      </c>
      <c r="U76" s="79">
        <f t="shared" si="25"/>
        <v>0</v>
      </c>
      <c r="V76" s="63">
        <f t="shared" si="26"/>
        <v>0</v>
      </c>
      <c r="W76" s="64">
        <f t="shared" si="42"/>
        <v>67</v>
      </c>
      <c r="X76" s="80">
        <f t="shared" si="42"/>
        <v>50</v>
      </c>
      <c r="Y76" s="75"/>
      <c r="Z76" s="60"/>
      <c r="AA76" s="112"/>
      <c r="AB76" s="112"/>
      <c r="AC76" s="112"/>
      <c r="AD76" s="75"/>
      <c r="AE76" s="81">
        <f t="shared" si="43"/>
        <v>0</v>
      </c>
      <c r="AF76" s="55">
        <f t="shared" si="44"/>
        <v>0</v>
      </c>
      <c r="AG76" s="76">
        <f t="shared" si="45"/>
        <v>0</v>
      </c>
      <c r="AH76" s="82">
        <f t="shared" si="46"/>
        <v>0</v>
      </c>
      <c r="AI76" s="83">
        <f t="shared" si="46"/>
        <v>0</v>
      </c>
      <c r="AJ76" s="83">
        <f t="shared" si="46"/>
        <v>0</v>
      </c>
      <c r="AK76" s="58">
        <f t="shared" si="46"/>
        <v>0</v>
      </c>
      <c r="AL76" s="82">
        <f t="shared" si="47"/>
        <v>0</v>
      </c>
      <c r="AM76" s="58">
        <f t="shared" si="48"/>
        <v>0</v>
      </c>
      <c r="AN76" s="74"/>
      <c r="AO76" s="84"/>
      <c r="AP76" s="74"/>
      <c r="AQ76" s="85"/>
      <c r="AR76" s="74"/>
      <c r="AS76" s="74"/>
      <c r="AT76" s="74"/>
      <c r="AU76" s="55" t="str">
        <f t="shared" ref="AU76:AU139" si="58">IF(OR(AT76="",AR76=""),"", (AT76-AR76)/100*1000)</f>
        <v/>
      </c>
      <c r="AV76" s="55" t="str">
        <f t="shared" ref="AV76:AV139" ca="1" si="59">IF(OR(AR77="",OFFSET(AR77,-1,0)=""),"", (AR77-OFFSET(AR77,-1,0))/100*1000)</f>
        <v/>
      </c>
      <c r="AW76" s="55" t="str">
        <f t="shared" si="49"/>
        <v/>
      </c>
      <c r="AX76" s="55" t="str">
        <f t="shared" ca="1" si="50"/>
        <v/>
      </c>
      <c r="AY76" s="86"/>
      <c r="AZ76" s="86"/>
      <c r="BA76" s="55" t="str">
        <f t="shared" ref="BA76:BA139" si="60">IF(OR(AY76="",AZ76=""),"",MOD(AZ76-AY76,1)*24)</f>
        <v/>
      </c>
      <c r="BB76" s="86"/>
      <c r="BC76" s="86"/>
      <c r="BD76" s="55" t="str">
        <f t="shared" ref="BD76:BD139" si="61">IF(OR(BB76="",BC76=""),"",MOD(BC76-BB76,1)*24)</f>
        <v/>
      </c>
      <c r="BE76" s="74"/>
      <c r="BW76" s="1"/>
      <c r="BX76" s="1"/>
      <c r="CC76" s="3"/>
      <c r="CD76" s="3"/>
    </row>
    <row r="77" spans="1:82" ht="17.399999999999999" customHeight="1">
      <c r="A77" s="87">
        <f t="shared" si="27"/>
        <v>10.4</v>
      </c>
      <c r="B77" s="111">
        <f t="shared" si="40"/>
        <v>67</v>
      </c>
      <c r="C77" s="60"/>
      <c r="D77" s="74"/>
      <c r="E77" s="75"/>
      <c r="F77" s="74"/>
      <c r="G77" s="54">
        <f t="shared" si="51"/>
        <v>0</v>
      </c>
      <c r="H77" s="55">
        <f t="shared" si="51"/>
        <v>0</v>
      </c>
      <c r="I77" s="76">
        <f t="shared" si="52"/>
        <v>0</v>
      </c>
      <c r="J77" s="58">
        <f t="shared" si="53"/>
        <v>0</v>
      </c>
      <c r="K77" s="58">
        <f t="shared" si="54"/>
        <v>0</v>
      </c>
      <c r="L77" s="58">
        <f t="shared" si="55"/>
        <v>0</v>
      </c>
      <c r="M77" s="58" t="str">
        <f t="shared" ca="1" si="56"/>
        <v/>
      </c>
      <c r="N77" s="58" t="str">
        <f t="shared" ca="1" si="56"/>
        <v/>
      </c>
      <c r="O77" s="58">
        <f t="shared" si="57"/>
        <v>5.0000000000000001E-4</v>
      </c>
      <c r="P77" s="77"/>
      <c r="Q77" s="60"/>
      <c r="R77" s="77"/>
      <c r="S77" s="78">
        <f t="shared" si="41"/>
        <v>0</v>
      </c>
      <c r="T77" s="55">
        <f t="shared" si="41"/>
        <v>0</v>
      </c>
      <c r="U77" s="79">
        <f t="shared" si="25"/>
        <v>0</v>
      </c>
      <c r="V77" s="63">
        <f t="shared" si="26"/>
        <v>0</v>
      </c>
      <c r="W77" s="64">
        <f t="shared" si="42"/>
        <v>67</v>
      </c>
      <c r="X77" s="80">
        <f t="shared" si="42"/>
        <v>50</v>
      </c>
      <c r="Y77" s="75"/>
      <c r="Z77" s="60"/>
      <c r="AA77" s="112"/>
      <c r="AB77" s="112"/>
      <c r="AC77" s="112"/>
      <c r="AD77" s="75"/>
      <c r="AE77" s="81">
        <f t="shared" si="43"/>
        <v>0</v>
      </c>
      <c r="AF77" s="55">
        <f t="shared" si="44"/>
        <v>0</v>
      </c>
      <c r="AG77" s="76">
        <f t="shared" si="45"/>
        <v>0</v>
      </c>
      <c r="AH77" s="82">
        <f t="shared" si="46"/>
        <v>0</v>
      </c>
      <c r="AI77" s="83">
        <f t="shared" si="46"/>
        <v>0</v>
      </c>
      <c r="AJ77" s="83">
        <f t="shared" si="46"/>
        <v>0</v>
      </c>
      <c r="AK77" s="58">
        <f t="shared" si="46"/>
        <v>0</v>
      </c>
      <c r="AL77" s="82">
        <f t="shared" si="47"/>
        <v>0</v>
      </c>
      <c r="AM77" s="58">
        <f t="shared" si="48"/>
        <v>0</v>
      </c>
      <c r="AN77" s="74"/>
      <c r="AO77" s="84"/>
      <c r="AP77" s="74"/>
      <c r="AQ77" s="85"/>
      <c r="AR77" s="74"/>
      <c r="AS77" s="74"/>
      <c r="AT77" s="74"/>
      <c r="AU77" s="55" t="str">
        <f t="shared" si="58"/>
        <v/>
      </c>
      <c r="AV77" s="55" t="str">
        <f t="shared" ca="1" si="59"/>
        <v/>
      </c>
      <c r="AW77" s="55" t="str">
        <f t="shared" si="49"/>
        <v/>
      </c>
      <c r="AX77" s="55" t="str">
        <f t="shared" ca="1" si="50"/>
        <v/>
      </c>
      <c r="AY77" s="86"/>
      <c r="AZ77" s="86"/>
      <c r="BA77" s="55" t="str">
        <f t="shared" si="60"/>
        <v/>
      </c>
      <c r="BB77" s="86"/>
      <c r="BC77" s="86"/>
      <c r="BD77" s="55" t="str">
        <f t="shared" si="61"/>
        <v/>
      </c>
      <c r="BE77" s="74"/>
      <c r="BW77" s="1"/>
      <c r="BX77" s="1"/>
      <c r="CC77" s="3"/>
      <c r="CD77" s="3"/>
    </row>
    <row r="78" spans="1:82" ht="17.399999999999999" customHeight="1">
      <c r="A78" s="72">
        <f t="shared" si="27"/>
        <v>10.5</v>
      </c>
      <c r="B78" s="111">
        <f t="shared" si="40"/>
        <v>68</v>
      </c>
      <c r="C78" s="60"/>
      <c r="D78" s="74"/>
      <c r="E78" s="75"/>
      <c r="F78" s="74"/>
      <c r="G78" s="54">
        <f t="shared" si="51"/>
        <v>0</v>
      </c>
      <c r="H78" s="55">
        <f t="shared" si="51"/>
        <v>0</v>
      </c>
      <c r="I78" s="76">
        <f t="shared" si="52"/>
        <v>0</v>
      </c>
      <c r="J78" s="58">
        <f t="shared" si="53"/>
        <v>0</v>
      </c>
      <c r="K78" s="58">
        <f t="shared" si="54"/>
        <v>0</v>
      </c>
      <c r="L78" s="58">
        <f t="shared" si="55"/>
        <v>0</v>
      </c>
      <c r="M78" s="58" t="str">
        <f t="shared" ca="1" si="56"/>
        <v/>
      </c>
      <c r="N78" s="58" t="str">
        <f t="shared" ca="1" si="56"/>
        <v/>
      </c>
      <c r="O78" s="58">
        <f t="shared" si="57"/>
        <v>5.0000000000000001E-4</v>
      </c>
      <c r="P78" s="77"/>
      <c r="Q78" s="60"/>
      <c r="R78" s="77"/>
      <c r="S78" s="78">
        <f t="shared" si="41"/>
        <v>0</v>
      </c>
      <c r="T78" s="55">
        <f t="shared" si="41"/>
        <v>0</v>
      </c>
      <c r="U78" s="79">
        <f t="shared" si="25"/>
        <v>0</v>
      </c>
      <c r="V78" s="63">
        <f t="shared" si="26"/>
        <v>0</v>
      </c>
      <c r="W78" s="64">
        <f t="shared" si="42"/>
        <v>67</v>
      </c>
      <c r="X78" s="80">
        <f t="shared" si="42"/>
        <v>50</v>
      </c>
      <c r="Y78" s="75"/>
      <c r="Z78" s="60"/>
      <c r="AA78" s="112"/>
      <c r="AB78" s="112"/>
      <c r="AC78" s="112"/>
      <c r="AD78" s="75"/>
      <c r="AE78" s="81">
        <f t="shared" si="43"/>
        <v>0</v>
      </c>
      <c r="AF78" s="55">
        <f t="shared" si="44"/>
        <v>0</v>
      </c>
      <c r="AG78" s="76">
        <f t="shared" si="45"/>
        <v>0</v>
      </c>
      <c r="AH78" s="82">
        <f t="shared" si="46"/>
        <v>0</v>
      </c>
      <c r="AI78" s="83">
        <f t="shared" si="46"/>
        <v>0</v>
      </c>
      <c r="AJ78" s="83">
        <f t="shared" si="46"/>
        <v>0</v>
      </c>
      <c r="AK78" s="58">
        <f t="shared" si="46"/>
        <v>0</v>
      </c>
      <c r="AL78" s="82">
        <f t="shared" si="47"/>
        <v>0</v>
      </c>
      <c r="AM78" s="58">
        <f t="shared" si="48"/>
        <v>0</v>
      </c>
      <c r="AN78" s="74"/>
      <c r="AO78" s="84"/>
      <c r="AP78" s="74"/>
      <c r="AQ78" s="85"/>
      <c r="AR78" s="74"/>
      <c r="AS78" s="74"/>
      <c r="AT78" s="74"/>
      <c r="AU78" s="55" t="str">
        <f t="shared" si="58"/>
        <v/>
      </c>
      <c r="AV78" s="55" t="str">
        <f t="shared" ca="1" si="59"/>
        <v/>
      </c>
      <c r="AW78" s="55" t="str">
        <f t="shared" si="49"/>
        <v/>
      </c>
      <c r="AX78" s="55" t="str">
        <f t="shared" ca="1" si="50"/>
        <v/>
      </c>
      <c r="AY78" s="86"/>
      <c r="AZ78" s="86"/>
      <c r="BA78" s="55" t="str">
        <f t="shared" si="60"/>
        <v/>
      </c>
      <c r="BB78" s="86"/>
      <c r="BC78" s="86"/>
      <c r="BD78" s="55" t="str">
        <f t="shared" si="61"/>
        <v/>
      </c>
      <c r="BE78" s="74"/>
      <c r="BW78" s="1"/>
      <c r="BX78" s="1"/>
      <c r="CC78" s="3"/>
      <c r="CD78" s="3"/>
    </row>
    <row r="79" spans="1:82" ht="17.399999999999999" customHeight="1">
      <c r="A79" s="87">
        <f t="shared" si="27"/>
        <v>10.600000000000001</v>
      </c>
      <c r="B79" s="111">
        <f t="shared" si="40"/>
        <v>69</v>
      </c>
      <c r="C79" s="60"/>
      <c r="D79" s="74"/>
      <c r="E79" s="75"/>
      <c r="F79" s="74"/>
      <c r="G79" s="54">
        <f t="shared" si="51"/>
        <v>0</v>
      </c>
      <c r="H79" s="55">
        <f t="shared" si="51"/>
        <v>0</v>
      </c>
      <c r="I79" s="76">
        <f t="shared" si="52"/>
        <v>0</v>
      </c>
      <c r="J79" s="58">
        <f t="shared" si="53"/>
        <v>0</v>
      </c>
      <c r="K79" s="58">
        <f t="shared" si="54"/>
        <v>0</v>
      </c>
      <c r="L79" s="58">
        <f t="shared" si="55"/>
        <v>0</v>
      </c>
      <c r="M79" s="58" t="str">
        <f t="shared" ca="1" si="56"/>
        <v/>
      </c>
      <c r="N79" s="58" t="str">
        <f t="shared" ca="1" si="56"/>
        <v/>
      </c>
      <c r="O79" s="58">
        <f t="shared" si="57"/>
        <v>5.0000000000000001E-4</v>
      </c>
      <c r="P79" s="77"/>
      <c r="Q79" s="60"/>
      <c r="R79" s="77"/>
      <c r="S79" s="78">
        <f t="shared" si="41"/>
        <v>0</v>
      </c>
      <c r="T79" s="55">
        <f t="shared" si="41"/>
        <v>0</v>
      </c>
      <c r="U79" s="79">
        <f t="shared" si="25"/>
        <v>0</v>
      </c>
      <c r="V79" s="63">
        <f t="shared" si="26"/>
        <v>0</v>
      </c>
      <c r="W79" s="64">
        <f t="shared" si="42"/>
        <v>67</v>
      </c>
      <c r="X79" s="80">
        <f t="shared" si="42"/>
        <v>50</v>
      </c>
      <c r="Y79" s="75"/>
      <c r="Z79" s="60"/>
      <c r="AA79" s="112"/>
      <c r="AB79" s="112"/>
      <c r="AC79" s="112"/>
      <c r="AD79" s="75"/>
      <c r="AE79" s="81">
        <f t="shared" si="43"/>
        <v>0</v>
      </c>
      <c r="AF79" s="55">
        <f t="shared" si="44"/>
        <v>0</v>
      </c>
      <c r="AG79" s="76">
        <f t="shared" si="45"/>
        <v>0</v>
      </c>
      <c r="AH79" s="82">
        <f t="shared" si="46"/>
        <v>0</v>
      </c>
      <c r="AI79" s="83">
        <f t="shared" si="46"/>
        <v>0</v>
      </c>
      <c r="AJ79" s="83">
        <f t="shared" si="46"/>
        <v>0</v>
      </c>
      <c r="AK79" s="58">
        <f t="shared" si="46"/>
        <v>0</v>
      </c>
      <c r="AL79" s="82">
        <f t="shared" si="47"/>
        <v>0</v>
      </c>
      <c r="AM79" s="58">
        <f t="shared" si="48"/>
        <v>0</v>
      </c>
      <c r="AN79" s="74"/>
      <c r="AO79" s="84"/>
      <c r="AP79" s="74"/>
      <c r="AQ79" s="85"/>
      <c r="AR79" s="74"/>
      <c r="AS79" s="74"/>
      <c r="AT79" s="74"/>
      <c r="AU79" s="55" t="str">
        <f t="shared" si="58"/>
        <v/>
      </c>
      <c r="AV79" s="55" t="str">
        <f t="shared" ca="1" si="59"/>
        <v/>
      </c>
      <c r="AW79" s="55" t="str">
        <f t="shared" si="49"/>
        <v/>
      </c>
      <c r="AX79" s="55" t="str">
        <f t="shared" ca="1" si="50"/>
        <v/>
      </c>
      <c r="AY79" s="86"/>
      <c r="AZ79" s="86"/>
      <c r="BA79" s="55" t="str">
        <f t="shared" si="60"/>
        <v/>
      </c>
      <c r="BB79" s="86"/>
      <c r="BC79" s="86"/>
      <c r="BD79" s="55" t="str">
        <f t="shared" si="61"/>
        <v/>
      </c>
      <c r="BE79" s="74"/>
      <c r="BW79" s="1"/>
      <c r="BX79" s="1"/>
      <c r="CC79" s="3"/>
      <c r="CD79" s="3"/>
    </row>
    <row r="80" spans="1:82" ht="17.399999999999999" customHeight="1" thickBot="1">
      <c r="A80" s="72">
        <f t="shared" si="27"/>
        <v>10.700000000000001</v>
      </c>
      <c r="B80" s="113">
        <f t="shared" si="40"/>
        <v>70</v>
      </c>
      <c r="C80" s="89"/>
      <c r="D80" s="90"/>
      <c r="E80" s="91"/>
      <c r="F80" s="90"/>
      <c r="G80" s="92">
        <f t="shared" si="51"/>
        <v>0</v>
      </c>
      <c r="H80" s="93">
        <f t="shared" si="51"/>
        <v>0</v>
      </c>
      <c r="I80" s="94">
        <f t="shared" si="52"/>
        <v>0</v>
      </c>
      <c r="J80" s="95">
        <f t="shared" si="53"/>
        <v>0</v>
      </c>
      <c r="K80" s="95">
        <f t="shared" si="54"/>
        <v>0</v>
      </c>
      <c r="L80" s="95">
        <f t="shared" si="55"/>
        <v>0</v>
      </c>
      <c r="M80" s="95" t="str">
        <f t="shared" ca="1" si="56"/>
        <v/>
      </c>
      <c r="N80" s="95" t="str">
        <f t="shared" ca="1" si="56"/>
        <v/>
      </c>
      <c r="O80" s="95">
        <f t="shared" si="57"/>
        <v>5.0000000000000001E-4</v>
      </c>
      <c r="P80" s="96"/>
      <c r="Q80" s="89"/>
      <c r="R80" s="96"/>
      <c r="S80" s="78">
        <f t="shared" si="41"/>
        <v>0</v>
      </c>
      <c r="T80" s="55">
        <f t="shared" si="41"/>
        <v>0</v>
      </c>
      <c r="U80" s="97">
        <f t="shared" si="25"/>
        <v>0</v>
      </c>
      <c r="V80" s="98">
        <f t="shared" si="26"/>
        <v>0</v>
      </c>
      <c r="W80" s="99">
        <f t="shared" si="42"/>
        <v>67</v>
      </c>
      <c r="X80" s="100">
        <f t="shared" si="42"/>
        <v>50</v>
      </c>
      <c r="Y80" s="91"/>
      <c r="Z80" s="89"/>
      <c r="AA80" s="112"/>
      <c r="AB80" s="112"/>
      <c r="AC80" s="112"/>
      <c r="AD80" s="75"/>
      <c r="AE80" s="101">
        <f t="shared" si="43"/>
        <v>0</v>
      </c>
      <c r="AF80" s="93">
        <f t="shared" si="44"/>
        <v>0</v>
      </c>
      <c r="AG80" s="94">
        <f t="shared" si="45"/>
        <v>0</v>
      </c>
      <c r="AH80" s="102">
        <f t="shared" si="46"/>
        <v>0</v>
      </c>
      <c r="AI80" s="103">
        <f t="shared" si="46"/>
        <v>0</v>
      </c>
      <c r="AJ80" s="103">
        <f t="shared" si="46"/>
        <v>0</v>
      </c>
      <c r="AK80" s="95">
        <f t="shared" si="46"/>
        <v>0</v>
      </c>
      <c r="AL80" s="102">
        <f t="shared" si="47"/>
        <v>0</v>
      </c>
      <c r="AM80" s="95">
        <f t="shared" si="48"/>
        <v>0</v>
      </c>
      <c r="AN80" s="90"/>
      <c r="AO80" s="104"/>
      <c r="AP80" s="90"/>
      <c r="AQ80" s="105"/>
      <c r="AR80" s="90"/>
      <c r="AS80" s="90"/>
      <c r="AT80" s="90"/>
      <c r="AU80" s="93" t="str">
        <f t="shared" si="58"/>
        <v/>
      </c>
      <c r="AV80" s="93" t="str">
        <f t="shared" ca="1" si="59"/>
        <v/>
      </c>
      <c r="AW80" s="93" t="str">
        <f t="shared" si="49"/>
        <v/>
      </c>
      <c r="AX80" s="93" t="str">
        <f t="shared" ca="1" si="50"/>
        <v/>
      </c>
      <c r="AY80" s="106"/>
      <c r="AZ80" s="106"/>
      <c r="BA80" s="93" t="str">
        <f t="shared" si="60"/>
        <v/>
      </c>
      <c r="BB80" s="106"/>
      <c r="BC80" s="106"/>
      <c r="BD80" s="93" t="str">
        <f t="shared" si="61"/>
        <v/>
      </c>
      <c r="BE80" s="90"/>
      <c r="BW80" s="1"/>
      <c r="BX80" s="1"/>
      <c r="CC80" s="3"/>
      <c r="CD80" s="3"/>
    </row>
    <row r="81" spans="1:82" ht="17.399999999999999" customHeight="1" thickTop="1">
      <c r="A81" s="49">
        <f>A74+1</f>
        <v>11.1</v>
      </c>
      <c r="B81" s="108">
        <f>B80+1</f>
        <v>71</v>
      </c>
      <c r="C81" s="51"/>
      <c r="D81" s="52"/>
      <c r="E81" s="53"/>
      <c r="F81" s="52"/>
      <c r="G81" s="54">
        <f t="shared" si="51"/>
        <v>0</v>
      </c>
      <c r="H81" s="55">
        <f t="shared" si="51"/>
        <v>0</v>
      </c>
      <c r="I81" s="56">
        <f t="shared" si="52"/>
        <v>0</v>
      </c>
      <c r="J81" s="57">
        <f t="shared" si="53"/>
        <v>0</v>
      </c>
      <c r="K81" s="57">
        <f t="shared" si="54"/>
        <v>0</v>
      </c>
      <c r="L81" s="57">
        <f t="shared" si="55"/>
        <v>0</v>
      </c>
      <c r="M81" s="58" t="str">
        <f t="shared" ca="1" si="56"/>
        <v/>
      </c>
      <c r="N81" s="58" t="str">
        <f t="shared" ca="1" si="56"/>
        <v/>
      </c>
      <c r="O81" s="58">
        <f t="shared" si="57"/>
        <v>5.0000000000000001E-4</v>
      </c>
      <c r="P81" s="77"/>
      <c r="Q81" s="60"/>
      <c r="R81" s="77"/>
      <c r="S81" s="109">
        <f t="shared" si="41"/>
        <v>0</v>
      </c>
      <c r="T81" s="61">
        <f t="shared" si="41"/>
        <v>0</v>
      </c>
      <c r="U81" s="62">
        <f t="shared" si="25"/>
        <v>0</v>
      </c>
      <c r="V81" s="63">
        <f t="shared" si="26"/>
        <v>0</v>
      </c>
      <c r="W81" s="64">
        <v>69</v>
      </c>
      <c r="X81" s="80">
        <v>53</v>
      </c>
      <c r="Y81" s="53"/>
      <c r="Z81" s="51"/>
      <c r="AA81" s="110"/>
      <c r="AB81" s="110"/>
      <c r="AC81" s="110"/>
      <c r="AD81" s="53"/>
      <c r="AE81" s="66">
        <f t="shared" si="43"/>
        <v>0</v>
      </c>
      <c r="AF81" s="61">
        <f t="shared" si="44"/>
        <v>0</v>
      </c>
      <c r="AG81" s="56">
        <f t="shared" si="45"/>
        <v>0</v>
      </c>
      <c r="AH81" s="67">
        <f t="shared" si="46"/>
        <v>0</v>
      </c>
      <c r="AI81" s="68">
        <f t="shared" si="46"/>
        <v>0</v>
      </c>
      <c r="AJ81" s="68">
        <f t="shared" si="46"/>
        <v>0</v>
      </c>
      <c r="AK81" s="57">
        <f t="shared" si="46"/>
        <v>0</v>
      </c>
      <c r="AL81" s="67">
        <f t="shared" si="47"/>
        <v>0</v>
      </c>
      <c r="AM81" s="57">
        <f t="shared" si="48"/>
        <v>0</v>
      </c>
      <c r="AN81" s="52"/>
      <c r="AO81" s="69"/>
      <c r="AP81" s="52"/>
      <c r="AQ81" s="70"/>
      <c r="AR81" s="52"/>
      <c r="AS81" s="52"/>
      <c r="AT81" s="52"/>
      <c r="AU81" s="61" t="str">
        <f t="shared" si="58"/>
        <v/>
      </c>
      <c r="AV81" s="61" t="str">
        <f t="shared" ca="1" si="59"/>
        <v/>
      </c>
      <c r="AW81" s="61" t="str">
        <f t="shared" si="49"/>
        <v/>
      </c>
      <c r="AX81" s="61" t="str">
        <f t="shared" ca="1" si="50"/>
        <v/>
      </c>
      <c r="AY81" s="71"/>
      <c r="AZ81" s="71"/>
      <c r="BA81" s="61" t="str">
        <f t="shared" si="60"/>
        <v/>
      </c>
      <c r="BB81" s="71"/>
      <c r="BC81" s="71"/>
      <c r="BD81" s="61" t="str">
        <f t="shared" si="61"/>
        <v/>
      </c>
      <c r="BE81" s="52"/>
      <c r="BQ81" s="114"/>
      <c r="BR81" s="115"/>
      <c r="BS81" s="116"/>
      <c r="BT81" s="116"/>
      <c r="BU81" s="116"/>
      <c r="BV81" s="116"/>
      <c r="BW81" s="116"/>
      <c r="BX81" s="116"/>
      <c r="BY81" s="117"/>
      <c r="BZ81" s="116"/>
      <c r="CB81" s="118"/>
      <c r="CC81" s="118"/>
      <c r="CD81" s="118"/>
    </row>
    <row r="82" spans="1:82" ht="17.399999999999999" customHeight="1">
      <c r="A82" s="72">
        <f t="shared" ref="A82:A145" si="62">A75+1</f>
        <v>11.2</v>
      </c>
      <c r="B82" s="111">
        <f t="shared" si="40"/>
        <v>72</v>
      </c>
      <c r="C82" s="60"/>
      <c r="D82" s="74"/>
      <c r="E82" s="75"/>
      <c r="F82" s="74"/>
      <c r="G82" s="54">
        <f t="shared" si="51"/>
        <v>0</v>
      </c>
      <c r="H82" s="55">
        <f t="shared" si="51"/>
        <v>0</v>
      </c>
      <c r="I82" s="76">
        <f t="shared" si="52"/>
        <v>0</v>
      </c>
      <c r="J82" s="58">
        <f t="shared" si="53"/>
        <v>0</v>
      </c>
      <c r="K82" s="58">
        <f t="shared" si="54"/>
        <v>0</v>
      </c>
      <c r="L82" s="58">
        <f t="shared" si="55"/>
        <v>0</v>
      </c>
      <c r="M82" s="58" t="str">
        <f t="shared" ca="1" si="56"/>
        <v/>
      </c>
      <c r="N82" s="58" t="str">
        <f t="shared" ca="1" si="56"/>
        <v/>
      </c>
      <c r="O82" s="58">
        <f t="shared" si="57"/>
        <v>5.0000000000000001E-4</v>
      </c>
      <c r="P82" s="77"/>
      <c r="Q82" s="60"/>
      <c r="R82" s="77"/>
      <c r="S82" s="78">
        <f t="shared" si="41"/>
        <v>0</v>
      </c>
      <c r="T82" s="55">
        <f t="shared" si="41"/>
        <v>0</v>
      </c>
      <c r="U82" s="79">
        <f t="shared" ref="U82:U145" si="63">IF(P82="FULL FEED",(Q82*G82/1000),(Q82*2*G82/1000))</f>
        <v>0</v>
      </c>
      <c r="V82" s="63">
        <f t="shared" ref="V82:V145" si="64">IF(P82="FULL FEED",(R82*H82/1000),(R82*2*H82/1000))</f>
        <v>0</v>
      </c>
      <c r="W82" s="64">
        <f t="shared" ref="W82:X87" si="65">W81</f>
        <v>69</v>
      </c>
      <c r="X82" s="80">
        <f t="shared" si="65"/>
        <v>53</v>
      </c>
      <c r="Y82" s="75"/>
      <c r="Z82" s="60"/>
      <c r="AA82" s="112"/>
      <c r="AB82" s="112"/>
      <c r="AC82" s="112"/>
      <c r="AD82" s="75"/>
      <c r="AE82" s="81">
        <f t="shared" si="43"/>
        <v>0</v>
      </c>
      <c r="AF82" s="55">
        <f t="shared" si="44"/>
        <v>0</v>
      </c>
      <c r="AG82" s="76">
        <f t="shared" si="45"/>
        <v>0</v>
      </c>
      <c r="AH82" s="82">
        <f t="shared" si="46"/>
        <v>0</v>
      </c>
      <c r="AI82" s="83">
        <f t="shared" si="46"/>
        <v>0</v>
      </c>
      <c r="AJ82" s="83">
        <f t="shared" si="46"/>
        <v>0</v>
      </c>
      <c r="AK82" s="58">
        <f t="shared" si="46"/>
        <v>0</v>
      </c>
      <c r="AL82" s="82">
        <f t="shared" si="47"/>
        <v>0</v>
      </c>
      <c r="AM82" s="58">
        <f t="shared" si="48"/>
        <v>0</v>
      </c>
      <c r="AN82" s="74"/>
      <c r="AO82" s="84"/>
      <c r="AP82" s="74"/>
      <c r="AQ82" s="85"/>
      <c r="AR82" s="74"/>
      <c r="AS82" s="74"/>
      <c r="AT82" s="74"/>
      <c r="AU82" s="55" t="str">
        <f t="shared" si="58"/>
        <v/>
      </c>
      <c r="AV82" s="55" t="str">
        <f t="shared" ca="1" si="59"/>
        <v/>
      </c>
      <c r="AW82" s="55" t="str">
        <f t="shared" si="49"/>
        <v/>
      </c>
      <c r="AX82" s="55" t="str">
        <f t="shared" ca="1" si="50"/>
        <v/>
      </c>
      <c r="AY82" s="86"/>
      <c r="AZ82" s="86"/>
      <c r="BA82" s="55" t="str">
        <f t="shared" si="60"/>
        <v/>
      </c>
      <c r="BB82" s="86"/>
      <c r="BC82" s="86"/>
      <c r="BD82" s="55" t="str">
        <f t="shared" si="61"/>
        <v/>
      </c>
      <c r="BE82" s="74"/>
      <c r="BS82" s="118"/>
      <c r="BT82" s="118"/>
      <c r="BU82" s="118"/>
      <c r="BV82" s="118"/>
      <c r="BW82" s="118"/>
      <c r="BX82" s="118"/>
      <c r="BZ82" s="118"/>
      <c r="CB82" s="118"/>
      <c r="CC82" s="118"/>
      <c r="CD82" s="118"/>
    </row>
    <row r="83" spans="1:82" ht="17.399999999999999" customHeight="1">
      <c r="A83" s="87">
        <f t="shared" si="62"/>
        <v>11.3</v>
      </c>
      <c r="B83" s="111">
        <f t="shared" si="40"/>
        <v>73</v>
      </c>
      <c r="C83" s="60"/>
      <c r="D83" s="74"/>
      <c r="E83" s="75"/>
      <c r="F83" s="74"/>
      <c r="G83" s="54">
        <f t="shared" si="51"/>
        <v>0</v>
      </c>
      <c r="H83" s="55">
        <f t="shared" si="51"/>
        <v>0</v>
      </c>
      <c r="I83" s="76">
        <f t="shared" si="52"/>
        <v>0</v>
      </c>
      <c r="J83" s="58">
        <f t="shared" si="53"/>
        <v>0</v>
      </c>
      <c r="K83" s="58">
        <f t="shared" si="54"/>
        <v>0</v>
      </c>
      <c r="L83" s="58">
        <f t="shared" si="55"/>
        <v>0</v>
      </c>
      <c r="M83" s="58" t="str">
        <f t="shared" ca="1" si="56"/>
        <v/>
      </c>
      <c r="N83" s="58" t="str">
        <f t="shared" ca="1" si="56"/>
        <v/>
      </c>
      <c r="O83" s="58">
        <f t="shared" si="57"/>
        <v>5.0000000000000001E-4</v>
      </c>
      <c r="P83" s="77"/>
      <c r="Q83" s="60"/>
      <c r="R83" s="77"/>
      <c r="S83" s="78">
        <f t="shared" si="41"/>
        <v>0</v>
      </c>
      <c r="T83" s="55">
        <f t="shared" si="41"/>
        <v>0</v>
      </c>
      <c r="U83" s="79">
        <f t="shared" si="63"/>
        <v>0</v>
      </c>
      <c r="V83" s="63">
        <f t="shared" si="64"/>
        <v>0</v>
      </c>
      <c r="W83" s="64">
        <f t="shared" si="65"/>
        <v>69</v>
      </c>
      <c r="X83" s="80">
        <f t="shared" si="65"/>
        <v>53</v>
      </c>
      <c r="Y83" s="75"/>
      <c r="Z83" s="60"/>
      <c r="AA83" s="112"/>
      <c r="AB83" s="112"/>
      <c r="AC83" s="112"/>
      <c r="AD83" s="75"/>
      <c r="AE83" s="81">
        <f t="shared" si="43"/>
        <v>0</v>
      </c>
      <c r="AF83" s="55">
        <f t="shared" si="44"/>
        <v>0</v>
      </c>
      <c r="AG83" s="76">
        <f t="shared" si="45"/>
        <v>0</v>
      </c>
      <c r="AH83" s="82">
        <f t="shared" si="46"/>
        <v>0</v>
      </c>
      <c r="AI83" s="83">
        <f t="shared" si="46"/>
        <v>0</v>
      </c>
      <c r="AJ83" s="83">
        <f t="shared" si="46"/>
        <v>0</v>
      </c>
      <c r="AK83" s="58">
        <f t="shared" si="46"/>
        <v>0</v>
      </c>
      <c r="AL83" s="82">
        <f t="shared" si="47"/>
        <v>0</v>
      </c>
      <c r="AM83" s="58">
        <f t="shared" si="48"/>
        <v>0</v>
      </c>
      <c r="AN83" s="74"/>
      <c r="AO83" s="84"/>
      <c r="AP83" s="74"/>
      <c r="AQ83" s="85"/>
      <c r="AR83" s="74"/>
      <c r="AS83" s="74"/>
      <c r="AT83" s="74"/>
      <c r="AU83" s="55" t="str">
        <f t="shared" si="58"/>
        <v/>
      </c>
      <c r="AV83" s="55" t="str">
        <f t="shared" ca="1" si="59"/>
        <v/>
      </c>
      <c r="AW83" s="55" t="str">
        <f t="shared" si="49"/>
        <v/>
      </c>
      <c r="AX83" s="55" t="str">
        <f t="shared" ca="1" si="50"/>
        <v/>
      </c>
      <c r="AY83" s="86"/>
      <c r="AZ83" s="86"/>
      <c r="BA83" s="55" t="str">
        <f t="shared" si="60"/>
        <v/>
      </c>
      <c r="BB83" s="86"/>
      <c r="BC83" s="86"/>
      <c r="BD83" s="55" t="str">
        <f t="shared" si="61"/>
        <v/>
      </c>
      <c r="BE83" s="74"/>
      <c r="BR83" s="3"/>
      <c r="BS83" s="118"/>
      <c r="BT83" s="118"/>
      <c r="BU83" s="118"/>
      <c r="BV83" s="118"/>
      <c r="BW83" s="118"/>
      <c r="BX83" s="118"/>
      <c r="BZ83" s="118"/>
      <c r="CB83" s="118"/>
      <c r="CC83" s="118"/>
      <c r="CD83" s="118"/>
    </row>
    <row r="84" spans="1:82" ht="17.399999999999999" customHeight="1">
      <c r="A84" s="72">
        <f t="shared" si="62"/>
        <v>11.4</v>
      </c>
      <c r="B84" s="111">
        <f t="shared" si="40"/>
        <v>74</v>
      </c>
      <c r="C84" s="60"/>
      <c r="D84" s="74"/>
      <c r="E84" s="75"/>
      <c r="F84" s="74"/>
      <c r="G84" s="54">
        <f t="shared" si="51"/>
        <v>0</v>
      </c>
      <c r="H84" s="55">
        <f t="shared" si="51"/>
        <v>0</v>
      </c>
      <c r="I84" s="76">
        <f t="shared" si="52"/>
        <v>0</v>
      </c>
      <c r="J84" s="58">
        <f t="shared" si="53"/>
        <v>0</v>
      </c>
      <c r="K84" s="58">
        <f t="shared" si="54"/>
        <v>0</v>
      </c>
      <c r="L84" s="58">
        <f t="shared" si="55"/>
        <v>0</v>
      </c>
      <c r="M84" s="58" t="str">
        <f t="shared" ca="1" si="56"/>
        <v/>
      </c>
      <c r="N84" s="58" t="str">
        <f t="shared" ca="1" si="56"/>
        <v/>
      </c>
      <c r="O84" s="58">
        <f t="shared" si="57"/>
        <v>5.0000000000000001E-4</v>
      </c>
      <c r="P84" s="77"/>
      <c r="Q84" s="60"/>
      <c r="R84" s="77"/>
      <c r="S84" s="78">
        <f t="shared" si="41"/>
        <v>0</v>
      </c>
      <c r="T84" s="55">
        <f t="shared" si="41"/>
        <v>0</v>
      </c>
      <c r="U84" s="79">
        <f t="shared" si="63"/>
        <v>0</v>
      </c>
      <c r="V84" s="63">
        <f t="shared" si="64"/>
        <v>0</v>
      </c>
      <c r="W84" s="64">
        <f t="shared" si="65"/>
        <v>69</v>
      </c>
      <c r="X84" s="80">
        <f t="shared" si="65"/>
        <v>53</v>
      </c>
      <c r="Y84" s="75"/>
      <c r="Z84" s="60"/>
      <c r="AA84" s="112"/>
      <c r="AB84" s="112"/>
      <c r="AC84" s="112"/>
      <c r="AD84" s="75"/>
      <c r="AE84" s="81">
        <f t="shared" si="43"/>
        <v>0</v>
      </c>
      <c r="AF84" s="55">
        <f t="shared" si="44"/>
        <v>0</v>
      </c>
      <c r="AG84" s="76">
        <f t="shared" si="45"/>
        <v>0</v>
      </c>
      <c r="AH84" s="82">
        <f t="shared" si="46"/>
        <v>0</v>
      </c>
      <c r="AI84" s="83">
        <f t="shared" si="46"/>
        <v>0</v>
      </c>
      <c r="AJ84" s="83">
        <f t="shared" si="46"/>
        <v>0</v>
      </c>
      <c r="AK84" s="58">
        <f t="shared" si="46"/>
        <v>0</v>
      </c>
      <c r="AL84" s="82">
        <f t="shared" si="47"/>
        <v>0</v>
      </c>
      <c r="AM84" s="58">
        <f t="shared" si="48"/>
        <v>0</v>
      </c>
      <c r="AN84" s="74"/>
      <c r="AO84" s="84"/>
      <c r="AP84" s="74"/>
      <c r="AQ84" s="85"/>
      <c r="AR84" s="74"/>
      <c r="AS84" s="74"/>
      <c r="AT84" s="74"/>
      <c r="AU84" s="55" t="str">
        <f t="shared" si="58"/>
        <v/>
      </c>
      <c r="AV84" s="55" t="str">
        <f t="shared" ca="1" si="59"/>
        <v/>
      </c>
      <c r="AW84" s="55" t="str">
        <f t="shared" si="49"/>
        <v/>
      </c>
      <c r="AX84" s="55" t="str">
        <f t="shared" ca="1" si="50"/>
        <v/>
      </c>
      <c r="AY84" s="86"/>
      <c r="AZ84" s="86"/>
      <c r="BA84" s="55" t="str">
        <f t="shared" si="60"/>
        <v/>
      </c>
      <c r="BB84" s="86"/>
      <c r="BC84" s="86"/>
      <c r="BD84" s="55" t="str">
        <f t="shared" si="61"/>
        <v/>
      </c>
      <c r="BE84" s="74"/>
      <c r="BR84" s="3"/>
      <c r="BS84" s="118"/>
      <c r="BT84" s="118"/>
      <c r="BU84" s="118"/>
      <c r="BV84" s="118"/>
      <c r="BW84" s="118"/>
      <c r="BX84" s="118"/>
      <c r="BZ84" s="118"/>
      <c r="CB84" s="118"/>
      <c r="CC84" s="118"/>
      <c r="CD84" s="118"/>
    </row>
    <row r="85" spans="1:82" ht="17.399999999999999" customHeight="1">
      <c r="A85" s="87">
        <f t="shared" si="62"/>
        <v>11.5</v>
      </c>
      <c r="B85" s="111">
        <f t="shared" si="40"/>
        <v>75</v>
      </c>
      <c r="C85" s="60"/>
      <c r="D85" s="74"/>
      <c r="E85" s="75"/>
      <c r="F85" s="74"/>
      <c r="G85" s="54">
        <f t="shared" si="51"/>
        <v>0</v>
      </c>
      <c r="H85" s="55">
        <f t="shared" si="51"/>
        <v>0</v>
      </c>
      <c r="I85" s="76">
        <f t="shared" si="52"/>
        <v>0</v>
      </c>
      <c r="J85" s="58">
        <f t="shared" si="53"/>
        <v>0</v>
      </c>
      <c r="K85" s="58">
        <f t="shared" si="54"/>
        <v>0</v>
      </c>
      <c r="L85" s="58">
        <f t="shared" si="55"/>
        <v>0</v>
      </c>
      <c r="M85" s="58" t="str">
        <f t="shared" ca="1" si="56"/>
        <v/>
      </c>
      <c r="N85" s="58" t="str">
        <f t="shared" ca="1" si="56"/>
        <v/>
      </c>
      <c r="O85" s="58">
        <f t="shared" si="57"/>
        <v>5.0000000000000001E-4</v>
      </c>
      <c r="P85" s="77"/>
      <c r="Q85" s="60"/>
      <c r="R85" s="77"/>
      <c r="S85" s="78">
        <f t="shared" si="41"/>
        <v>0</v>
      </c>
      <c r="T85" s="55">
        <f t="shared" si="41"/>
        <v>0</v>
      </c>
      <c r="U85" s="79">
        <f t="shared" si="63"/>
        <v>0</v>
      </c>
      <c r="V85" s="63">
        <f t="shared" si="64"/>
        <v>0</v>
      </c>
      <c r="W85" s="64">
        <f t="shared" si="65"/>
        <v>69</v>
      </c>
      <c r="X85" s="80">
        <f t="shared" si="65"/>
        <v>53</v>
      </c>
      <c r="Y85" s="75"/>
      <c r="Z85" s="60"/>
      <c r="AA85" s="112"/>
      <c r="AB85" s="112"/>
      <c r="AC85" s="112"/>
      <c r="AD85" s="75"/>
      <c r="AE85" s="81">
        <f t="shared" si="43"/>
        <v>0</v>
      </c>
      <c r="AF85" s="55">
        <f t="shared" si="44"/>
        <v>0</v>
      </c>
      <c r="AG85" s="76">
        <f t="shared" si="45"/>
        <v>0</v>
      </c>
      <c r="AH85" s="82">
        <f t="shared" si="46"/>
        <v>0</v>
      </c>
      <c r="AI85" s="83">
        <f t="shared" si="46"/>
        <v>0</v>
      </c>
      <c r="AJ85" s="83">
        <f t="shared" si="46"/>
        <v>0</v>
      </c>
      <c r="AK85" s="58">
        <f t="shared" si="46"/>
        <v>0</v>
      </c>
      <c r="AL85" s="82">
        <f t="shared" si="47"/>
        <v>0</v>
      </c>
      <c r="AM85" s="58">
        <f t="shared" si="48"/>
        <v>0</v>
      </c>
      <c r="AN85" s="74"/>
      <c r="AO85" s="84"/>
      <c r="AP85" s="74"/>
      <c r="AQ85" s="85"/>
      <c r="AR85" s="74"/>
      <c r="AS85" s="74"/>
      <c r="AT85" s="74"/>
      <c r="AU85" s="55" t="str">
        <f t="shared" si="58"/>
        <v/>
      </c>
      <c r="AV85" s="55" t="str">
        <f t="shared" ca="1" si="59"/>
        <v/>
      </c>
      <c r="AW85" s="55" t="str">
        <f t="shared" si="49"/>
        <v/>
      </c>
      <c r="AX85" s="55" t="str">
        <f t="shared" ca="1" si="50"/>
        <v/>
      </c>
      <c r="AY85" s="86"/>
      <c r="AZ85" s="86"/>
      <c r="BA85" s="55" t="str">
        <f t="shared" si="60"/>
        <v/>
      </c>
      <c r="BB85" s="86"/>
      <c r="BC85" s="86"/>
      <c r="BD85" s="55" t="str">
        <f t="shared" si="61"/>
        <v/>
      </c>
      <c r="BE85" s="74"/>
      <c r="BR85" s="3"/>
      <c r="BS85" s="118"/>
      <c r="BT85" s="118"/>
      <c r="BU85" s="118"/>
      <c r="BV85" s="118"/>
      <c r="BW85" s="118"/>
      <c r="BX85" s="118"/>
      <c r="BZ85" s="118"/>
      <c r="CB85" s="118"/>
      <c r="CC85" s="118"/>
      <c r="CD85" s="118"/>
    </row>
    <row r="86" spans="1:82" ht="17.399999999999999" customHeight="1">
      <c r="A86" s="72">
        <f t="shared" si="62"/>
        <v>11.600000000000001</v>
      </c>
      <c r="B86" s="111">
        <f t="shared" si="40"/>
        <v>76</v>
      </c>
      <c r="C86" s="60"/>
      <c r="D86" s="74"/>
      <c r="E86" s="75"/>
      <c r="F86" s="74"/>
      <c r="G86" s="54">
        <f t="shared" si="51"/>
        <v>0</v>
      </c>
      <c r="H86" s="55">
        <f t="shared" si="51"/>
        <v>0</v>
      </c>
      <c r="I86" s="76">
        <f t="shared" si="52"/>
        <v>0</v>
      </c>
      <c r="J86" s="58">
        <f t="shared" si="53"/>
        <v>0</v>
      </c>
      <c r="K86" s="58">
        <f t="shared" si="54"/>
        <v>0</v>
      </c>
      <c r="L86" s="58">
        <f t="shared" si="55"/>
        <v>0</v>
      </c>
      <c r="M86" s="58" t="str">
        <f t="shared" ca="1" si="56"/>
        <v/>
      </c>
      <c r="N86" s="58" t="str">
        <f t="shared" ca="1" si="56"/>
        <v/>
      </c>
      <c r="O86" s="58">
        <f t="shared" si="57"/>
        <v>5.0000000000000001E-4</v>
      </c>
      <c r="P86" s="77"/>
      <c r="Q86" s="60"/>
      <c r="R86" s="77"/>
      <c r="S86" s="78">
        <f t="shared" si="41"/>
        <v>0</v>
      </c>
      <c r="T86" s="55">
        <f t="shared" si="41"/>
        <v>0</v>
      </c>
      <c r="U86" s="79">
        <f t="shared" si="63"/>
        <v>0</v>
      </c>
      <c r="V86" s="63">
        <f t="shared" si="64"/>
        <v>0</v>
      </c>
      <c r="W86" s="64">
        <f t="shared" si="65"/>
        <v>69</v>
      </c>
      <c r="X86" s="80">
        <f t="shared" si="65"/>
        <v>53</v>
      </c>
      <c r="Y86" s="75"/>
      <c r="Z86" s="60"/>
      <c r="AA86" s="112"/>
      <c r="AB86" s="112"/>
      <c r="AC86" s="112"/>
      <c r="AD86" s="75"/>
      <c r="AE86" s="81">
        <f t="shared" si="43"/>
        <v>0</v>
      </c>
      <c r="AF86" s="55">
        <f t="shared" si="44"/>
        <v>0</v>
      </c>
      <c r="AG86" s="76">
        <f t="shared" si="45"/>
        <v>0</v>
      </c>
      <c r="AH86" s="82">
        <f t="shared" si="46"/>
        <v>0</v>
      </c>
      <c r="AI86" s="83">
        <f t="shared" si="46"/>
        <v>0</v>
      </c>
      <c r="AJ86" s="83">
        <f t="shared" si="46"/>
        <v>0</v>
      </c>
      <c r="AK86" s="58">
        <f t="shared" si="46"/>
        <v>0</v>
      </c>
      <c r="AL86" s="82">
        <f t="shared" si="47"/>
        <v>0</v>
      </c>
      <c r="AM86" s="58">
        <f t="shared" si="48"/>
        <v>0</v>
      </c>
      <c r="AN86" s="74"/>
      <c r="AO86" s="84"/>
      <c r="AP86" s="74"/>
      <c r="AQ86" s="85"/>
      <c r="AR86" s="74"/>
      <c r="AS86" s="74"/>
      <c r="AT86" s="74"/>
      <c r="AU86" s="55" t="str">
        <f t="shared" si="58"/>
        <v/>
      </c>
      <c r="AV86" s="55" t="str">
        <f t="shared" ca="1" si="59"/>
        <v/>
      </c>
      <c r="AW86" s="55" t="str">
        <f t="shared" si="49"/>
        <v/>
      </c>
      <c r="AX86" s="55" t="str">
        <f t="shared" ca="1" si="50"/>
        <v/>
      </c>
      <c r="AY86" s="86"/>
      <c r="AZ86" s="86"/>
      <c r="BA86" s="55" t="str">
        <f t="shared" si="60"/>
        <v/>
      </c>
      <c r="BB86" s="86"/>
      <c r="BC86" s="86"/>
      <c r="BD86" s="55" t="str">
        <f t="shared" si="61"/>
        <v/>
      </c>
      <c r="BE86" s="74"/>
      <c r="BR86" s="3"/>
      <c r="BS86" s="118"/>
      <c r="BT86" s="118"/>
      <c r="BU86" s="118"/>
      <c r="BV86" s="118"/>
      <c r="BW86" s="118"/>
      <c r="BX86" s="118"/>
      <c r="BZ86" s="118"/>
      <c r="CB86" s="118"/>
      <c r="CC86" s="118"/>
      <c r="CD86" s="118"/>
    </row>
    <row r="87" spans="1:82" ht="17.399999999999999" customHeight="1" thickBot="1">
      <c r="A87" s="87">
        <f t="shared" si="62"/>
        <v>11.700000000000001</v>
      </c>
      <c r="B87" s="113">
        <f t="shared" si="40"/>
        <v>77</v>
      </c>
      <c r="C87" s="89"/>
      <c r="D87" s="90"/>
      <c r="E87" s="91"/>
      <c r="F87" s="90"/>
      <c r="G87" s="92">
        <f t="shared" si="51"/>
        <v>0</v>
      </c>
      <c r="H87" s="93">
        <f t="shared" si="51"/>
        <v>0</v>
      </c>
      <c r="I87" s="94">
        <f t="shared" si="52"/>
        <v>0</v>
      </c>
      <c r="J87" s="95">
        <f t="shared" si="53"/>
        <v>0</v>
      </c>
      <c r="K87" s="95">
        <f t="shared" si="54"/>
        <v>0</v>
      </c>
      <c r="L87" s="95">
        <f t="shared" si="55"/>
        <v>0</v>
      </c>
      <c r="M87" s="95" t="str">
        <f t="shared" ca="1" si="56"/>
        <v/>
      </c>
      <c r="N87" s="95" t="str">
        <f t="shared" ca="1" si="56"/>
        <v/>
      </c>
      <c r="O87" s="95">
        <f t="shared" si="57"/>
        <v>5.0000000000000001E-4</v>
      </c>
      <c r="P87" s="96"/>
      <c r="Q87" s="89"/>
      <c r="R87" s="96"/>
      <c r="S87" s="78">
        <f t="shared" si="41"/>
        <v>0</v>
      </c>
      <c r="T87" s="55">
        <f t="shared" si="41"/>
        <v>0</v>
      </c>
      <c r="U87" s="97">
        <f t="shared" si="63"/>
        <v>0</v>
      </c>
      <c r="V87" s="98">
        <f t="shared" si="64"/>
        <v>0</v>
      </c>
      <c r="W87" s="99">
        <f t="shared" si="65"/>
        <v>69</v>
      </c>
      <c r="X87" s="100">
        <f t="shared" si="65"/>
        <v>53</v>
      </c>
      <c r="Y87" s="91"/>
      <c r="Z87" s="89"/>
      <c r="AA87" s="112"/>
      <c r="AB87" s="112"/>
      <c r="AC87" s="112"/>
      <c r="AD87" s="75"/>
      <c r="AE87" s="101">
        <f t="shared" si="43"/>
        <v>0</v>
      </c>
      <c r="AF87" s="93">
        <f t="shared" si="44"/>
        <v>0</v>
      </c>
      <c r="AG87" s="94">
        <f t="shared" si="45"/>
        <v>0</v>
      </c>
      <c r="AH87" s="102">
        <f t="shared" si="46"/>
        <v>0</v>
      </c>
      <c r="AI87" s="103">
        <f t="shared" si="46"/>
        <v>0</v>
      </c>
      <c r="AJ87" s="103">
        <f t="shared" si="46"/>
        <v>0</v>
      </c>
      <c r="AK87" s="95">
        <f t="shared" si="46"/>
        <v>0</v>
      </c>
      <c r="AL87" s="102">
        <f t="shared" si="47"/>
        <v>0</v>
      </c>
      <c r="AM87" s="95">
        <f t="shared" si="48"/>
        <v>0</v>
      </c>
      <c r="AN87" s="90"/>
      <c r="AO87" s="104"/>
      <c r="AP87" s="90"/>
      <c r="AQ87" s="105"/>
      <c r="AR87" s="90"/>
      <c r="AS87" s="90"/>
      <c r="AT87" s="90"/>
      <c r="AU87" s="93" t="str">
        <f t="shared" si="58"/>
        <v/>
      </c>
      <c r="AV87" s="93" t="str">
        <f t="shared" ca="1" si="59"/>
        <v/>
      </c>
      <c r="AW87" s="93" t="str">
        <f t="shared" si="49"/>
        <v/>
      </c>
      <c r="AX87" s="93" t="str">
        <f t="shared" ca="1" si="50"/>
        <v/>
      </c>
      <c r="AY87" s="106"/>
      <c r="AZ87" s="106"/>
      <c r="BA87" s="93" t="str">
        <f t="shared" si="60"/>
        <v/>
      </c>
      <c r="BB87" s="106"/>
      <c r="BC87" s="106"/>
      <c r="BD87" s="93" t="str">
        <f t="shared" si="61"/>
        <v/>
      </c>
      <c r="BE87" s="90"/>
      <c r="BR87" s="3"/>
      <c r="BS87" s="118"/>
      <c r="BT87" s="118"/>
      <c r="BU87" s="118"/>
      <c r="BV87" s="118"/>
      <c r="BW87" s="118"/>
      <c r="BX87" s="118"/>
      <c r="BZ87" s="118"/>
      <c r="CB87" s="118"/>
      <c r="CC87" s="118"/>
      <c r="CD87" s="118"/>
    </row>
    <row r="88" spans="1:82" ht="17.399999999999999" customHeight="1" thickTop="1">
      <c r="A88" s="107">
        <f>A81+1</f>
        <v>12.1</v>
      </c>
      <c r="B88" s="108">
        <f>B87+1</f>
        <v>78</v>
      </c>
      <c r="C88" s="51"/>
      <c r="D88" s="52"/>
      <c r="E88" s="53"/>
      <c r="F88" s="52"/>
      <c r="G88" s="54">
        <f t="shared" si="51"/>
        <v>0</v>
      </c>
      <c r="H88" s="55">
        <f t="shared" si="51"/>
        <v>0</v>
      </c>
      <c r="I88" s="56">
        <f t="shared" si="52"/>
        <v>0</v>
      </c>
      <c r="J88" s="57">
        <f t="shared" si="53"/>
        <v>0</v>
      </c>
      <c r="K88" s="57">
        <f t="shared" si="54"/>
        <v>0</v>
      </c>
      <c r="L88" s="57">
        <f t="shared" si="55"/>
        <v>0</v>
      </c>
      <c r="M88" s="58" t="str">
        <f t="shared" ca="1" si="56"/>
        <v/>
      </c>
      <c r="N88" s="58" t="str">
        <f t="shared" ca="1" si="56"/>
        <v/>
      </c>
      <c r="O88" s="58">
        <f t="shared" si="57"/>
        <v>5.0000000000000001E-4</v>
      </c>
      <c r="P88" s="77"/>
      <c r="Q88" s="60"/>
      <c r="R88" s="77"/>
      <c r="S88" s="109">
        <f t="shared" si="41"/>
        <v>0</v>
      </c>
      <c r="T88" s="61">
        <f t="shared" si="41"/>
        <v>0</v>
      </c>
      <c r="U88" s="62">
        <f t="shared" si="63"/>
        <v>0</v>
      </c>
      <c r="V88" s="63">
        <f t="shared" si="64"/>
        <v>0</v>
      </c>
      <c r="W88" s="64">
        <v>72</v>
      </c>
      <c r="X88" s="80">
        <v>57</v>
      </c>
      <c r="Y88" s="53"/>
      <c r="Z88" s="51"/>
      <c r="AA88" s="110"/>
      <c r="AB88" s="110"/>
      <c r="AC88" s="110"/>
      <c r="AD88" s="53"/>
      <c r="AE88" s="66">
        <f t="shared" si="43"/>
        <v>0</v>
      </c>
      <c r="AF88" s="61">
        <f t="shared" si="44"/>
        <v>0</v>
      </c>
      <c r="AG88" s="56">
        <f t="shared" si="45"/>
        <v>0</v>
      </c>
      <c r="AH88" s="67">
        <f t="shared" si="46"/>
        <v>0</v>
      </c>
      <c r="AI88" s="68">
        <f t="shared" si="46"/>
        <v>0</v>
      </c>
      <c r="AJ88" s="68">
        <f t="shared" si="46"/>
        <v>0</v>
      </c>
      <c r="AK88" s="57">
        <f t="shared" si="46"/>
        <v>0</v>
      </c>
      <c r="AL88" s="67">
        <f t="shared" si="47"/>
        <v>0</v>
      </c>
      <c r="AM88" s="57">
        <f t="shared" si="48"/>
        <v>0</v>
      </c>
      <c r="AN88" s="52"/>
      <c r="AO88" s="69"/>
      <c r="AP88" s="52"/>
      <c r="AQ88" s="70"/>
      <c r="AR88" s="52"/>
      <c r="AS88" s="52"/>
      <c r="AT88" s="52"/>
      <c r="AU88" s="61" t="str">
        <f t="shared" si="58"/>
        <v/>
      </c>
      <c r="AV88" s="61" t="str">
        <f t="shared" ca="1" si="59"/>
        <v/>
      </c>
      <c r="AW88" s="61" t="str">
        <f t="shared" si="49"/>
        <v/>
      </c>
      <c r="AX88" s="61" t="str">
        <f t="shared" ca="1" si="50"/>
        <v/>
      </c>
      <c r="AY88" s="71"/>
      <c r="AZ88" s="71"/>
      <c r="BA88" s="61" t="str">
        <f t="shared" si="60"/>
        <v/>
      </c>
      <c r="BB88" s="71"/>
      <c r="BC88" s="71"/>
      <c r="BD88" s="61" t="str">
        <f t="shared" si="61"/>
        <v/>
      </c>
      <c r="BE88" s="52"/>
      <c r="BR88" s="3"/>
      <c r="BS88" s="118"/>
      <c r="BT88" s="118"/>
      <c r="BU88" s="118"/>
      <c r="BV88" s="118"/>
      <c r="BW88" s="118"/>
      <c r="BX88" s="118"/>
      <c r="BZ88" s="118"/>
      <c r="CB88" s="118"/>
      <c r="CC88" s="118"/>
      <c r="CD88" s="118"/>
    </row>
    <row r="89" spans="1:82" ht="17.399999999999999" customHeight="1">
      <c r="A89" s="87">
        <f t="shared" si="62"/>
        <v>12.2</v>
      </c>
      <c r="B89" s="111">
        <f t="shared" si="40"/>
        <v>79</v>
      </c>
      <c r="C89" s="60"/>
      <c r="D89" s="74"/>
      <c r="E89" s="75"/>
      <c r="F89" s="74"/>
      <c r="G89" s="54">
        <f t="shared" si="51"/>
        <v>0</v>
      </c>
      <c r="H89" s="55">
        <f t="shared" si="51"/>
        <v>0</v>
      </c>
      <c r="I89" s="76">
        <f t="shared" si="52"/>
        <v>0</v>
      </c>
      <c r="J89" s="58">
        <f t="shared" si="53"/>
        <v>0</v>
      </c>
      <c r="K89" s="58">
        <f t="shared" si="54"/>
        <v>0</v>
      </c>
      <c r="L89" s="58">
        <f t="shared" si="55"/>
        <v>0</v>
      </c>
      <c r="M89" s="58" t="str">
        <f t="shared" ca="1" si="56"/>
        <v/>
      </c>
      <c r="N89" s="58" t="str">
        <f t="shared" ca="1" si="56"/>
        <v/>
      </c>
      <c r="O89" s="58">
        <f t="shared" si="57"/>
        <v>5.0000000000000001E-4</v>
      </c>
      <c r="P89" s="77"/>
      <c r="Q89" s="60"/>
      <c r="R89" s="77"/>
      <c r="S89" s="78">
        <f t="shared" si="41"/>
        <v>0</v>
      </c>
      <c r="T89" s="55">
        <f t="shared" si="41"/>
        <v>0</v>
      </c>
      <c r="U89" s="79">
        <f t="shared" si="63"/>
        <v>0</v>
      </c>
      <c r="V89" s="63">
        <f t="shared" si="64"/>
        <v>0</v>
      </c>
      <c r="W89" s="64">
        <f t="shared" ref="W89:X94" si="66">W88</f>
        <v>72</v>
      </c>
      <c r="X89" s="80">
        <f t="shared" si="66"/>
        <v>57</v>
      </c>
      <c r="Y89" s="75"/>
      <c r="Z89" s="60"/>
      <c r="AA89" s="112"/>
      <c r="AB89" s="112"/>
      <c r="AC89" s="112"/>
      <c r="AD89" s="75"/>
      <c r="AE89" s="81">
        <f t="shared" si="43"/>
        <v>0</v>
      </c>
      <c r="AF89" s="55">
        <f t="shared" si="44"/>
        <v>0</v>
      </c>
      <c r="AG89" s="76">
        <f t="shared" si="45"/>
        <v>0</v>
      </c>
      <c r="AH89" s="82">
        <f t="shared" si="46"/>
        <v>0</v>
      </c>
      <c r="AI89" s="83">
        <f t="shared" si="46"/>
        <v>0</v>
      </c>
      <c r="AJ89" s="83">
        <f t="shared" si="46"/>
        <v>0</v>
      </c>
      <c r="AK89" s="58">
        <f t="shared" si="46"/>
        <v>0</v>
      </c>
      <c r="AL89" s="82">
        <f t="shared" si="47"/>
        <v>0</v>
      </c>
      <c r="AM89" s="58">
        <f t="shared" si="48"/>
        <v>0</v>
      </c>
      <c r="AN89" s="74"/>
      <c r="AO89" s="84"/>
      <c r="AP89" s="74"/>
      <c r="AQ89" s="85"/>
      <c r="AR89" s="74"/>
      <c r="AS89" s="74"/>
      <c r="AT89" s="74"/>
      <c r="AU89" s="55" t="str">
        <f t="shared" si="58"/>
        <v/>
      </c>
      <c r="AV89" s="55" t="str">
        <f t="shared" ca="1" si="59"/>
        <v/>
      </c>
      <c r="AW89" s="55" t="str">
        <f t="shared" si="49"/>
        <v/>
      </c>
      <c r="AX89" s="55" t="str">
        <f t="shared" ca="1" si="50"/>
        <v/>
      </c>
      <c r="AY89" s="86"/>
      <c r="AZ89" s="86"/>
      <c r="BA89" s="55" t="str">
        <f t="shared" si="60"/>
        <v/>
      </c>
      <c r="BB89" s="86"/>
      <c r="BC89" s="86"/>
      <c r="BD89" s="55" t="str">
        <f t="shared" si="61"/>
        <v/>
      </c>
      <c r="BE89" s="74"/>
      <c r="BR89" s="3"/>
      <c r="BS89" s="118"/>
      <c r="BT89" s="118"/>
      <c r="BU89" s="118"/>
      <c r="BV89" s="118"/>
      <c r="BW89" s="118"/>
      <c r="BX89" s="118"/>
      <c r="BZ89" s="118"/>
      <c r="CB89" s="118"/>
      <c r="CC89" s="118"/>
      <c r="CD89" s="118"/>
    </row>
    <row r="90" spans="1:82" ht="17.399999999999999" customHeight="1">
      <c r="A90" s="72">
        <f t="shared" si="62"/>
        <v>12.3</v>
      </c>
      <c r="B90" s="111">
        <f t="shared" si="40"/>
        <v>80</v>
      </c>
      <c r="C90" s="60"/>
      <c r="D90" s="74"/>
      <c r="E90" s="75"/>
      <c r="F90" s="74"/>
      <c r="G90" s="54">
        <f t="shared" si="51"/>
        <v>0</v>
      </c>
      <c r="H90" s="55">
        <f t="shared" si="51"/>
        <v>0</v>
      </c>
      <c r="I90" s="76">
        <f t="shared" si="52"/>
        <v>0</v>
      </c>
      <c r="J90" s="58">
        <f t="shared" si="53"/>
        <v>0</v>
      </c>
      <c r="K90" s="58">
        <f t="shared" si="54"/>
        <v>0</v>
      </c>
      <c r="L90" s="58">
        <f t="shared" si="55"/>
        <v>0</v>
      </c>
      <c r="M90" s="58" t="str">
        <f t="shared" ca="1" si="56"/>
        <v/>
      </c>
      <c r="N90" s="58" t="str">
        <f t="shared" ca="1" si="56"/>
        <v/>
      </c>
      <c r="O90" s="58">
        <f t="shared" si="57"/>
        <v>5.0000000000000001E-4</v>
      </c>
      <c r="P90" s="77"/>
      <c r="Q90" s="60"/>
      <c r="R90" s="77"/>
      <c r="S90" s="78">
        <f t="shared" si="41"/>
        <v>0</v>
      </c>
      <c r="T90" s="55">
        <f t="shared" si="41"/>
        <v>0</v>
      </c>
      <c r="U90" s="79">
        <f t="shared" si="63"/>
        <v>0</v>
      </c>
      <c r="V90" s="63">
        <f t="shared" si="64"/>
        <v>0</v>
      </c>
      <c r="W90" s="64">
        <f t="shared" si="66"/>
        <v>72</v>
      </c>
      <c r="X90" s="80">
        <f t="shared" si="66"/>
        <v>57</v>
      </c>
      <c r="Y90" s="75"/>
      <c r="Z90" s="60"/>
      <c r="AA90" s="112"/>
      <c r="AB90" s="112"/>
      <c r="AC90" s="112"/>
      <c r="AD90" s="75"/>
      <c r="AE90" s="81">
        <f t="shared" si="43"/>
        <v>0</v>
      </c>
      <c r="AF90" s="55">
        <f t="shared" si="44"/>
        <v>0</v>
      </c>
      <c r="AG90" s="76">
        <f t="shared" si="45"/>
        <v>0</v>
      </c>
      <c r="AH90" s="82">
        <f t="shared" si="46"/>
        <v>0</v>
      </c>
      <c r="AI90" s="83">
        <f t="shared" si="46"/>
        <v>0</v>
      </c>
      <c r="AJ90" s="83">
        <f t="shared" si="46"/>
        <v>0</v>
      </c>
      <c r="AK90" s="58">
        <f t="shared" si="46"/>
        <v>0</v>
      </c>
      <c r="AL90" s="82">
        <f t="shared" si="47"/>
        <v>0</v>
      </c>
      <c r="AM90" s="58">
        <f t="shared" si="48"/>
        <v>0</v>
      </c>
      <c r="AN90" s="74"/>
      <c r="AO90" s="84"/>
      <c r="AP90" s="74"/>
      <c r="AQ90" s="85"/>
      <c r="AR90" s="74"/>
      <c r="AS90" s="74"/>
      <c r="AT90" s="74"/>
      <c r="AU90" s="55" t="str">
        <f t="shared" si="58"/>
        <v/>
      </c>
      <c r="AV90" s="55" t="str">
        <f t="shared" ca="1" si="59"/>
        <v/>
      </c>
      <c r="AW90" s="55" t="str">
        <f t="shared" si="49"/>
        <v/>
      </c>
      <c r="AX90" s="55" t="str">
        <f t="shared" ca="1" si="50"/>
        <v/>
      </c>
      <c r="AY90" s="86"/>
      <c r="AZ90" s="86"/>
      <c r="BA90" s="55" t="str">
        <f t="shared" si="60"/>
        <v/>
      </c>
      <c r="BB90" s="86"/>
      <c r="BC90" s="86"/>
      <c r="BD90" s="55" t="str">
        <f t="shared" si="61"/>
        <v/>
      </c>
      <c r="BE90" s="74"/>
      <c r="BR90" s="3"/>
      <c r="BS90" s="118"/>
      <c r="BT90" s="118"/>
      <c r="BU90" s="118"/>
      <c r="BV90" s="118"/>
      <c r="BW90" s="118"/>
      <c r="BX90" s="118"/>
      <c r="BZ90" s="118"/>
      <c r="CB90" s="118"/>
      <c r="CC90" s="118"/>
      <c r="CD90" s="118"/>
    </row>
    <row r="91" spans="1:82" ht="17.399999999999999" customHeight="1">
      <c r="A91" s="87">
        <f t="shared" si="62"/>
        <v>12.4</v>
      </c>
      <c r="B91" s="111">
        <f t="shared" si="40"/>
        <v>81</v>
      </c>
      <c r="C91" s="60"/>
      <c r="D91" s="74"/>
      <c r="E91" s="75"/>
      <c r="F91" s="74"/>
      <c r="G91" s="54">
        <f t="shared" si="51"/>
        <v>0</v>
      </c>
      <c r="H91" s="55">
        <f t="shared" si="51"/>
        <v>0</v>
      </c>
      <c r="I91" s="76">
        <f t="shared" si="52"/>
        <v>0</v>
      </c>
      <c r="J91" s="58">
        <f t="shared" si="53"/>
        <v>0</v>
      </c>
      <c r="K91" s="58">
        <f t="shared" si="54"/>
        <v>0</v>
      </c>
      <c r="L91" s="58">
        <f t="shared" si="55"/>
        <v>0</v>
      </c>
      <c r="M91" s="58" t="str">
        <f t="shared" ca="1" si="56"/>
        <v/>
      </c>
      <c r="N91" s="58" t="str">
        <f t="shared" ca="1" si="56"/>
        <v/>
      </c>
      <c r="O91" s="58">
        <f t="shared" si="57"/>
        <v>5.0000000000000001E-4</v>
      </c>
      <c r="P91" s="77"/>
      <c r="Q91" s="60"/>
      <c r="R91" s="77"/>
      <c r="S91" s="78">
        <f t="shared" si="41"/>
        <v>0</v>
      </c>
      <c r="T91" s="55">
        <f t="shared" si="41"/>
        <v>0</v>
      </c>
      <c r="U91" s="79">
        <f t="shared" si="63"/>
        <v>0</v>
      </c>
      <c r="V91" s="63">
        <f t="shared" si="64"/>
        <v>0</v>
      </c>
      <c r="W91" s="64">
        <f t="shared" si="66"/>
        <v>72</v>
      </c>
      <c r="X91" s="80">
        <f t="shared" si="66"/>
        <v>57</v>
      </c>
      <c r="Y91" s="75"/>
      <c r="Z91" s="60"/>
      <c r="AA91" s="112"/>
      <c r="AB91" s="112"/>
      <c r="AC91" s="112"/>
      <c r="AD91" s="75"/>
      <c r="AE91" s="81">
        <f t="shared" si="43"/>
        <v>0</v>
      </c>
      <c r="AF91" s="55">
        <f t="shared" si="44"/>
        <v>0</v>
      </c>
      <c r="AG91" s="76">
        <f t="shared" si="45"/>
        <v>0</v>
      </c>
      <c r="AH91" s="82">
        <f t="shared" si="46"/>
        <v>0</v>
      </c>
      <c r="AI91" s="83">
        <f t="shared" si="46"/>
        <v>0</v>
      </c>
      <c r="AJ91" s="83">
        <f t="shared" si="46"/>
        <v>0</v>
      </c>
      <c r="AK91" s="58">
        <f t="shared" si="46"/>
        <v>0</v>
      </c>
      <c r="AL91" s="82">
        <f t="shared" si="47"/>
        <v>0</v>
      </c>
      <c r="AM91" s="58">
        <f t="shared" si="48"/>
        <v>0</v>
      </c>
      <c r="AN91" s="74"/>
      <c r="AO91" s="84"/>
      <c r="AP91" s="74"/>
      <c r="AQ91" s="85"/>
      <c r="AR91" s="74"/>
      <c r="AS91" s="74"/>
      <c r="AT91" s="74"/>
      <c r="AU91" s="55" t="str">
        <f t="shared" si="58"/>
        <v/>
      </c>
      <c r="AV91" s="55" t="str">
        <f t="shared" ca="1" si="59"/>
        <v/>
      </c>
      <c r="AW91" s="55" t="str">
        <f t="shared" si="49"/>
        <v/>
      </c>
      <c r="AX91" s="55" t="str">
        <f t="shared" ca="1" si="50"/>
        <v/>
      </c>
      <c r="AY91" s="86"/>
      <c r="AZ91" s="86"/>
      <c r="BA91" s="55" t="str">
        <f t="shared" si="60"/>
        <v/>
      </c>
      <c r="BB91" s="86"/>
      <c r="BC91" s="86"/>
      <c r="BD91" s="55" t="str">
        <f t="shared" si="61"/>
        <v/>
      </c>
      <c r="BE91" s="74"/>
      <c r="BR91" s="3"/>
      <c r="BS91" s="118"/>
      <c r="BT91" s="118"/>
      <c r="BU91" s="118"/>
      <c r="BV91" s="118"/>
      <c r="BW91" s="118"/>
      <c r="BX91" s="118"/>
      <c r="BZ91" s="118"/>
      <c r="CB91" s="118"/>
      <c r="CC91" s="118"/>
      <c r="CD91" s="118"/>
    </row>
    <row r="92" spans="1:82" ht="17.399999999999999" customHeight="1">
      <c r="A92" s="72">
        <f t="shared" si="62"/>
        <v>12.5</v>
      </c>
      <c r="B92" s="111">
        <f t="shared" si="40"/>
        <v>82</v>
      </c>
      <c r="C92" s="60"/>
      <c r="D92" s="74"/>
      <c r="E92" s="75"/>
      <c r="F92" s="74"/>
      <c r="G92" s="54">
        <f t="shared" ref="G92:H107" si="67">G91-E92-C92</f>
        <v>0</v>
      </c>
      <c r="H92" s="55">
        <f t="shared" si="67"/>
        <v>0</v>
      </c>
      <c r="I92" s="76">
        <f t="shared" si="52"/>
        <v>0</v>
      </c>
      <c r="J92" s="58">
        <f t="shared" si="53"/>
        <v>0</v>
      </c>
      <c r="K92" s="58">
        <f t="shared" si="54"/>
        <v>0</v>
      </c>
      <c r="L92" s="58">
        <f t="shared" si="55"/>
        <v>0</v>
      </c>
      <c r="M92" s="58" t="str">
        <f t="shared" ca="1" si="56"/>
        <v/>
      </c>
      <c r="N92" s="58" t="str">
        <f t="shared" ca="1" si="56"/>
        <v/>
      </c>
      <c r="O92" s="58">
        <f t="shared" si="57"/>
        <v>5.0000000000000001E-4</v>
      </c>
      <c r="P92" s="77"/>
      <c r="Q92" s="60"/>
      <c r="R92" s="77"/>
      <c r="S92" s="78">
        <f t="shared" si="41"/>
        <v>0</v>
      </c>
      <c r="T92" s="55">
        <f t="shared" si="41"/>
        <v>0</v>
      </c>
      <c r="U92" s="79">
        <f t="shared" si="63"/>
        <v>0</v>
      </c>
      <c r="V92" s="63">
        <f t="shared" si="64"/>
        <v>0</v>
      </c>
      <c r="W92" s="64">
        <f t="shared" si="66"/>
        <v>72</v>
      </c>
      <c r="X92" s="80">
        <f t="shared" si="66"/>
        <v>57</v>
      </c>
      <c r="Y92" s="75"/>
      <c r="Z92" s="60"/>
      <c r="AA92" s="112"/>
      <c r="AB92" s="112"/>
      <c r="AC92" s="112"/>
      <c r="AD92" s="75"/>
      <c r="AE92" s="81">
        <f t="shared" si="43"/>
        <v>0</v>
      </c>
      <c r="AF92" s="55">
        <f t="shared" si="44"/>
        <v>0</v>
      </c>
      <c r="AG92" s="76">
        <f t="shared" si="45"/>
        <v>0</v>
      </c>
      <c r="AH92" s="82">
        <f t="shared" si="46"/>
        <v>0</v>
      </c>
      <c r="AI92" s="83">
        <f t="shared" si="46"/>
        <v>0</v>
      </c>
      <c r="AJ92" s="83">
        <f t="shared" si="46"/>
        <v>0</v>
      </c>
      <c r="AK92" s="58">
        <f t="shared" si="46"/>
        <v>0</v>
      </c>
      <c r="AL92" s="82">
        <f t="shared" si="47"/>
        <v>0</v>
      </c>
      <c r="AM92" s="58">
        <f t="shared" si="48"/>
        <v>0</v>
      </c>
      <c r="AN92" s="74"/>
      <c r="AO92" s="84"/>
      <c r="AP92" s="74"/>
      <c r="AQ92" s="85"/>
      <c r="AR92" s="74"/>
      <c r="AS92" s="74"/>
      <c r="AT92" s="74"/>
      <c r="AU92" s="55" t="str">
        <f t="shared" si="58"/>
        <v/>
      </c>
      <c r="AV92" s="55" t="str">
        <f t="shared" ca="1" si="59"/>
        <v/>
      </c>
      <c r="AW92" s="55" t="str">
        <f t="shared" si="49"/>
        <v/>
      </c>
      <c r="AX92" s="55" t="str">
        <f t="shared" ca="1" si="50"/>
        <v/>
      </c>
      <c r="AY92" s="86"/>
      <c r="AZ92" s="86"/>
      <c r="BA92" s="55" t="str">
        <f t="shared" si="60"/>
        <v/>
      </c>
      <c r="BB92" s="86"/>
      <c r="BC92" s="86"/>
      <c r="BD92" s="55" t="str">
        <f t="shared" si="61"/>
        <v/>
      </c>
      <c r="BE92" s="74"/>
      <c r="BR92" s="3"/>
      <c r="BS92" s="118"/>
      <c r="BT92" s="118"/>
      <c r="BU92" s="118"/>
      <c r="BV92" s="118"/>
      <c r="BW92" s="118"/>
      <c r="BX92" s="118"/>
      <c r="BZ92" s="118"/>
      <c r="CB92" s="118"/>
      <c r="CC92" s="118"/>
      <c r="CD92" s="118"/>
    </row>
    <row r="93" spans="1:82" ht="17.399999999999999" customHeight="1">
      <c r="A93" s="87">
        <f t="shared" si="62"/>
        <v>12.600000000000001</v>
      </c>
      <c r="B93" s="111">
        <f t="shared" si="40"/>
        <v>83</v>
      </c>
      <c r="C93" s="60"/>
      <c r="D93" s="74"/>
      <c r="E93" s="75"/>
      <c r="F93" s="74"/>
      <c r="G93" s="54">
        <f t="shared" si="67"/>
        <v>0</v>
      </c>
      <c r="H93" s="55">
        <f t="shared" si="67"/>
        <v>0</v>
      </c>
      <c r="I93" s="76">
        <f t="shared" si="52"/>
        <v>0</v>
      </c>
      <c r="J93" s="58">
        <f t="shared" si="53"/>
        <v>0</v>
      </c>
      <c r="K93" s="58">
        <f t="shared" si="54"/>
        <v>0</v>
      </c>
      <c r="L93" s="58">
        <f t="shared" si="55"/>
        <v>0</v>
      </c>
      <c r="M93" s="58" t="str">
        <f t="shared" ca="1" si="56"/>
        <v/>
      </c>
      <c r="N93" s="58" t="str">
        <f t="shared" ca="1" si="56"/>
        <v/>
      </c>
      <c r="O93" s="58">
        <f t="shared" si="57"/>
        <v>5.0000000000000001E-4</v>
      </c>
      <c r="P93" s="77"/>
      <c r="Q93" s="60"/>
      <c r="R93" s="77"/>
      <c r="S93" s="78">
        <f t="shared" si="41"/>
        <v>0</v>
      </c>
      <c r="T93" s="55">
        <f t="shared" si="41"/>
        <v>0</v>
      </c>
      <c r="U93" s="79">
        <f t="shared" si="63"/>
        <v>0</v>
      </c>
      <c r="V93" s="63">
        <f t="shared" si="64"/>
        <v>0</v>
      </c>
      <c r="W93" s="64">
        <f t="shared" si="66"/>
        <v>72</v>
      </c>
      <c r="X93" s="80">
        <f t="shared" si="66"/>
        <v>57</v>
      </c>
      <c r="Y93" s="75"/>
      <c r="Z93" s="60"/>
      <c r="AA93" s="112"/>
      <c r="AB93" s="112"/>
      <c r="AC93" s="112"/>
      <c r="AD93" s="75"/>
      <c r="AE93" s="81">
        <f t="shared" si="43"/>
        <v>0</v>
      </c>
      <c r="AF93" s="55">
        <f t="shared" si="44"/>
        <v>0</v>
      </c>
      <c r="AG93" s="76">
        <f t="shared" si="45"/>
        <v>0</v>
      </c>
      <c r="AH93" s="82">
        <f t="shared" si="46"/>
        <v>0</v>
      </c>
      <c r="AI93" s="83">
        <f t="shared" si="46"/>
        <v>0</v>
      </c>
      <c r="AJ93" s="83">
        <f t="shared" si="46"/>
        <v>0</v>
      </c>
      <c r="AK93" s="58">
        <f t="shared" si="46"/>
        <v>0</v>
      </c>
      <c r="AL93" s="82">
        <f t="shared" si="47"/>
        <v>0</v>
      </c>
      <c r="AM93" s="58">
        <f t="shared" si="48"/>
        <v>0</v>
      </c>
      <c r="AN93" s="74"/>
      <c r="AO93" s="84"/>
      <c r="AP93" s="74"/>
      <c r="AQ93" s="85"/>
      <c r="AR93" s="74"/>
      <c r="AS93" s="74"/>
      <c r="AT93" s="74"/>
      <c r="AU93" s="55" t="str">
        <f t="shared" si="58"/>
        <v/>
      </c>
      <c r="AV93" s="55" t="str">
        <f t="shared" ca="1" si="59"/>
        <v/>
      </c>
      <c r="AW93" s="55" t="str">
        <f t="shared" si="49"/>
        <v/>
      </c>
      <c r="AX93" s="55" t="str">
        <f t="shared" ca="1" si="50"/>
        <v/>
      </c>
      <c r="AY93" s="86"/>
      <c r="AZ93" s="86"/>
      <c r="BA93" s="55" t="str">
        <f t="shared" si="60"/>
        <v/>
      </c>
      <c r="BB93" s="86"/>
      <c r="BC93" s="86"/>
      <c r="BD93" s="55" t="str">
        <f t="shared" si="61"/>
        <v/>
      </c>
      <c r="BE93" s="74"/>
      <c r="BR93" s="3"/>
      <c r="BS93" s="118"/>
      <c r="BT93" s="118"/>
      <c r="BU93" s="118"/>
      <c r="BV93" s="118"/>
      <c r="BW93" s="118"/>
      <c r="BX93" s="118"/>
      <c r="BZ93" s="118"/>
      <c r="CB93" s="118"/>
      <c r="CC93" s="118"/>
      <c r="CD93" s="118"/>
    </row>
    <row r="94" spans="1:82" ht="17.399999999999999" customHeight="1" thickBot="1">
      <c r="A94" s="72">
        <f t="shared" si="62"/>
        <v>12.700000000000001</v>
      </c>
      <c r="B94" s="113">
        <f t="shared" si="40"/>
        <v>84</v>
      </c>
      <c r="C94" s="89"/>
      <c r="D94" s="90"/>
      <c r="E94" s="91"/>
      <c r="F94" s="90"/>
      <c r="G94" s="92">
        <f t="shared" si="67"/>
        <v>0</v>
      </c>
      <c r="H94" s="93">
        <f t="shared" si="67"/>
        <v>0</v>
      </c>
      <c r="I94" s="94">
        <f t="shared" si="52"/>
        <v>0</v>
      </c>
      <c r="J94" s="95">
        <f t="shared" si="53"/>
        <v>0</v>
      </c>
      <c r="K94" s="95">
        <f t="shared" si="54"/>
        <v>0</v>
      </c>
      <c r="L94" s="95">
        <f t="shared" si="55"/>
        <v>0</v>
      </c>
      <c r="M94" s="95" t="str">
        <f t="shared" ca="1" si="56"/>
        <v/>
      </c>
      <c r="N94" s="95" t="str">
        <f t="shared" ca="1" si="56"/>
        <v/>
      </c>
      <c r="O94" s="95">
        <f t="shared" si="57"/>
        <v>5.0000000000000001E-4</v>
      </c>
      <c r="P94" s="96"/>
      <c r="Q94" s="89"/>
      <c r="R94" s="96"/>
      <c r="S94" s="78">
        <f t="shared" si="41"/>
        <v>0</v>
      </c>
      <c r="T94" s="55">
        <f t="shared" si="41"/>
        <v>0</v>
      </c>
      <c r="U94" s="97">
        <f t="shared" si="63"/>
        <v>0</v>
      </c>
      <c r="V94" s="98">
        <f t="shared" si="64"/>
        <v>0</v>
      </c>
      <c r="W94" s="99">
        <f t="shared" si="66"/>
        <v>72</v>
      </c>
      <c r="X94" s="100">
        <f t="shared" si="66"/>
        <v>57</v>
      </c>
      <c r="Y94" s="91"/>
      <c r="Z94" s="89"/>
      <c r="AA94" s="112"/>
      <c r="AB94" s="112"/>
      <c r="AC94" s="112"/>
      <c r="AD94" s="75"/>
      <c r="AE94" s="101">
        <f t="shared" si="43"/>
        <v>0</v>
      </c>
      <c r="AF94" s="93">
        <f t="shared" si="44"/>
        <v>0</v>
      </c>
      <c r="AG94" s="94">
        <f t="shared" si="45"/>
        <v>0</v>
      </c>
      <c r="AH94" s="102">
        <f t="shared" si="46"/>
        <v>0</v>
      </c>
      <c r="AI94" s="103">
        <f t="shared" si="46"/>
        <v>0</v>
      </c>
      <c r="AJ94" s="103">
        <f t="shared" si="46"/>
        <v>0</v>
      </c>
      <c r="AK94" s="95">
        <f t="shared" si="46"/>
        <v>0</v>
      </c>
      <c r="AL94" s="102">
        <f t="shared" si="47"/>
        <v>0</v>
      </c>
      <c r="AM94" s="95">
        <f t="shared" si="48"/>
        <v>0</v>
      </c>
      <c r="AN94" s="90"/>
      <c r="AO94" s="104"/>
      <c r="AP94" s="90"/>
      <c r="AQ94" s="105"/>
      <c r="AR94" s="90"/>
      <c r="AS94" s="90"/>
      <c r="AT94" s="90"/>
      <c r="AU94" s="93" t="str">
        <f t="shared" si="58"/>
        <v/>
      </c>
      <c r="AV94" s="93" t="str">
        <f t="shared" ca="1" si="59"/>
        <v/>
      </c>
      <c r="AW94" s="93" t="str">
        <f t="shared" si="49"/>
        <v/>
      </c>
      <c r="AX94" s="93" t="str">
        <f t="shared" ca="1" si="50"/>
        <v/>
      </c>
      <c r="AY94" s="106"/>
      <c r="AZ94" s="106"/>
      <c r="BA94" s="93" t="str">
        <f t="shared" si="60"/>
        <v/>
      </c>
      <c r="BB94" s="106"/>
      <c r="BC94" s="106"/>
      <c r="BD94" s="93" t="str">
        <f t="shared" si="61"/>
        <v/>
      </c>
      <c r="BE94" s="90"/>
      <c r="BR94" s="3"/>
      <c r="BS94" s="118"/>
      <c r="BT94" s="118"/>
      <c r="BU94" s="118"/>
      <c r="BV94" s="118"/>
      <c r="BW94" s="118"/>
      <c r="BX94" s="118"/>
      <c r="BZ94" s="118"/>
      <c r="CB94" s="118"/>
      <c r="CC94" s="118"/>
      <c r="CD94" s="118"/>
    </row>
    <row r="95" spans="1:82" ht="17.399999999999999" customHeight="1" thickTop="1">
      <c r="A95" s="49">
        <f>A88+1</f>
        <v>13.1</v>
      </c>
      <c r="B95" s="108">
        <f>B94+1</f>
        <v>85</v>
      </c>
      <c r="C95" s="51"/>
      <c r="D95" s="52"/>
      <c r="E95" s="53"/>
      <c r="F95" s="52"/>
      <c r="G95" s="54">
        <f t="shared" si="67"/>
        <v>0</v>
      </c>
      <c r="H95" s="55">
        <f t="shared" si="67"/>
        <v>0</v>
      </c>
      <c r="I95" s="56">
        <f t="shared" si="52"/>
        <v>0</v>
      </c>
      <c r="J95" s="57">
        <f t="shared" si="53"/>
        <v>0</v>
      </c>
      <c r="K95" s="57">
        <f t="shared" si="54"/>
        <v>0</v>
      </c>
      <c r="L95" s="57">
        <f t="shared" si="55"/>
        <v>0</v>
      </c>
      <c r="M95" s="58" t="str">
        <f t="shared" ca="1" si="56"/>
        <v/>
      </c>
      <c r="N95" s="58" t="str">
        <f t="shared" ca="1" si="56"/>
        <v/>
      </c>
      <c r="O95" s="58">
        <f t="shared" si="57"/>
        <v>5.0000000000000001E-4</v>
      </c>
      <c r="P95" s="77"/>
      <c r="Q95" s="60"/>
      <c r="R95" s="77"/>
      <c r="S95" s="109">
        <f t="shared" si="41"/>
        <v>0</v>
      </c>
      <c r="T95" s="61">
        <f t="shared" si="41"/>
        <v>0</v>
      </c>
      <c r="U95" s="62">
        <f t="shared" si="63"/>
        <v>0</v>
      </c>
      <c r="V95" s="63">
        <f t="shared" si="64"/>
        <v>0</v>
      </c>
      <c r="W95" s="64">
        <v>74</v>
      </c>
      <c r="X95" s="80">
        <v>60</v>
      </c>
      <c r="Y95" s="53"/>
      <c r="Z95" s="51"/>
      <c r="AA95" s="110"/>
      <c r="AB95" s="110"/>
      <c r="AC95" s="110"/>
      <c r="AD95" s="53"/>
      <c r="AE95" s="66">
        <f t="shared" si="43"/>
        <v>0</v>
      </c>
      <c r="AF95" s="61">
        <f t="shared" si="44"/>
        <v>0</v>
      </c>
      <c r="AG95" s="56">
        <f t="shared" si="45"/>
        <v>0</v>
      </c>
      <c r="AH95" s="67">
        <f t="shared" si="46"/>
        <v>0</v>
      </c>
      <c r="AI95" s="68">
        <f t="shared" si="46"/>
        <v>0</v>
      </c>
      <c r="AJ95" s="68">
        <f t="shared" si="46"/>
        <v>0</v>
      </c>
      <c r="AK95" s="57">
        <f t="shared" si="46"/>
        <v>0</v>
      </c>
      <c r="AL95" s="67">
        <f t="shared" si="47"/>
        <v>0</v>
      </c>
      <c r="AM95" s="57">
        <f t="shared" si="48"/>
        <v>0</v>
      </c>
      <c r="AN95" s="52"/>
      <c r="AO95" s="69"/>
      <c r="AP95" s="52"/>
      <c r="AQ95" s="70"/>
      <c r="AR95" s="52"/>
      <c r="AS95" s="52"/>
      <c r="AT95" s="52"/>
      <c r="AU95" s="61" t="str">
        <f t="shared" si="58"/>
        <v/>
      </c>
      <c r="AV95" s="61" t="str">
        <f t="shared" ca="1" si="59"/>
        <v/>
      </c>
      <c r="AW95" s="61" t="str">
        <f t="shared" si="49"/>
        <v/>
      </c>
      <c r="AX95" s="61" t="str">
        <f t="shared" ca="1" si="50"/>
        <v/>
      </c>
      <c r="AY95" s="71"/>
      <c r="AZ95" s="71"/>
      <c r="BA95" s="61" t="str">
        <f t="shared" si="60"/>
        <v/>
      </c>
      <c r="BB95" s="71"/>
      <c r="BC95" s="71"/>
      <c r="BD95" s="61" t="str">
        <f t="shared" si="61"/>
        <v/>
      </c>
      <c r="BE95" s="52"/>
      <c r="BR95" s="3"/>
      <c r="BS95" s="118"/>
      <c r="BT95" s="118"/>
      <c r="BU95" s="118"/>
      <c r="BV95" s="118"/>
      <c r="BW95" s="118"/>
      <c r="BX95" s="118"/>
      <c r="BZ95" s="118"/>
      <c r="CB95" s="118"/>
      <c r="CC95" s="118"/>
      <c r="CD95" s="118"/>
    </row>
    <row r="96" spans="1:82" ht="17.399999999999999" customHeight="1">
      <c r="A96" s="72">
        <f t="shared" si="62"/>
        <v>13.2</v>
      </c>
      <c r="B96" s="111">
        <f t="shared" si="40"/>
        <v>86</v>
      </c>
      <c r="C96" s="60"/>
      <c r="D96" s="74"/>
      <c r="E96" s="75"/>
      <c r="F96" s="74"/>
      <c r="G96" s="54">
        <f t="shared" si="67"/>
        <v>0</v>
      </c>
      <c r="H96" s="55">
        <f t="shared" si="67"/>
        <v>0</v>
      </c>
      <c r="I96" s="76">
        <f t="shared" si="52"/>
        <v>0</v>
      </c>
      <c r="J96" s="58">
        <f t="shared" si="53"/>
        <v>0</v>
      </c>
      <c r="K96" s="58">
        <f t="shared" si="54"/>
        <v>0</v>
      </c>
      <c r="L96" s="58">
        <f t="shared" si="55"/>
        <v>0</v>
      </c>
      <c r="M96" s="58" t="str">
        <f t="shared" ca="1" si="56"/>
        <v/>
      </c>
      <c r="N96" s="58" t="str">
        <f t="shared" ca="1" si="56"/>
        <v/>
      </c>
      <c r="O96" s="58">
        <f t="shared" si="57"/>
        <v>5.0000000000000001E-4</v>
      </c>
      <c r="P96" s="77"/>
      <c r="Q96" s="60"/>
      <c r="R96" s="77"/>
      <c r="S96" s="78">
        <f t="shared" si="41"/>
        <v>0</v>
      </c>
      <c r="T96" s="55">
        <f t="shared" si="41"/>
        <v>0</v>
      </c>
      <c r="U96" s="79">
        <f t="shared" si="63"/>
        <v>0</v>
      </c>
      <c r="V96" s="63">
        <f t="shared" si="64"/>
        <v>0</v>
      </c>
      <c r="W96" s="64">
        <f t="shared" ref="W96:X101" si="68">W95</f>
        <v>74</v>
      </c>
      <c r="X96" s="80">
        <f t="shared" si="68"/>
        <v>60</v>
      </c>
      <c r="Y96" s="75"/>
      <c r="Z96" s="60"/>
      <c r="AA96" s="112"/>
      <c r="AB96" s="112"/>
      <c r="AC96" s="112"/>
      <c r="AD96" s="75"/>
      <c r="AE96" s="81">
        <f t="shared" si="43"/>
        <v>0</v>
      </c>
      <c r="AF96" s="55">
        <f t="shared" si="44"/>
        <v>0</v>
      </c>
      <c r="AG96" s="76">
        <f t="shared" si="45"/>
        <v>0</v>
      </c>
      <c r="AH96" s="82">
        <f t="shared" si="46"/>
        <v>0</v>
      </c>
      <c r="AI96" s="83">
        <f t="shared" si="46"/>
        <v>0</v>
      </c>
      <c r="AJ96" s="83">
        <f t="shared" si="46"/>
        <v>0</v>
      </c>
      <c r="AK96" s="58">
        <f t="shared" si="46"/>
        <v>0</v>
      </c>
      <c r="AL96" s="82">
        <f t="shared" si="47"/>
        <v>0</v>
      </c>
      <c r="AM96" s="58">
        <f t="shared" si="48"/>
        <v>0</v>
      </c>
      <c r="AN96" s="74"/>
      <c r="AO96" s="84"/>
      <c r="AP96" s="74"/>
      <c r="AQ96" s="85"/>
      <c r="AR96" s="74"/>
      <c r="AS96" s="74"/>
      <c r="AT96" s="74"/>
      <c r="AU96" s="55" t="str">
        <f t="shared" si="58"/>
        <v/>
      </c>
      <c r="AV96" s="55" t="str">
        <f t="shared" ca="1" si="59"/>
        <v/>
      </c>
      <c r="AW96" s="55" t="str">
        <f t="shared" si="49"/>
        <v/>
      </c>
      <c r="AX96" s="55" t="str">
        <f t="shared" ca="1" si="50"/>
        <v/>
      </c>
      <c r="AY96" s="86"/>
      <c r="AZ96" s="86"/>
      <c r="BA96" s="55" t="str">
        <f t="shared" si="60"/>
        <v/>
      </c>
      <c r="BB96" s="86"/>
      <c r="BC96" s="86"/>
      <c r="BD96" s="55" t="str">
        <f t="shared" si="61"/>
        <v/>
      </c>
      <c r="BE96" s="74"/>
      <c r="BR96" s="3"/>
      <c r="BS96" s="118"/>
      <c r="BT96" s="118"/>
      <c r="BU96" s="118"/>
      <c r="BV96" s="118"/>
      <c r="BW96" s="118"/>
      <c r="BX96" s="118"/>
      <c r="BZ96" s="118"/>
      <c r="CB96" s="118"/>
      <c r="CC96" s="118"/>
      <c r="CD96" s="118"/>
    </row>
    <row r="97" spans="1:82" ht="17.399999999999999" customHeight="1">
      <c r="A97" s="87">
        <f t="shared" si="62"/>
        <v>13.3</v>
      </c>
      <c r="B97" s="111">
        <f t="shared" si="40"/>
        <v>87</v>
      </c>
      <c r="C97" s="60"/>
      <c r="D97" s="74"/>
      <c r="E97" s="75"/>
      <c r="F97" s="74"/>
      <c r="G97" s="54">
        <f t="shared" si="67"/>
        <v>0</v>
      </c>
      <c r="H97" s="55">
        <f t="shared" si="67"/>
        <v>0</v>
      </c>
      <c r="I97" s="76">
        <f t="shared" si="52"/>
        <v>0</v>
      </c>
      <c r="J97" s="58">
        <f t="shared" si="53"/>
        <v>0</v>
      </c>
      <c r="K97" s="58">
        <f t="shared" si="54"/>
        <v>0</v>
      </c>
      <c r="L97" s="58">
        <f t="shared" si="55"/>
        <v>0</v>
      </c>
      <c r="M97" s="58" t="str">
        <f t="shared" ca="1" si="56"/>
        <v/>
      </c>
      <c r="N97" s="58" t="str">
        <f t="shared" ca="1" si="56"/>
        <v/>
      </c>
      <c r="O97" s="58">
        <f t="shared" si="57"/>
        <v>5.0000000000000001E-4</v>
      </c>
      <c r="P97" s="77"/>
      <c r="Q97" s="60"/>
      <c r="R97" s="77"/>
      <c r="S97" s="78">
        <f t="shared" si="41"/>
        <v>0</v>
      </c>
      <c r="T97" s="55">
        <f t="shared" si="41"/>
        <v>0</v>
      </c>
      <c r="U97" s="79">
        <f t="shared" si="63"/>
        <v>0</v>
      </c>
      <c r="V97" s="63">
        <f t="shared" si="64"/>
        <v>0</v>
      </c>
      <c r="W97" s="64">
        <f t="shared" si="68"/>
        <v>74</v>
      </c>
      <c r="X97" s="80">
        <f t="shared" si="68"/>
        <v>60</v>
      </c>
      <c r="Y97" s="75"/>
      <c r="Z97" s="60"/>
      <c r="AA97" s="112"/>
      <c r="AB97" s="112"/>
      <c r="AC97" s="112"/>
      <c r="AD97" s="75"/>
      <c r="AE97" s="81">
        <f t="shared" si="43"/>
        <v>0</v>
      </c>
      <c r="AF97" s="55">
        <f t="shared" si="44"/>
        <v>0</v>
      </c>
      <c r="AG97" s="76">
        <f t="shared" si="45"/>
        <v>0</v>
      </c>
      <c r="AH97" s="82">
        <f t="shared" si="46"/>
        <v>0</v>
      </c>
      <c r="AI97" s="83">
        <f t="shared" si="46"/>
        <v>0</v>
      </c>
      <c r="AJ97" s="83">
        <f t="shared" si="46"/>
        <v>0</v>
      </c>
      <c r="AK97" s="58">
        <f t="shared" si="46"/>
        <v>0</v>
      </c>
      <c r="AL97" s="82">
        <f t="shared" si="47"/>
        <v>0</v>
      </c>
      <c r="AM97" s="58">
        <f t="shared" si="48"/>
        <v>0</v>
      </c>
      <c r="AN97" s="74"/>
      <c r="AO97" s="84"/>
      <c r="AP97" s="74"/>
      <c r="AQ97" s="85"/>
      <c r="AR97" s="74"/>
      <c r="AS97" s="74"/>
      <c r="AT97" s="74"/>
      <c r="AU97" s="55" t="str">
        <f t="shared" si="58"/>
        <v/>
      </c>
      <c r="AV97" s="55" t="str">
        <f t="shared" ca="1" si="59"/>
        <v/>
      </c>
      <c r="AW97" s="55" t="str">
        <f t="shared" si="49"/>
        <v/>
      </c>
      <c r="AX97" s="55" t="str">
        <f t="shared" ca="1" si="50"/>
        <v/>
      </c>
      <c r="AY97" s="86"/>
      <c r="AZ97" s="86"/>
      <c r="BA97" s="55" t="str">
        <f t="shared" si="60"/>
        <v/>
      </c>
      <c r="BB97" s="86"/>
      <c r="BC97" s="86"/>
      <c r="BD97" s="55" t="str">
        <f t="shared" si="61"/>
        <v/>
      </c>
      <c r="BE97" s="74"/>
      <c r="BR97" s="3"/>
      <c r="BS97" s="118"/>
      <c r="BT97" s="118"/>
      <c r="BU97" s="118"/>
      <c r="BV97" s="118"/>
      <c r="BW97" s="118"/>
      <c r="BX97" s="118"/>
      <c r="BZ97" s="118"/>
      <c r="CB97" s="118"/>
      <c r="CC97" s="118"/>
      <c r="CD97" s="118"/>
    </row>
    <row r="98" spans="1:82" ht="17.399999999999999" customHeight="1">
      <c r="A98" s="72">
        <f t="shared" si="62"/>
        <v>13.4</v>
      </c>
      <c r="B98" s="111">
        <f t="shared" si="40"/>
        <v>88</v>
      </c>
      <c r="C98" s="60"/>
      <c r="D98" s="74"/>
      <c r="E98" s="75"/>
      <c r="F98" s="74"/>
      <c r="G98" s="54">
        <f t="shared" si="67"/>
        <v>0</v>
      </c>
      <c r="H98" s="55">
        <f t="shared" si="67"/>
        <v>0</v>
      </c>
      <c r="I98" s="76">
        <f t="shared" si="52"/>
        <v>0</v>
      </c>
      <c r="J98" s="58">
        <f t="shared" si="53"/>
        <v>0</v>
      </c>
      <c r="K98" s="58">
        <f t="shared" si="54"/>
        <v>0</v>
      </c>
      <c r="L98" s="58">
        <f t="shared" si="55"/>
        <v>0</v>
      </c>
      <c r="M98" s="58" t="str">
        <f t="shared" ca="1" si="56"/>
        <v/>
      </c>
      <c r="N98" s="58" t="str">
        <f t="shared" ca="1" si="56"/>
        <v/>
      </c>
      <c r="O98" s="58">
        <f t="shared" si="57"/>
        <v>5.0000000000000001E-4</v>
      </c>
      <c r="P98" s="77"/>
      <c r="Q98" s="60"/>
      <c r="R98" s="77"/>
      <c r="S98" s="78">
        <f t="shared" si="41"/>
        <v>0</v>
      </c>
      <c r="T98" s="55">
        <f t="shared" si="41"/>
        <v>0</v>
      </c>
      <c r="U98" s="79">
        <f t="shared" si="63"/>
        <v>0</v>
      </c>
      <c r="V98" s="63">
        <f t="shared" si="64"/>
        <v>0</v>
      </c>
      <c r="W98" s="64">
        <f t="shared" si="68"/>
        <v>74</v>
      </c>
      <c r="X98" s="80">
        <f t="shared" si="68"/>
        <v>60</v>
      </c>
      <c r="Y98" s="75"/>
      <c r="Z98" s="60"/>
      <c r="AA98" s="112"/>
      <c r="AB98" s="112"/>
      <c r="AC98" s="112"/>
      <c r="AD98" s="75"/>
      <c r="AE98" s="81">
        <f t="shared" si="43"/>
        <v>0</v>
      </c>
      <c r="AF98" s="55">
        <f t="shared" si="44"/>
        <v>0</v>
      </c>
      <c r="AG98" s="76">
        <f t="shared" si="45"/>
        <v>0</v>
      </c>
      <c r="AH98" s="82">
        <f t="shared" si="46"/>
        <v>0</v>
      </c>
      <c r="AI98" s="83">
        <f t="shared" si="46"/>
        <v>0</v>
      </c>
      <c r="AJ98" s="83">
        <f t="shared" si="46"/>
        <v>0</v>
      </c>
      <c r="AK98" s="58">
        <f t="shared" si="46"/>
        <v>0</v>
      </c>
      <c r="AL98" s="82">
        <f t="shared" si="47"/>
        <v>0</v>
      </c>
      <c r="AM98" s="58">
        <f t="shared" si="48"/>
        <v>0</v>
      </c>
      <c r="AN98" s="74"/>
      <c r="AO98" s="84"/>
      <c r="AP98" s="74"/>
      <c r="AQ98" s="85"/>
      <c r="AR98" s="74"/>
      <c r="AS98" s="74"/>
      <c r="AT98" s="74"/>
      <c r="AU98" s="55" t="str">
        <f t="shared" si="58"/>
        <v/>
      </c>
      <c r="AV98" s="55" t="str">
        <f t="shared" ca="1" si="59"/>
        <v/>
      </c>
      <c r="AW98" s="55" t="str">
        <f t="shared" si="49"/>
        <v/>
      </c>
      <c r="AX98" s="55" t="str">
        <f t="shared" ca="1" si="50"/>
        <v/>
      </c>
      <c r="AY98" s="86"/>
      <c r="AZ98" s="86"/>
      <c r="BA98" s="55" t="str">
        <f t="shared" si="60"/>
        <v/>
      </c>
      <c r="BB98" s="86"/>
      <c r="BC98" s="86"/>
      <c r="BD98" s="55" t="str">
        <f t="shared" si="61"/>
        <v/>
      </c>
      <c r="BE98" s="74"/>
      <c r="BR98" s="3"/>
      <c r="BS98" s="118"/>
      <c r="BT98" s="118"/>
      <c r="BU98" s="118"/>
      <c r="BV98" s="118"/>
      <c r="BW98" s="118"/>
      <c r="BX98" s="118"/>
      <c r="BZ98" s="118"/>
      <c r="CB98" s="118"/>
      <c r="CC98" s="118"/>
      <c r="CD98" s="118"/>
    </row>
    <row r="99" spans="1:82" ht="17.399999999999999" customHeight="1">
      <c r="A99" s="87">
        <f t="shared" si="62"/>
        <v>13.5</v>
      </c>
      <c r="B99" s="111">
        <f t="shared" si="40"/>
        <v>89</v>
      </c>
      <c r="C99" s="60"/>
      <c r="D99" s="74"/>
      <c r="E99" s="75"/>
      <c r="F99" s="74"/>
      <c r="G99" s="54">
        <f t="shared" si="67"/>
        <v>0</v>
      </c>
      <c r="H99" s="55">
        <f t="shared" si="67"/>
        <v>0</v>
      </c>
      <c r="I99" s="76">
        <f t="shared" si="52"/>
        <v>0</v>
      </c>
      <c r="J99" s="58">
        <f t="shared" si="53"/>
        <v>0</v>
      </c>
      <c r="K99" s="58">
        <f t="shared" si="54"/>
        <v>0</v>
      </c>
      <c r="L99" s="58">
        <f t="shared" si="55"/>
        <v>0</v>
      </c>
      <c r="M99" s="58" t="str">
        <f t="shared" ca="1" si="56"/>
        <v/>
      </c>
      <c r="N99" s="58" t="str">
        <f t="shared" ca="1" si="56"/>
        <v/>
      </c>
      <c r="O99" s="58">
        <f t="shared" si="57"/>
        <v>5.0000000000000001E-4</v>
      </c>
      <c r="P99" s="77"/>
      <c r="Q99" s="60"/>
      <c r="R99" s="77"/>
      <c r="S99" s="78">
        <f t="shared" si="41"/>
        <v>0</v>
      </c>
      <c r="T99" s="55">
        <f t="shared" si="41"/>
        <v>0</v>
      </c>
      <c r="U99" s="79">
        <f t="shared" si="63"/>
        <v>0</v>
      </c>
      <c r="V99" s="63">
        <f t="shared" si="64"/>
        <v>0</v>
      </c>
      <c r="W99" s="64">
        <f t="shared" si="68"/>
        <v>74</v>
      </c>
      <c r="X99" s="80">
        <f t="shared" si="68"/>
        <v>60</v>
      </c>
      <c r="Y99" s="75"/>
      <c r="Z99" s="60"/>
      <c r="AA99" s="112"/>
      <c r="AB99" s="112"/>
      <c r="AC99" s="112"/>
      <c r="AD99" s="75"/>
      <c r="AE99" s="81">
        <f t="shared" si="43"/>
        <v>0</v>
      </c>
      <c r="AF99" s="55">
        <f t="shared" si="44"/>
        <v>0</v>
      </c>
      <c r="AG99" s="76">
        <f t="shared" si="45"/>
        <v>0</v>
      </c>
      <c r="AH99" s="82">
        <f t="shared" si="46"/>
        <v>0</v>
      </c>
      <c r="AI99" s="83">
        <f t="shared" si="46"/>
        <v>0</v>
      </c>
      <c r="AJ99" s="83">
        <f t="shared" si="46"/>
        <v>0</v>
      </c>
      <c r="AK99" s="58">
        <f t="shared" si="46"/>
        <v>0</v>
      </c>
      <c r="AL99" s="82">
        <f t="shared" si="47"/>
        <v>0</v>
      </c>
      <c r="AM99" s="58">
        <f t="shared" si="48"/>
        <v>0</v>
      </c>
      <c r="AN99" s="74"/>
      <c r="AO99" s="84"/>
      <c r="AP99" s="74"/>
      <c r="AQ99" s="85"/>
      <c r="AR99" s="74"/>
      <c r="AS99" s="74"/>
      <c r="AT99" s="74"/>
      <c r="AU99" s="55" t="str">
        <f t="shared" si="58"/>
        <v/>
      </c>
      <c r="AV99" s="55" t="str">
        <f t="shared" ca="1" si="59"/>
        <v/>
      </c>
      <c r="AW99" s="55" t="str">
        <f t="shared" si="49"/>
        <v/>
      </c>
      <c r="AX99" s="55" t="str">
        <f t="shared" ca="1" si="50"/>
        <v/>
      </c>
      <c r="AY99" s="86"/>
      <c r="AZ99" s="86"/>
      <c r="BA99" s="55" t="str">
        <f t="shared" si="60"/>
        <v/>
      </c>
      <c r="BB99" s="86"/>
      <c r="BC99" s="86"/>
      <c r="BD99" s="55" t="str">
        <f t="shared" si="61"/>
        <v/>
      </c>
      <c r="BE99" s="74"/>
      <c r="BR99" s="3"/>
      <c r="BS99" s="118"/>
      <c r="BT99" s="118"/>
      <c r="BU99" s="118"/>
      <c r="BV99" s="118"/>
      <c r="BW99" s="118"/>
      <c r="BX99" s="118"/>
      <c r="BZ99" s="118"/>
      <c r="CB99" s="118"/>
      <c r="CC99" s="118"/>
      <c r="CD99" s="118"/>
    </row>
    <row r="100" spans="1:82" ht="17.399999999999999" customHeight="1">
      <c r="A100" s="72">
        <f t="shared" si="62"/>
        <v>13.600000000000001</v>
      </c>
      <c r="B100" s="111">
        <f t="shared" si="40"/>
        <v>90</v>
      </c>
      <c r="C100" s="60"/>
      <c r="D100" s="74"/>
      <c r="E100" s="75"/>
      <c r="F100" s="74"/>
      <c r="G100" s="54">
        <f t="shared" si="67"/>
        <v>0</v>
      </c>
      <c r="H100" s="55">
        <f t="shared" si="67"/>
        <v>0</v>
      </c>
      <c r="I100" s="76">
        <f t="shared" si="52"/>
        <v>0</v>
      </c>
      <c r="J100" s="58">
        <f t="shared" si="53"/>
        <v>0</v>
      </c>
      <c r="K100" s="58">
        <f t="shared" si="54"/>
        <v>0</v>
      </c>
      <c r="L100" s="58">
        <f t="shared" si="55"/>
        <v>0</v>
      </c>
      <c r="M100" s="58" t="str">
        <f t="shared" ca="1" si="56"/>
        <v/>
      </c>
      <c r="N100" s="58" t="str">
        <f t="shared" ca="1" si="56"/>
        <v/>
      </c>
      <c r="O100" s="58">
        <f t="shared" si="57"/>
        <v>5.0000000000000001E-4</v>
      </c>
      <c r="P100" s="77"/>
      <c r="Q100" s="60"/>
      <c r="R100" s="77"/>
      <c r="S100" s="78">
        <f t="shared" si="41"/>
        <v>0</v>
      </c>
      <c r="T100" s="55">
        <f t="shared" si="41"/>
        <v>0</v>
      </c>
      <c r="U100" s="79">
        <f t="shared" si="63"/>
        <v>0</v>
      </c>
      <c r="V100" s="63">
        <f t="shared" si="64"/>
        <v>0</v>
      </c>
      <c r="W100" s="64">
        <f t="shared" si="68"/>
        <v>74</v>
      </c>
      <c r="X100" s="80">
        <f t="shared" si="68"/>
        <v>60</v>
      </c>
      <c r="Y100" s="75"/>
      <c r="Z100" s="60"/>
      <c r="AA100" s="112"/>
      <c r="AB100" s="112"/>
      <c r="AC100" s="112"/>
      <c r="AD100" s="75"/>
      <c r="AE100" s="81">
        <f t="shared" si="43"/>
        <v>0</v>
      </c>
      <c r="AF100" s="55">
        <f t="shared" si="44"/>
        <v>0</v>
      </c>
      <c r="AG100" s="76">
        <f t="shared" si="45"/>
        <v>0</v>
      </c>
      <c r="AH100" s="82">
        <f t="shared" si="46"/>
        <v>0</v>
      </c>
      <c r="AI100" s="83">
        <f t="shared" si="46"/>
        <v>0</v>
      </c>
      <c r="AJ100" s="83">
        <f t="shared" si="46"/>
        <v>0</v>
      </c>
      <c r="AK100" s="58">
        <f t="shared" si="46"/>
        <v>0</v>
      </c>
      <c r="AL100" s="82">
        <f t="shared" si="47"/>
        <v>0</v>
      </c>
      <c r="AM100" s="58">
        <f t="shared" si="48"/>
        <v>0</v>
      </c>
      <c r="AN100" s="74"/>
      <c r="AO100" s="84"/>
      <c r="AP100" s="74"/>
      <c r="AQ100" s="85"/>
      <c r="AR100" s="74"/>
      <c r="AS100" s="74"/>
      <c r="AT100" s="74"/>
      <c r="AU100" s="55" t="str">
        <f t="shared" si="58"/>
        <v/>
      </c>
      <c r="AV100" s="55" t="str">
        <f t="shared" ca="1" si="59"/>
        <v/>
      </c>
      <c r="AW100" s="55" t="str">
        <f t="shared" si="49"/>
        <v/>
      </c>
      <c r="AX100" s="55" t="str">
        <f t="shared" ca="1" si="50"/>
        <v/>
      </c>
      <c r="AY100" s="86"/>
      <c r="AZ100" s="86"/>
      <c r="BA100" s="55" t="str">
        <f t="shared" si="60"/>
        <v/>
      </c>
      <c r="BB100" s="86"/>
      <c r="BC100" s="86"/>
      <c r="BD100" s="55" t="str">
        <f t="shared" si="61"/>
        <v/>
      </c>
      <c r="BE100" s="74"/>
      <c r="BR100" s="3"/>
      <c r="BS100" s="118"/>
      <c r="BT100" s="118"/>
      <c r="BU100" s="118"/>
      <c r="BV100" s="118"/>
      <c r="BW100" s="118"/>
      <c r="BX100" s="118"/>
      <c r="BZ100" s="118"/>
      <c r="CB100" s="118"/>
      <c r="CC100" s="118"/>
      <c r="CD100" s="118"/>
    </row>
    <row r="101" spans="1:82" ht="17.399999999999999" customHeight="1" thickBot="1">
      <c r="A101" s="87">
        <f t="shared" si="62"/>
        <v>13.700000000000001</v>
      </c>
      <c r="B101" s="113">
        <f t="shared" si="40"/>
        <v>91</v>
      </c>
      <c r="C101" s="89"/>
      <c r="D101" s="90"/>
      <c r="E101" s="91"/>
      <c r="F101" s="90"/>
      <c r="G101" s="92">
        <f t="shared" si="67"/>
        <v>0</v>
      </c>
      <c r="H101" s="93">
        <f t="shared" si="67"/>
        <v>0</v>
      </c>
      <c r="I101" s="94">
        <f t="shared" si="52"/>
        <v>0</v>
      </c>
      <c r="J101" s="95">
        <f t="shared" si="53"/>
        <v>0</v>
      </c>
      <c r="K101" s="95">
        <f t="shared" si="54"/>
        <v>0</v>
      </c>
      <c r="L101" s="95">
        <f t="shared" si="55"/>
        <v>0</v>
      </c>
      <c r="M101" s="95" t="str">
        <f t="shared" ca="1" si="56"/>
        <v/>
      </c>
      <c r="N101" s="95" t="str">
        <f t="shared" ca="1" si="56"/>
        <v/>
      </c>
      <c r="O101" s="95">
        <f t="shared" si="57"/>
        <v>5.0000000000000001E-4</v>
      </c>
      <c r="P101" s="96"/>
      <c r="Q101" s="89"/>
      <c r="R101" s="96"/>
      <c r="S101" s="78">
        <f t="shared" si="41"/>
        <v>0</v>
      </c>
      <c r="T101" s="55">
        <f t="shared" si="41"/>
        <v>0</v>
      </c>
      <c r="U101" s="97">
        <f t="shared" si="63"/>
        <v>0</v>
      </c>
      <c r="V101" s="98">
        <f t="shared" si="64"/>
        <v>0</v>
      </c>
      <c r="W101" s="99">
        <f t="shared" si="68"/>
        <v>74</v>
      </c>
      <c r="X101" s="100">
        <f t="shared" si="68"/>
        <v>60</v>
      </c>
      <c r="Y101" s="91"/>
      <c r="Z101" s="89"/>
      <c r="AA101" s="112"/>
      <c r="AB101" s="112"/>
      <c r="AC101" s="112"/>
      <c r="AD101" s="75"/>
      <c r="AE101" s="101">
        <f t="shared" si="43"/>
        <v>0</v>
      </c>
      <c r="AF101" s="93">
        <f t="shared" si="44"/>
        <v>0</v>
      </c>
      <c r="AG101" s="94">
        <f t="shared" si="45"/>
        <v>0</v>
      </c>
      <c r="AH101" s="102">
        <f t="shared" si="46"/>
        <v>0</v>
      </c>
      <c r="AI101" s="103">
        <f t="shared" si="46"/>
        <v>0</v>
      </c>
      <c r="AJ101" s="103">
        <f t="shared" si="46"/>
        <v>0</v>
      </c>
      <c r="AK101" s="95">
        <f t="shared" si="46"/>
        <v>0</v>
      </c>
      <c r="AL101" s="102">
        <f t="shared" si="47"/>
        <v>0</v>
      </c>
      <c r="AM101" s="95">
        <f t="shared" si="48"/>
        <v>0</v>
      </c>
      <c r="AN101" s="90"/>
      <c r="AO101" s="104"/>
      <c r="AP101" s="90"/>
      <c r="AQ101" s="105"/>
      <c r="AR101" s="90"/>
      <c r="AS101" s="90"/>
      <c r="AT101" s="90"/>
      <c r="AU101" s="93" t="str">
        <f t="shared" si="58"/>
        <v/>
      </c>
      <c r="AV101" s="93" t="str">
        <f t="shared" ca="1" si="59"/>
        <v/>
      </c>
      <c r="AW101" s="93" t="str">
        <f t="shared" si="49"/>
        <v/>
      </c>
      <c r="AX101" s="93" t="str">
        <f t="shared" ca="1" si="50"/>
        <v/>
      </c>
      <c r="AY101" s="106"/>
      <c r="AZ101" s="106"/>
      <c r="BA101" s="93" t="str">
        <f t="shared" si="60"/>
        <v/>
      </c>
      <c r="BB101" s="106"/>
      <c r="BC101" s="106"/>
      <c r="BD101" s="93" t="str">
        <f t="shared" si="61"/>
        <v/>
      </c>
      <c r="BE101" s="90"/>
      <c r="BR101" s="3"/>
      <c r="BS101" s="118"/>
      <c r="BT101" s="118"/>
      <c r="BU101" s="118"/>
      <c r="BV101" s="118"/>
      <c r="BW101" s="118"/>
      <c r="BX101" s="118"/>
      <c r="BZ101" s="118"/>
      <c r="CB101" s="118"/>
      <c r="CC101" s="118"/>
      <c r="CD101" s="118"/>
    </row>
    <row r="102" spans="1:82" ht="17.399999999999999" customHeight="1" thickTop="1">
      <c r="A102" s="107">
        <f>A95+1</f>
        <v>14.1</v>
      </c>
      <c r="B102" s="108">
        <f>B101+1</f>
        <v>92</v>
      </c>
      <c r="C102" s="51"/>
      <c r="D102" s="52"/>
      <c r="E102" s="53"/>
      <c r="F102" s="52"/>
      <c r="G102" s="54">
        <f t="shared" si="67"/>
        <v>0</v>
      </c>
      <c r="H102" s="55">
        <f t="shared" si="67"/>
        <v>0</v>
      </c>
      <c r="I102" s="56">
        <f t="shared" si="52"/>
        <v>0</v>
      </c>
      <c r="J102" s="57">
        <f t="shared" si="53"/>
        <v>0</v>
      </c>
      <c r="K102" s="57">
        <f t="shared" si="54"/>
        <v>0</v>
      </c>
      <c r="L102" s="57">
        <f t="shared" si="55"/>
        <v>0</v>
      </c>
      <c r="M102" s="58" t="str">
        <f t="shared" ca="1" si="56"/>
        <v/>
      </c>
      <c r="N102" s="58" t="str">
        <f t="shared" ca="1" si="56"/>
        <v/>
      </c>
      <c r="O102" s="58">
        <f t="shared" si="57"/>
        <v>5.0000000000000001E-4</v>
      </c>
      <c r="P102" s="77"/>
      <c r="Q102" s="60"/>
      <c r="R102" s="77"/>
      <c r="S102" s="109">
        <f t="shared" si="41"/>
        <v>0</v>
      </c>
      <c r="T102" s="61">
        <f t="shared" si="41"/>
        <v>0</v>
      </c>
      <c r="U102" s="62">
        <f t="shared" si="63"/>
        <v>0</v>
      </c>
      <c r="V102" s="63">
        <f t="shared" si="64"/>
        <v>0</v>
      </c>
      <c r="W102" s="64">
        <v>77</v>
      </c>
      <c r="X102" s="80">
        <v>64</v>
      </c>
      <c r="Y102" s="53"/>
      <c r="Z102" s="51"/>
      <c r="AA102" s="110"/>
      <c r="AB102" s="110"/>
      <c r="AC102" s="110"/>
      <c r="AD102" s="53"/>
      <c r="AE102" s="66">
        <f t="shared" si="43"/>
        <v>0</v>
      </c>
      <c r="AF102" s="61">
        <f t="shared" si="44"/>
        <v>0</v>
      </c>
      <c r="AG102" s="56">
        <f t="shared" si="45"/>
        <v>0</v>
      </c>
      <c r="AH102" s="67">
        <f t="shared" si="46"/>
        <v>0</v>
      </c>
      <c r="AI102" s="68">
        <f t="shared" si="46"/>
        <v>0</v>
      </c>
      <c r="AJ102" s="68">
        <f t="shared" si="46"/>
        <v>0</v>
      </c>
      <c r="AK102" s="57">
        <f t="shared" si="46"/>
        <v>0</v>
      </c>
      <c r="AL102" s="67">
        <f t="shared" si="47"/>
        <v>0</v>
      </c>
      <c r="AM102" s="57">
        <f t="shared" si="48"/>
        <v>0</v>
      </c>
      <c r="AN102" s="52"/>
      <c r="AO102" s="69"/>
      <c r="AP102" s="52"/>
      <c r="AQ102" s="70"/>
      <c r="AR102" s="52"/>
      <c r="AS102" s="52"/>
      <c r="AT102" s="52"/>
      <c r="AU102" s="61" t="str">
        <f t="shared" si="58"/>
        <v/>
      </c>
      <c r="AV102" s="61" t="str">
        <f t="shared" ca="1" si="59"/>
        <v/>
      </c>
      <c r="AW102" s="61" t="str">
        <f t="shared" si="49"/>
        <v/>
      </c>
      <c r="AX102" s="61" t="str">
        <f t="shared" ca="1" si="50"/>
        <v/>
      </c>
      <c r="AY102" s="71"/>
      <c r="AZ102" s="71"/>
      <c r="BA102" s="61" t="str">
        <f t="shared" si="60"/>
        <v/>
      </c>
      <c r="BB102" s="71"/>
      <c r="BC102" s="71"/>
      <c r="BD102" s="61" t="str">
        <f t="shared" si="61"/>
        <v/>
      </c>
      <c r="BE102" s="52"/>
      <c r="BR102" s="3"/>
      <c r="BS102" s="118"/>
      <c r="BT102" s="118"/>
      <c r="BU102" s="118"/>
      <c r="BV102" s="118"/>
      <c r="BW102" s="118"/>
      <c r="BX102" s="118"/>
      <c r="BZ102" s="118"/>
      <c r="CB102" s="118"/>
      <c r="CC102" s="118"/>
      <c r="CD102" s="118"/>
    </row>
    <row r="103" spans="1:82" ht="17.399999999999999" customHeight="1">
      <c r="A103" s="87">
        <f t="shared" si="62"/>
        <v>14.2</v>
      </c>
      <c r="B103" s="111">
        <f t="shared" si="40"/>
        <v>93</v>
      </c>
      <c r="C103" s="60"/>
      <c r="D103" s="74"/>
      <c r="E103" s="75"/>
      <c r="F103" s="74"/>
      <c r="G103" s="54">
        <f t="shared" si="67"/>
        <v>0</v>
      </c>
      <c r="H103" s="55">
        <f t="shared" si="67"/>
        <v>0</v>
      </c>
      <c r="I103" s="76">
        <f t="shared" si="52"/>
        <v>0</v>
      </c>
      <c r="J103" s="58">
        <f t="shared" si="53"/>
        <v>0</v>
      </c>
      <c r="K103" s="58">
        <f t="shared" si="54"/>
        <v>0</v>
      </c>
      <c r="L103" s="58">
        <f t="shared" si="55"/>
        <v>0</v>
      </c>
      <c r="M103" s="58" t="str">
        <f t="shared" ca="1" si="56"/>
        <v/>
      </c>
      <c r="N103" s="58" t="str">
        <f t="shared" ca="1" si="56"/>
        <v/>
      </c>
      <c r="O103" s="58">
        <f t="shared" si="57"/>
        <v>5.0000000000000001E-4</v>
      </c>
      <c r="P103" s="77"/>
      <c r="Q103" s="60"/>
      <c r="R103" s="77"/>
      <c r="S103" s="78">
        <f t="shared" si="41"/>
        <v>0</v>
      </c>
      <c r="T103" s="55">
        <f t="shared" si="41"/>
        <v>0</v>
      </c>
      <c r="U103" s="79">
        <f t="shared" si="63"/>
        <v>0</v>
      </c>
      <c r="V103" s="63">
        <f t="shared" si="64"/>
        <v>0</v>
      </c>
      <c r="W103" s="64">
        <f t="shared" ref="W103:X108" si="69">W102</f>
        <v>77</v>
      </c>
      <c r="X103" s="80">
        <f t="shared" si="69"/>
        <v>64</v>
      </c>
      <c r="Y103" s="75"/>
      <c r="Z103" s="60"/>
      <c r="AA103" s="112"/>
      <c r="AB103" s="112"/>
      <c r="AC103" s="112"/>
      <c r="AD103" s="75"/>
      <c r="AE103" s="81">
        <f t="shared" si="43"/>
        <v>0</v>
      </c>
      <c r="AF103" s="55">
        <f t="shared" si="44"/>
        <v>0</v>
      </c>
      <c r="AG103" s="76">
        <f t="shared" si="45"/>
        <v>0</v>
      </c>
      <c r="AH103" s="82">
        <f t="shared" si="46"/>
        <v>0</v>
      </c>
      <c r="AI103" s="83">
        <f t="shared" si="46"/>
        <v>0</v>
      </c>
      <c r="AJ103" s="83">
        <f t="shared" si="46"/>
        <v>0</v>
      </c>
      <c r="AK103" s="58">
        <f t="shared" si="46"/>
        <v>0</v>
      </c>
      <c r="AL103" s="82">
        <f t="shared" si="47"/>
        <v>0</v>
      </c>
      <c r="AM103" s="58">
        <f t="shared" si="48"/>
        <v>0</v>
      </c>
      <c r="AN103" s="74"/>
      <c r="AO103" s="84"/>
      <c r="AP103" s="74"/>
      <c r="AQ103" s="85"/>
      <c r="AR103" s="74"/>
      <c r="AS103" s="74"/>
      <c r="AT103" s="74"/>
      <c r="AU103" s="55" t="str">
        <f t="shared" si="58"/>
        <v/>
      </c>
      <c r="AV103" s="55" t="str">
        <f t="shared" ca="1" si="59"/>
        <v/>
      </c>
      <c r="AW103" s="55" t="str">
        <f t="shared" si="49"/>
        <v/>
      </c>
      <c r="AX103" s="55" t="str">
        <f t="shared" ca="1" si="50"/>
        <v/>
      </c>
      <c r="AY103" s="86"/>
      <c r="AZ103" s="86"/>
      <c r="BA103" s="55" t="str">
        <f t="shared" si="60"/>
        <v/>
      </c>
      <c r="BB103" s="86"/>
      <c r="BC103" s="86"/>
      <c r="BD103" s="55" t="str">
        <f t="shared" si="61"/>
        <v/>
      </c>
      <c r="BE103" s="74"/>
      <c r="BR103" s="3"/>
      <c r="BS103" s="118"/>
      <c r="BT103" s="118"/>
      <c r="BU103" s="118"/>
      <c r="BV103" s="118"/>
      <c r="BW103" s="118"/>
      <c r="BX103" s="118"/>
      <c r="BZ103" s="118"/>
      <c r="CB103" s="118"/>
      <c r="CC103" s="118"/>
      <c r="CD103" s="118"/>
    </row>
    <row r="104" spans="1:82" ht="17.399999999999999" customHeight="1">
      <c r="A104" s="72">
        <f t="shared" si="62"/>
        <v>14.3</v>
      </c>
      <c r="B104" s="111">
        <f t="shared" si="40"/>
        <v>94</v>
      </c>
      <c r="C104" s="60"/>
      <c r="D104" s="74"/>
      <c r="E104" s="75"/>
      <c r="F104" s="74"/>
      <c r="G104" s="54">
        <f t="shared" si="67"/>
        <v>0</v>
      </c>
      <c r="H104" s="55">
        <f t="shared" si="67"/>
        <v>0</v>
      </c>
      <c r="I104" s="76">
        <f t="shared" si="52"/>
        <v>0</v>
      </c>
      <c r="J104" s="58">
        <f t="shared" si="53"/>
        <v>0</v>
      </c>
      <c r="K104" s="58">
        <f t="shared" si="54"/>
        <v>0</v>
      </c>
      <c r="L104" s="58">
        <f t="shared" si="55"/>
        <v>0</v>
      </c>
      <c r="M104" s="58" t="str">
        <f t="shared" ca="1" si="56"/>
        <v/>
      </c>
      <c r="N104" s="58" t="str">
        <f t="shared" ca="1" si="56"/>
        <v/>
      </c>
      <c r="O104" s="58">
        <f t="shared" si="57"/>
        <v>5.0000000000000001E-4</v>
      </c>
      <c r="P104" s="77"/>
      <c r="Q104" s="60"/>
      <c r="R104" s="77"/>
      <c r="S104" s="78">
        <f t="shared" si="41"/>
        <v>0</v>
      </c>
      <c r="T104" s="55">
        <f t="shared" si="41"/>
        <v>0</v>
      </c>
      <c r="U104" s="79">
        <f t="shared" si="63"/>
        <v>0</v>
      </c>
      <c r="V104" s="63">
        <f t="shared" si="64"/>
        <v>0</v>
      </c>
      <c r="W104" s="64">
        <f t="shared" si="69"/>
        <v>77</v>
      </c>
      <c r="X104" s="80">
        <f t="shared" si="69"/>
        <v>64</v>
      </c>
      <c r="Y104" s="75"/>
      <c r="Z104" s="60"/>
      <c r="AA104" s="112"/>
      <c r="AB104" s="112"/>
      <c r="AC104" s="112"/>
      <c r="AD104" s="75"/>
      <c r="AE104" s="81">
        <f t="shared" si="43"/>
        <v>0</v>
      </c>
      <c r="AF104" s="55">
        <f t="shared" si="44"/>
        <v>0</v>
      </c>
      <c r="AG104" s="76">
        <f t="shared" si="45"/>
        <v>0</v>
      </c>
      <c r="AH104" s="82">
        <f t="shared" si="46"/>
        <v>0</v>
      </c>
      <c r="AI104" s="83">
        <f t="shared" si="46"/>
        <v>0</v>
      </c>
      <c r="AJ104" s="83">
        <f t="shared" si="46"/>
        <v>0</v>
      </c>
      <c r="AK104" s="58">
        <f t="shared" si="46"/>
        <v>0</v>
      </c>
      <c r="AL104" s="82">
        <f t="shared" si="47"/>
        <v>0</v>
      </c>
      <c r="AM104" s="58">
        <f t="shared" si="48"/>
        <v>0</v>
      </c>
      <c r="AN104" s="74"/>
      <c r="AO104" s="84"/>
      <c r="AP104" s="74"/>
      <c r="AQ104" s="85"/>
      <c r="AR104" s="74"/>
      <c r="AS104" s="74"/>
      <c r="AT104" s="74"/>
      <c r="AU104" s="55" t="str">
        <f t="shared" si="58"/>
        <v/>
      </c>
      <c r="AV104" s="55" t="str">
        <f t="shared" ca="1" si="59"/>
        <v/>
      </c>
      <c r="AW104" s="55" t="str">
        <f t="shared" si="49"/>
        <v/>
      </c>
      <c r="AX104" s="55" t="str">
        <f t="shared" ca="1" si="50"/>
        <v/>
      </c>
      <c r="AY104" s="86"/>
      <c r="AZ104" s="86"/>
      <c r="BA104" s="55" t="str">
        <f t="shared" si="60"/>
        <v/>
      </c>
      <c r="BB104" s="86"/>
      <c r="BC104" s="86"/>
      <c r="BD104" s="55" t="str">
        <f t="shared" si="61"/>
        <v/>
      </c>
      <c r="BE104" s="74"/>
      <c r="BR104" s="3"/>
      <c r="BS104" s="118"/>
      <c r="BT104" s="118"/>
      <c r="BU104" s="118"/>
      <c r="BV104" s="118"/>
      <c r="BW104" s="118"/>
      <c r="BX104" s="118"/>
      <c r="BZ104" s="118"/>
      <c r="CB104" s="118"/>
      <c r="CC104" s="118"/>
      <c r="CD104" s="118"/>
    </row>
    <row r="105" spans="1:82" ht="17.399999999999999" customHeight="1">
      <c r="A105" s="87">
        <f t="shared" si="62"/>
        <v>14.4</v>
      </c>
      <c r="B105" s="111">
        <f t="shared" si="40"/>
        <v>95</v>
      </c>
      <c r="C105" s="60"/>
      <c r="D105" s="74"/>
      <c r="E105" s="75"/>
      <c r="F105" s="74"/>
      <c r="G105" s="54">
        <f t="shared" si="67"/>
        <v>0</v>
      </c>
      <c r="H105" s="55">
        <f t="shared" si="67"/>
        <v>0</v>
      </c>
      <c r="I105" s="76">
        <f t="shared" si="52"/>
        <v>0</v>
      </c>
      <c r="J105" s="58">
        <f t="shared" si="53"/>
        <v>0</v>
      </c>
      <c r="K105" s="58">
        <f t="shared" si="54"/>
        <v>0</v>
      </c>
      <c r="L105" s="58">
        <f t="shared" si="55"/>
        <v>0</v>
      </c>
      <c r="M105" s="58" t="str">
        <f t="shared" ca="1" si="56"/>
        <v/>
      </c>
      <c r="N105" s="58" t="str">
        <f t="shared" ca="1" si="56"/>
        <v/>
      </c>
      <c r="O105" s="58">
        <f t="shared" si="57"/>
        <v>5.0000000000000001E-4</v>
      </c>
      <c r="P105" s="77"/>
      <c r="Q105" s="60"/>
      <c r="R105" s="77"/>
      <c r="S105" s="78">
        <f t="shared" si="41"/>
        <v>0</v>
      </c>
      <c r="T105" s="55">
        <f t="shared" si="41"/>
        <v>0</v>
      </c>
      <c r="U105" s="79">
        <f t="shared" si="63"/>
        <v>0</v>
      </c>
      <c r="V105" s="63">
        <f t="shared" si="64"/>
        <v>0</v>
      </c>
      <c r="W105" s="64">
        <f t="shared" si="69"/>
        <v>77</v>
      </c>
      <c r="X105" s="80">
        <f t="shared" si="69"/>
        <v>64</v>
      </c>
      <c r="Y105" s="75"/>
      <c r="Z105" s="60"/>
      <c r="AA105" s="112"/>
      <c r="AB105" s="112"/>
      <c r="AC105" s="112"/>
      <c r="AD105" s="75"/>
      <c r="AE105" s="81">
        <f t="shared" si="43"/>
        <v>0</v>
      </c>
      <c r="AF105" s="55">
        <f t="shared" si="44"/>
        <v>0</v>
      </c>
      <c r="AG105" s="76">
        <f t="shared" si="45"/>
        <v>0</v>
      </c>
      <c r="AH105" s="82">
        <f t="shared" si="46"/>
        <v>0</v>
      </c>
      <c r="AI105" s="83">
        <f t="shared" si="46"/>
        <v>0</v>
      </c>
      <c r="AJ105" s="83">
        <f t="shared" si="46"/>
        <v>0</v>
      </c>
      <c r="AK105" s="58">
        <f t="shared" si="46"/>
        <v>0</v>
      </c>
      <c r="AL105" s="82">
        <f t="shared" si="47"/>
        <v>0</v>
      </c>
      <c r="AM105" s="58">
        <f t="shared" si="48"/>
        <v>0</v>
      </c>
      <c r="AN105" s="74"/>
      <c r="AO105" s="84"/>
      <c r="AP105" s="74"/>
      <c r="AQ105" s="85"/>
      <c r="AR105" s="74"/>
      <c r="AS105" s="74"/>
      <c r="AT105" s="74"/>
      <c r="AU105" s="55" t="str">
        <f t="shared" si="58"/>
        <v/>
      </c>
      <c r="AV105" s="55" t="str">
        <f t="shared" ca="1" si="59"/>
        <v/>
      </c>
      <c r="AW105" s="55" t="str">
        <f t="shared" si="49"/>
        <v/>
      </c>
      <c r="AX105" s="55" t="str">
        <f t="shared" ca="1" si="50"/>
        <v/>
      </c>
      <c r="AY105" s="86"/>
      <c r="AZ105" s="86"/>
      <c r="BA105" s="55" t="str">
        <f t="shared" si="60"/>
        <v/>
      </c>
      <c r="BB105" s="86"/>
      <c r="BC105" s="86"/>
      <c r="BD105" s="55" t="str">
        <f t="shared" si="61"/>
        <v/>
      </c>
      <c r="BE105" s="74"/>
      <c r="BR105" s="3"/>
      <c r="BS105" s="118"/>
      <c r="BT105" s="118"/>
      <c r="BU105" s="118"/>
      <c r="BV105" s="118"/>
      <c r="BW105" s="118"/>
      <c r="BX105" s="118"/>
      <c r="BZ105" s="118"/>
      <c r="CB105" s="118"/>
      <c r="CC105" s="118"/>
      <c r="CD105" s="118"/>
    </row>
    <row r="106" spans="1:82" ht="17.399999999999999" customHeight="1">
      <c r="A106" s="72">
        <f t="shared" si="62"/>
        <v>14.5</v>
      </c>
      <c r="B106" s="111">
        <f t="shared" si="40"/>
        <v>96</v>
      </c>
      <c r="C106" s="60"/>
      <c r="D106" s="74"/>
      <c r="E106" s="75"/>
      <c r="F106" s="74"/>
      <c r="G106" s="54">
        <f t="shared" si="67"/>
        <v>0</v>
      </c>
      <c r="H106" s="55">
        <f t="shared" si="67"/>
        <v>0</v>
      </c>
      <c r="I106" s="76">
        <f t="shared" si="52"/>
        <v>0</v>
      </c>
      <c r="J106" s="58">
        <f t="shared" si="53"/>
        <v>0</v>
      </c>
      <c r="K106" s="58">
        <f t="shared" si="54"/>
        <v>0</v>
      </c>
      <c r="L106" s="58">
        <f t="shared" si="55"/>
        <v>0</v>
      </c>
      <c r="M106" s="58" t="str">
        <f t="shared" ca="1" si="56"/>
        <v/>
      </c>
      <c r="N106" s="58" t="str">
        <f t="shared" ca="1" si="56"/>
        <v/>
      </c>
      <c r="O106" s="58">
        <f t="shared" si="57"/>
        <v>5.0000000000000001E-4</v>
      </c>
      <c r="P106" s="77"/>
      <c r="Q106" s="60"/>
      <c r="R106" s="77"/>
      <c r="S106" s="78">
        <f t="shared" si="41"/>
        <v>0</v>
      </c>
      <c r="T106" s="55">
        <f t="shared" si="41"/>
        <v>0</v>
      </c>
      <c r="U106" s="79">
        <f t="shared" si="63"/>
        <v>0</v>
      </c>
      <c r="V106" s="63">
        <f t="shared" si="64"/>
        <v>0</v>
      </c>
      <c r="W106" s="64">
        <f t="shared" si="69"/>
        <v>77</v>
      </c>
      <c r="X106" s="80">
        <f t="shared" si="69"/>
        <v>64</v>
      </c>
      <c r="Y106" s="75"/>
      <c r="Z106" s="60"/>
      <c r="AA106" s="112"/>
      <c r="AB106" s="112"/>
      <c r="AC106" s="112"/>
      <c r="AD106" s="75"/>
      <c r="AE106" s="81">
        <f t="shared" si="43"/>
        <v>0</v>
      </c>
      <c r="AF106" s="55">
        <f t="shared" si="44"/>
        <v>0</v>
      </c>
      <c r="AG106" s="76">
        <f t="shared" si="45"/>
        <v>0</v>
      </c>
      <c r="AH106" s="82">
        <f t="shared" si="46"/>
        <v>0</v>
      </c>
      <c r="AI106" s="83">
        <f t="shared" si="46"/>
        <v>0</v>
      </c>
      <c r="AJ106" s="83">
        <f t="shared" si="46"/>
        <v>0</v>
      </c>
      <c r="AK106" s="58">
        <f t="shared" si="46"/>
        <v>0</v>
      </c>
      <c r="AL106" s="82">
        <f t="shared" si="47"/>
        <v>0</v>
      </c>
      <c r="AM106" s="58">
        <f t="shared" si="48"/>
        <v>0</v>
      </c>
      <c r="AN106" s="74"/>
      <c r="AO106" s="84"/>
      <c r="AP106" s="74"/>
      <c r="AQ106" s="85"/>
      <c r="AR106" s="74"/>
      <c r="AS106" s="74"/>
      <c r="AT106" s="74"/>
      <c r="AU106" s="55" t="str">
        <f t="shared" si="58"/>
        <v/>
      </c>
      <c r="AV106" s="55" t="str">
        <f t="shared" ca="1" si="59"/>
        <v/>
      </c>
      <c r="AW106" s="55" t="str">
        <f t="shared" si="49"/>
        <v/>
      </c>
      <c r="AX106" s="55" t="str">
        <f t="shared" ca="1" si="50"/>
        <v/>
      </c>
      <c r="AY106" s="86"/>
      <c r="AZ106" s="86"/>
      <c r="BA106" s="55" t="str">
        <f t="shared" si="60"/>
        <v/>
      </c>
      <c r="BB106" s="86"/>
      <c r="BC106" s="86"/>
      <c r="BD106" s="55" t="str">
        <f t="shared" si="61"/>
        <v/>
      </c>
      <c r="BE106" s="74"/>
      <c r="BR106" s="3"/>
      <c r="BS106" s="118"/>
      <c r="BT106" s="118"/>
      <c r="BU106" s="118"/>
      <c r="BV106" s="118"/>
      <c r="BW106" s="118"/>
      <c r="BX106" s="118"/>
      <c r="BZ106" s="118"/>
      <c r="CB106" s="118"/>
      <c r="CC106" s="118"/>
      <c r="CD106" s="118"/>
    </row>
    <row r="107" spans="1:82" ht="17.399999999999999" customHeight="1">
      <c r="A107" s="87">
        <f t="shared" si="62"/>
        <v>14.600000000000001</v>
      </c>
      <c r="B107" s="111">
        <f t="shared" si="40"/>
        <v>97</v>
      </c>
      <c r="C107" s="60"/>
      <c r="D107" s="74"/>
      <c r="E107" s="75"/>
      <c r="F107" s="74"/>
      <c r="G107" s="54">
        <f t="shared" si="67"/>
        <v>0</v>
      </c>
      <c r="H107" s="55">
        <f t="shared" si="67"/>
        <v>0</v>
      </c>
      <c r="I107" s="76">
        <f t="shared" si="52"/>
        <v>0</v>
      </c>
      <c r="J107" s="58">
        <f t="shared" si="53"/>
        <v>0</v>
      </c>
      <c r="K107" s="58">
        <f t="shared" si="54"/>
        <v>0</v>
      </c>
      <c r="L107" s="58">
        <f t="shared" si="55"/>
        <v>0</v>
      </c>
      <c r="M107" s="58" t="str">
        <f t="shared" ca="1" si="56"/>
        <v/>
      </c>
      <c r="N107" s="58" t="str">
        <f t="shared" ca="1" si="56"/>
        <v/>
      </c>
      <c r="O107" s="58">
        <f t="shared" si="57"/>
        <v>5.0000000000000001E-4</v>
      </c>
      <c r="P107" s="77"/>
      <c r="Q107" s="60"/>
      <c r="R107" s="77"/>
      <c r="S107" s="78">
        <f t="shared" si="41"/>
        <v>0</v>
      </c>
      <c r="T107" s="55">
        <f t="shared" si="41"/>
        <v>0</v>
      </c>
      <c r="U107" s="79">
        <f t="shared" si="63"/>
        <v>0</v>
      </c>
      <c r="V107" s="63">
        <f t="shared" si="64"/>
        <v>0</v>
      </c>
      <c r="W107" s="64">
        <f t="shared" si="69"/>
        <v>77</v>
      </c>
      <c r="X107" s="80">
        <f t="shared" si="69"/>
        <v>64</v>
      </c>
      <c r="Y107" s="75"/>
      <c r="Z107" s="60"/>
      <c r="AA107" s="112"/>
      <c r="AB107" s="112"/>
      <c r="AC107" s="112"/>
      <c r="AD107" s="75"/>
      <c r="AE107" s="81">
        <f t="shared" si="43"/>
        <v>0</v>
      </c>
      <c r="AF107" s="55">
        <f t="shared" si="44"/>
        <v>0</v>
      </c>
      <c r="AG107" s="76">
        <f t="shared" si="45"/>
        <v>0</v>
      </c>
      <c r="AH107" s="82">
        <f t="shared" ref="AH107:AK130" si="70">IFERROR(Z107/$Y107,0)</f>
        <v>0</v>
      </c>
      <c r="AI107" s="83">
        <f t="shared" si="70"/>
        <v>0</v>
      </c>
      <c r="AJ107" s="83">
        <f t="shared" si="70"/>
        <v>0</v>
      </c>
      <c r="AK107" s="58">
        <f t="shared" si="70"/>
        <v>0</v>
      </c>
      <c r="AL107" s="82">
        <f t="shared" si="47"/>
        <v>0</v>
      </c>
      <c r="AM107" s="58">
        <f t="shared" si="48"/>
        <v>0</v>
      </c>
      <c r="AN107" s="74"/>
      <c r="AO107" s="84"/>
      <c r="AP107" s="74"/>
      <c r="AQ107" s="85"/>
      <c r="AR107" s="74"/>
      <c r="AS107" s="74"/>
      <c r="AT107" s="74"/>
      <c r="AU107" s="55" t="str">
        <f t="shared" si="58"/>
        <v/>
      </c>
      <c r="AV107" s="55" t="str">
        <f t="shared" ca="1" si="59"/>
        <v/>
      </c>
      <c r="AW107" s="55" t="str">
        <f t="shared" si="49"/>
        <v/>
      </c>
      <c r="AX107" s="55" t="str">
        <f t="shared" ca="1" si="50"/>
        <v/>
      </c>
      <c r="AY107" s="86"/>
      <c r="AZ107" s="86"/>
      <c r="BA107" s="55" t="str">
        <f t="shared" si="60"/>
        <v/>
      </c>
      <c r="BB107" s="86"/>
      <c r="BC107" s="86"/>
      <c r="BD107" s="55" t="str">
        <f t="shared" si="61"/>
        <v/>
      </c>
      <c r="BE107" s="74"/>
      <c r="BR107" s="3"/>
      <c r="BS107" s="118"/>
      <c r="BT107" s="118"/>
      <c r="BU107" s="118"/>
      <c r="BV107" s="118"/>
      <c r="BW107" s="118"/>
      <c r="BX107" s="118"/>
      <c r="BZ107" s="118"/>
      <c r="CB107" s="118"/>
      <c r="CC107" s="118"/>
      <c r="CD107" s="118"/>
    </row>
    <row r="108" spans="1:82" ht="17.399999999999999" customHeight="1" thickBot="1">
      <c r="A108" s="72">
        <f t="shared" si="62"/>
        <v>14.700000000000001</v>
      </c>
      <c r="B108" s="113">
        <f t="shared" si="40"/>
        <v>98</v>
      </c>
      <c r="C108" s="89"/>
      <c r="D108" s="90"/>
      <c r="E108" s="91"/>
      <c r="F108" s="90"/>
      <c r="G108" s="92">
        <f t="shared" ref="G108:H123" si="71">G107-E108-C108</f>
        <v>0</v>
      </c>
      <c r="H108" s="93">
        <f t="shared" si="71"/>
        <v>0</v>
      </c>
      <c r="I108" s="94">
        <f t="shared" si="52"/>
        <v>0</v>
      </c>
      <c r="J108" s="95">
        <f t="shared" si="53"/>
        <v>0</v>
      </c>
      <c r="K108" s="95">
        <f t="shared" si="54"/>
        <v>0</v>
      </c>
      <c r="L108" s="95">
        <f t="shared" si="55"/>
        <v>0</v>
      </c>
      <c r="M108" s="95" t="str">
        <f t="shared" ca="1" si="56"/>
        <v/>
      </c>
      <c r="N108" s="95" t="str">
        <f t="shared" ca="1" si="56"/>
        <v/>
      </c>
      <c r="O108" s="95">
        <f t="shared" si="57"/>
        <v>5.0000000000000001E-4</v>
      </c>
      <c r="P108" s="96"/>
      <c r="Q108" s="89"/>
      <c r="R108" s="96"/>
      <c r="S108" s="78">
        <f t="shared" si="41"/>
        <v>0</v>
      </c>
      <c r="T108" s="55">
        <f t="shared" si="41"/>
        <v>0</v>
      </c>
      <c r="U108" s="97">
        <f t="shared" si="63"/>
        <v>0</v>
      </c>
      <c r="V108" s="98">
        <f t="shared" si="64"/>
        <v>0</v>
      </c>
      <c r="W108" s="99">
        <f t="shared" si="69"/>
        <v>77</v>
      </c>
      <c r="X108" s="100">
        <f t="shared" si="69"/>
        <v>64</v>
      </c>
      <c r="Y108" s="91"/>
      <c r="Z108" s="89"/>
      <c r="AA108" s="112"/>
      <c r="AB108" s="112"/>
      <c r="AC108" s="112"/>
      <c r="AD108" s="75"/>
      <c r="AE108" s="101">
        <f t="shared" si="43"/>
        <v>0</v>
      </c>
      <c r="AF108" s="93">
        <f t="shared" si="44"/>
        <v>0</v>
      </c>
      <c r="AG108" s="94">
        <f t="shared" si="45"/>
        <v>0</v>
      </c>
      <c r="AH108" s="102">
        <f t="shared" si="70"/>
        <v>0</v>
      </c>
      <c r="AI108" s="103">
        <f t="shared" si="70"/>
        <v>0</v>
      </c>
      <c r="AJ108" s="103">
        <f t="shared" si="70"/>
        <v>0</v>
      </c>
      <c r="AK108" s="95">
        <f t="shared" si="70"/>
        <v>0</v>
      </c>
      <c r="AL108" s="102">
        <f t="shared" si="47"/>
        <v>0</v>
      </c>
      <c r="AM108" s="95">
        <f t="shared" si="48"/>
        <v>0</v>
      </c>
      <c r="AN108" s="90"/>
      <c r="AO108" s="104"/>
      <c r="AP108" s="90"/>
      <c r="AQ108" s="105"/>
      <c r="AR108" s="90"/>
      <c r="AS108" s="90"/>
      <c r="AT108" s="90"/>
      <c r="AU108" s="93" t="str">
        <f t="shared" si="58"/>
        <v/>
      </c>
      <c r="AV108" s="93" t="str">
        <f t="shared" ca="1" si="59"/>
        <v/>
      </c>
      <c r="AW108" s="93" t="str">
        <f t="shared" si="49"/>
        <v/>
      </c>
      <c r="AX108" s="93" t="str">
        <f t="shared" ca="1" si="50"/>
        <v/>
      </c>
      <c r="AY108" s="106"/>
      <c r="AZ108" s="106"/>
      <c r="BA108" s="93" t="str">
        <f t="shared" si="60"/>
        <v/>
      </c>
      <c r="BB108" s="106"/>
      <c r="BC108" s="106"/>
      <c r="BD108" s="93" t="str">
        <f t="shared" si="61"/>
        <v/>
      </c>
      <c r="BE108" s="90"/>
      <c r="BR108" s="3"/>
      <c r="BS108" s="118"/>
      <c r="BT108" s="118"/>
      <c r="BU108" s="118"/>
      <c r="BV108" s="118"/>
      <c r="BW108" s="118"/>
      <c r="BX108" s="118"/>
      <c r="BZ108" s="118"/>
      <c r="CB108" s="118"/>
      <c r="CC108" s="118"/>
      <c r="CD108" s="118"/>
    </row>
    <row r="109" spans="1:82" ht="17.399999999999999" customHeight="1" thickTop="1">
      <c r="A109" s="49">
        <f>A102+1</f>
        <v>15.1</v>
      </c>
      <c r="B109" s="108">
        <f>B108+1</f>
        <v>99</v>
      </c>
      <c r="C109" s="51"/>
      <c r="D109" s="52"/>
      <c r="E109" s="53"/>
      <c r="F109" s="52"/>
      <c r="G109" s="54">
        <f t="shared" si="71"/>
        <v>0</v>
      </c>
      <c r="H109" s="55">
        <f t="shared" si="71"/>
        <v>0</v>
      </c>
      <c r="I109" s="56">
        <f t="shared" si="52"/>
        <v>0</v>
      </c>
      <c r="J109" s="57">
        <f t="shared" si="53"/>
        <v>0</v>
      </c>
      <c r="K109" s="57">
        <f t="shared" si="54"/>
        <v>0</v>
      </c>
      <c r="L109" s="57">
        <f t="shared" si="55"/>
        <v>0</v>
      </c>
      <c r="M109" s="58" t="str">
        <f t="shared" ca="1" si="56"/>
        <v/>
      </c>
      <c r="N109" s="58" t="str">
        <f t="shared" ca="1" si="56"/>
        <v/>
      </c>
      <c r="O109" s="58">
        <f t="shared" si="57"/>
        <v>5.0000000000000001E-4</v>
      </c>
      <c r="P109" s="77"/>
      <c r="Q109" s="60"/>
      <c r="R109" s="77"/>
      <c r="S109" s="109">
        <f t="shared" si="41"/>
        <v>0</v>
      </c>
      <c r="T109" s="61">
        <f t="shared" si="41"/>
        <v>0</v>
      </c>
      <c r="U109" s="62">
        <f t="shared" si="63"/>
        <v>0</v>
      </c>
      <c r="V109" s="63">
        <f t="shared" si="64"/>
        <v>0</v>
      </c>
      <c r="W109" s="64">
        <v>80</v>
      </c>
      <c r="X109" s="80">
        <v>67</v>
      </c>
      <c r="Y109" s="53"/>
      <c r="Z109" s="51"/>
      <c r="AA109" s="110"/>
      <c r="AB109" s="110"/>
      <c r="AC109" s="110"/>
      <c r="AD109" s="53"/>
      <c r="AE109" s="66">
        <f t="shared" si="43"/>
        <v>0</v>
      </c>
      <c r="AF109" s="61">
        <f t="shared" si="44"/>
        <v>0</v>
      </c>
      <c r="AG109" s="56">
        <f t="shared" si="45"/>
        <v>0</v>
      </c>
      <c r="AH109" s="67">
        <f t="shared" si="70"/>
        <v>0</v>
      </c>
      <c r="AI109" s="68">
        <f t="shared" si="70"/>
        <v>0</v>
      </c>
      <c r="AJ109" s="68">
        <f t="shared" si="70"/>
        <v>0</v>
      </c>
      <c r="AK109" s="57">
        <f t="shared" si="70"/>
        <v>0</v>
      </c>
      <c r="AL109" s="67">
        <f t="shared" si="47"/>
        <v>0</v>
      </c>
      <c r="AM109" s="57">
        <f t="shared" si="48"/>
        <v>0</v>
      </c>
      <c r="AN109" s="52"/>
      <c r="AO109" s="69"/>
      <c r="AP109" s="52"/>
      <c r="AQ109" s="70"/>
      <c r="AR109" s="52"/>
      <c r="AS109" s="52"/>
      <c r="AT109" s="52"/>
      <c r="AU109" s="61" t="str">
        <f t="shared" si="58"/>
        <v/>
      </c>
      <c r="AV109" s="61" t="str">
        <f t="shared" ca="1" si="59"/>
        <v/>
      </c>
      <c r="AW109" s="61" t="str">
        <f t="shared" si="49"/>
        <v/>
      </c>
      <c r="AX109" s="61" t="str">
        <f t="shared" ca="1" si="50"/>
        <v/>
      </c>
      <c r="AY109" s="71"/>
      <c r="AZ109" s="71"/>
      <c r="BA109" s="61" t="str">
        <f t="shared" si="60"/>
        <v/>
      </c>
      <c r="BB109" s="71"/>
      <c r="BC109" s="71"/>
      <c r="BD109" s="61" t="str">
        <f t="shared" si="61"/>
        <v/>
      </c>
      <c r="BE109" s="52"/>
      <c r="BR109" s="3"/>
      <c r="BS109" s="118"/>
      <c r="BT109" s="118"/>
      <c r="BU109" s="118"/>
      <c r="BV109" s="118"/>
      <c r="BW109" s="118"/>
      <c r="BX109" s="118"/>
      <c r="BZ109" s="118"/>
      <c r="CB109" s="118"/>
      <c r="CC109" s="118"/>
      <c r="CD109" s="118"/>
    </row>
    <row r="110" spans="1:82" ht="17.399999999999999" customHeight="1">
      <c r="A110" s="72">
        <f t="shared" si="62"/>
        <v>15.2</v>
      </c>
      <c r="B110" s="111">
        <f t="shared" si="40"/>
        <v>100</v>
      </c>
      <c r="C110" s="60"/>
      <c r="D110" s="74"/>
      <c r="E110" s="75"/>
      <c r="F110" s="74"/>
      <c r="G110" s="54">
        <f t="shared" si="71"/>
        <v>0</v>
      </c>
      <c r="H110" s="55">
        <f t="shared" si="71"/>
        <v>0</v>
      </c>
      <c r="I110" s="76">
        <f t="shared" si="52"/>
        <v>0</v>
      </c>
      <c r="J110" s="58">
        <f t="shared" si="53"/>
        <v>0</v>
      </c>
      <c r="K110" s="58">
        <f t="shared" si="54"/>
        <v>0</v>
      </c>
      <c r="L110" s="58">
        <f t="shared" si="55"/>
        <v>0</v>
      </c>
      <c r="M110" s="58" t="str">
        <f t="shared" ca="1" si="56"/>
        <v/>
      </c>
      <c r="N110" s="58" t="str">
        <f t="shared" ca="1" si="56"/>
        <v/>
      </c>
      <c r="O110" s="58">
        <f t="shared" si="57"/>
        <v>5.0000000000000001E-4</v>
      </c>
      <c r="P110" s="77"/>
      <c r="Q110" s="60"/>
      <c r="R110" s="77"/>
      <c r="S110" s="78">
        <f t="shared" si="41"/>
        <v>0</v>
      </c>
      <c r="T110" s="55">
        <f t="shared" si="41"/>
        <v>0</v>
      </c>
      <c r="U110" s="79">
        <f t="shared" si="63"/>
        <v>0</v>
      </c>
      <c r="V110" s="63">
        <f t="shared" si="64"/>
        <v>0</v>
      </c>
      <c r="W110" s="64">
        <f t="shared" ref="W110:X115" si="72">W109</f>
        <v>80</v>
      </c>
      <c r="X110" s="80">
        <f t="shared" si="72"/>
        <v>67</v>
      </c>
      <c r="Y110" s="75"/>
      <c r="Z110" s="60"/>
      <c r="AA110" s="112"/>
      <c r="AB110" s="112"/>
      <c r="AC110" s="112"/>
      <c r="AD110" s="75"/>
      <c r="AE110" s="81">
        <f t="shared" si="43"/>
        <v>0</v>
      </c>
      <c r="AF110" s="55">
        <f t="shared" si="44"/>
        <v>0</v>
      </c>
      <c r="AG110" s="76">
        <f t="shared" si="45"/>
        <v>0</v>
      </c>
      <c r="AH110" s="82">
        <f t="shared" si="70"/>
        <v>0</v>
      </c>
      <c r="AI110" s="83">
        <f t="shared" si="70"/>
        <v>0</v>
      </c>
      <c r="AJ110" s="83">
        <f t="shared" si="70"/>
        <v>0</v>
      </c>
      <c r="AK110" s="58">
        <f t="shared" si="70"/>
        <v>0</v>
      </c>
      <c r="AL110" s="82">
        <f t="shared" si="47"/>
        <v>0</v>
      </c>
      <c r="AM110" s="58">
        <f t="shared" si="48"/>
        <v>0</v>
      </c>
      <c r="AN110" s="74"/>
      <c r="AO110" s="84"/>
      <c r="AP110" s="74"/>
      <c r="AQ110" s="85"/>
      <c r="AR110" s="74"/>
      <c r="AS110" s="74"/>
      <c r="AT110" s="74"/>
      <c r="AU110" s="55" t="str">
        <f t="shared" si="58"/>
        <v/>
      </c>
      <c r="AV110" s="55" t="str">
        <f t="shared" ca="1" si="59"/>
        <v/>
      </c>
      <c r="AW110" s="55" t="str">
        <f t="shared" si="49"/>
        <v/>
      </c>
      <c r="AX110" s="55" t="str">
        <f t="shared" ca="1" si="50"/>
        <v/>
      </c>
      <c r="AY110" s="86"/>
      <c r="AZ110" s="86"/>
      <c r="BA110" s="55" t="str">
        <f t="shared" si="60"/>
        <v/>
      </c>
      <c r="BB110" s="86"/>
      <c r="BC110" s="86"/>
      <c r="BD110" s="55" t="str">
        <f t="shared" si="61"/>
        <v/>
      </c>
      <c r="BE110" s="74"/>
      <c r="BR110" s="3"/>
      <c r="BS110" s="118"/>
      <c r="BT110" s="118"/>
      <c r="BU110" s="118"/>
      <c r="BV110" s="118"/>
      <c r="BW110" s="118"/>
      <c r="BX110" s="118"/>
      <c r="BZ110" s="118"/>
      <c r="CB110" s="118"/>
      <c r="CC110" s="118"/>
      <c r="CD110" s="118"/>
    </row>
    <row r="111" spans="1:82" ht="17.399999999999999" customHeight="1">
      <c r="A111" s="87">
        <f t="shared" si="62"/>
        <v>15.3</v>
      </c>
      <c r="B111" s="111">
        <f t="shared" si="40"/>
        <v>101</v>
      </c>
      <c r="C111" s="60"/>
      <c r="D111" s="74"/>
      <c r="E111" s="75"/>
      <c r="F111" s="74"/>
      <c r="G111" s="54">
        <f t="shared" si="71"/>
        <v>0</v>
      </c>
      <c r="H111" s="55">
        <f t="shared" si="71"/>
        <v>0</v>
      </c>
      <c r="I111" s="76">
        <f t="shared" si="52"/>
        <v>0</v>
      </c>
      <c r="J111" s="58">
        <f t="shared" si="53"/>
        <v>0</v>
      </c>
      <c r="K111" s="58">
        <f t="shared" si="54"/>
        <v>0</v>
      </c>
      <c r="L111" s="58">
        <f t="shared" si="55"/>
        <v>0</v>
      </c>
      <c r="M111" s="58" t="str">
        <f t="shared" ca="1" si="56"/>
        <v/>
      </c>
      <c r="N111" s="58" t="str">
        <f t="shared" ca="1" si="56"/>
        <v/>
      </c>
      <c r="O111" s="58">
        <f t="shared" si="57"/>
        <v>5.0000000000000001E-4</v>
      </c>
      <c r="P111" s="77"/>
      <c r="Q111" s="60"/>
      <c r="R111" s="77"/>
      <c r="S111" s="78">
        <f t="shared" si="41"/>
        <v>0</v>
      </c>
      <c r="T111" s="55">
        <f t="shared" si="41"/>
        <v>0</v>
      </c>
      <c r="U111" s="79">
        <f t="shared" si="63"/>
        <v>0</v>
      </c>
      <c r="V111" s="63">
        <f t="shared" si="64"/>
        <v>0</v>
      </c>
      <c r="W111" s="64">
        <f t="shared" si="72"/>
        <v>80</v>
      </c>
      <c r="X111" s="80">
        <f t="shared" si="72"/>
        <v>67</v>
      </c>
      <c r="Y111" s="75"/>
      <c r="Z111" s="60"/>
      <c r="AA111" s="112"/>
      <c r="AB111" s="112"/>
      <c r="AC111" s="112"/>
      <c r="AD111" s="75"/>
      <c r="AE111" s="81">
        <f t="shared" si="43"/>
        <v>0</v>
      </c>
      <c r="AF111" s="55">
        <f t="shared" si="44"/>
        <v>0</v>
      </c>
      <c r="AG111" s="76">
        <f t="shared" si="45"/>
        <v>0</v>
      </c>
      <c r="AH111" s="82">
        <f t="shared" si="70"/>
        <v>0</v>
      </c>
      <c r="AI111" s="83">
        <f t="shared" si="70"/>
        <v>0</v>
      </c>
      <c r="AJ111" s="83">
        <f t="shared" si="70"/>
        <v>0</v>
      </c>
      <c r="AK111" s="58">
        <f t="shared" si="70"/>
        <v>0</v>
      </c>
      <c r="AL111" s="82">
        <f t="shared" si="47"/>
        <v>0</v>
      </c>
      <c r="AM111" s="58">
        <f t="shared" si="48"/>
        <v>0</v>
      </c>
      <c r="AN111" s="74"/>
      <c r="AO111" s="84"/>
      <c r="AP111" s="74"/>
      <c r="AQ111" s="85"/>
      <c r="AR111" s="74"/>
      <c r="AS111" s="74"/>
      <c r="AT111" s="74"/>
      <c r="AU111" s="55" t="str">
        <f t="shared" si="58"/>
        <v/>
      </c>
      <c r="AV111" s="55" t="str">
        <f t="shared" ca="1" si="59"/>
        <v/>
      </c>
      <c r="AW111" s="55" t="str">
        <f t="shared" si="49"/>
        <v/>
      </c>
      <c r="AX111" s="55" t="str">
        <f t="shared" ca="1" si="50"/>
        <v/>
      </c>
      <c r="AY111" s="86"/>
      <c r="AZ111" s="86"/>
      <c r="BA111" s="55" t="str">
        <f t="shared" si="60"/>
        <v/>
      </c>
      <c r="BB111" s="86"/>
      <c r="BC111" s="86"/>
      <c r="BD111" s="55" t="str">
        <f t="shared" si="61"/>
        <v/>
      </c>
      <c r="BE111" s="74"/>
      <c r="BR111" s="3"/>
      <c r="BS111" s="118"/>
      <c r="BT111" s="118"/>
      <c r="BU111" s="118"/>
      <c r="BV111" s="118"/>
      <c r="BW111" s="118"/>
      <c r="BX111" s="118"/>
      <c r="BZ111" s="118"/>
      <c r="CB111" s="118"/>
      <c r="CC111" s="118"/>
      <c r="CD111" s="118"/>
    </row>
    <row r="112" spans="1:82" ht="17.399999999999999" customHeight="1">
      <c r="A112" s="72">
        <f t="shared" si="62"/>
        <v>15.4</v>
      </c>
      <c r="B112" s="111">
        <f t="shared" si="40"/>
        <v>102</v>
      </c>
      <c r="C112" s="60"/>
      <c r="D112" s="74"/>
      <c r="E112" s="75"/>
      <c r="F112" s="74"/>
      <c r="G112" s="54">
        <f t="shared" si="71"/>
        <v>0</v>
      </c>
      <c r="H112" s="55">
        <f t="shared" si="71"/>
        <v>0</v>
      </c>
      <c r="I112" s="76">
        <f t="shared" si="52"/>
        <v>0</v>
      </c>
      <c r="J112" s="58">
        <f t="shared" si="53"/>
        <v>0</v>
      </c>
      <c r="K112" s="58">
        <f t="shared" si="54"/>
        <v>0</v>
      </c>
      <c r="L112" s="58">
        <f t="shared" si="55"/>
        <v>0</v>
      </c>
      <c r="M112" s="58" t="str">
        <f t="shared" ca="1" si="56"/>
        <v/>
      </c>
      <c r="N112" s="58" t="str">
        <f t="shared" ca="1" si="56"/>
        <v/>
      </c>
      <c r="O112" s="58">
        <f t="shared" si="57"/>
        <v>5.0000000000000001E-4</v>
      </c>
      <c r="P112" s="77"/>
      <c r="Q112" s="60"/>
      <c r="R112" s="77"/>
      <c r="S112" s="78">
        <f t="shared" si="41"/>
        <v>0</v>
      </c>
      <c r="T112" s="55">
        <f t="shared" si="41"/>
        <v>0</v>
      </c>
      <c r="U112" s="79">
        <f t="shared" si="63"/>
        <v>0</v>
      </c>
      <c r="V112" s="63">
        <f t="shared" si="64"/>
        <v>0</v>
      </c>
      <c r="W112" s="64">
        <f t="shared" si="72"/>
        <v>80</v>
      </c>
      <c r="X112" s="80">
        <f t="shared" si="72"/>
        <v>67</v>
      </c>
      <c r="Y112" s="75"/>
      <c r="Z112" s="60"/>
      <c r="AA112" s="112"/>
      <c r="AB112" s="112"/>
      <c r="AC112" s="112"/>
      <c r="AD112" s="75"/>
      <c r="AE112" s="81">
        <f t="shared" si="43"/>
        <v>0</v>
      </c>
      <c r="AF112" s="55">
        <f t="shared" si="44"/>
        <v>0</v>
      </c>
      <c r="AG112" s="76">
        <f t="shared" si="45"/>
        <v>0</v>
      </c>
      <c r="AH112" s="82">
        <f t="shared" si="70"/>
        <v>0</v>
      </c>
      <c r="AI112" s="83">
        <f t="shared" si="70"/>
        <v>0</v>
      </c>
      <c r="AJ112" s="83">
        <f t="shared" si="70"/>
        <v>0</v>
      </c>
      <c r="AK112" s="58">
        <f t="shared" si="70"/>
        <v>0</v>
      </c>
      <c r="AL112" s="82">
        <f t="shared" si="47"/>
        <v>0</v>
      </c>
      <c r="AM112" s="58">
        <f t="shared" si="48"/>
        <v>0</v>
      </c>
      <c r="AN112" s="74"/>
      <c r="AO112" s="84"/>
      <c r="AP112" s="74"/>
      <c r="AQ112" s="85"/>
      <c r="AR112" s="74"/>
      <c r="AS112" s="74"/>
      <c r="AT112" s="74"/>
      <c r="AU112" s="55" t="str">
        <f t="shared" si="58"/>
        <v/>
      </c>
      <c r="AV112" s="55" t="str">
        <f t="shared" ca="1" si="59"/>
        <v/>
      </c>
      <c r="AW112" s="55" t="str">
        <f t="shared" si="49"/>
        <v/>
      </c>
      <c r="AX112" s="55" t="str">
        <f t="shared" ca="1" si="50"/>
        <v/>
      </c>
      <c r="AY112" s="86"/>
      <c r="AZ112" s="86"/>
      <c r="BA112" s="55" t="str">
        <f t="shared" si="60"/>
        <v/>
      </c>
      <c r="BB112" s="86"/>
      <c r="BC112" s="86"/>
      <c r="BD112" s="55" t="str">
        <f t="shared" si="61"/>
        <v/>
      </c>
      <c r="BE112" s="74"/>
      <c r="BR112" s="3"/>
      <c r="BS112" s="118"/>
      <c r="BT112" s="118"/>
      <c r="BU112" s="118"/>
      <c r="BV112" s="118"/>
      <c r="BW112" s="118"/>
      <c r="BX112" s="118"/>
      <c r="BZ112" s="118"/>
      <c r="CB112" s="118"/>
      <c r="CC112" s="118"/>
      <c r="CD112" s="118"/>
    </row>
    <row r="113" spans="1:82" ht="17.399999999999999" customHeight="1">
      <c r="A113" s="87">
        <f t="shared" si="62"/>
        <v>15.5</v>
      </c>
      <c r="B113" s="111">
        <f t="shared" si="40"/>
        <v>103</v>
      </c>
      <c r="C113" s="60"/>
      <c r="D113" s="74"/>
      <c r="E113" s="75"/>
      <c r="F113" s="74"/>
      <c r="G113" s="54">
        <f t="shared" si="71"/>
        <v>0</v>
      </c>
      <c r="H113" s="55">
        <f t="shared" si="71"/>
        <v>0</v>
      </c>
      <c r="I113" s="76">
        <f t="shared" si="52"/>
        <v>0</v>
      </c>
      <c r="J113" s="58">
        <f t="shared" si="53"/>
        <v>0</v>
      </c>
      <c r="K113" s="58">
        <f t="shared" si="54"/>
        <v>0</v>
      </c>
      <c r="L113" s="58">
        <f t="shared" si="55"/>
        <v>0</v>
      </c>
      <c r="M113" s="58" t="str">
        <f t="shared" ca="1" si="56"/>
        <v/>
      </c>
      <c r="N113" s="58" t="str">
        <f t="shared" ca="1" si="56"/>
        <v/>
      </c>
      <c r="O113" s="58">
        <f t="shared" si="57"/>
        <v>5.0000000000000001E-4</v>
      </c>
      <c r="P113" s="77"/>
      <c r="Q113" s="60"/>
      <c r="R113" s="77"/>
      <c r="S113" s="78">
        <f t="shared" si="41"/>
        <v>0</v>
      </c>
      <c r="T113" s="55">
        <f t="shared" si="41"/>
        <v>0</v>
      </c>
      <c r="U113" s="79">
        <f t="shared" si="63"/>
        <v>0</v>
      </c>
      <c r="V113" s="63">
        <f t="shared" si="64"/>
        <v>0</v>
      </c>
      <c r="W113" s="64">
        <f t="shared" si="72"/>
        <v>80</v>
      </c>
      <c r="X113" s="80">
        <f t="shared" si="72"/>
        <v>67</v>
      </c>
      <c r="Y113" s="75"/>
      <c r="Z113" s="60"/>
      <c r="AA113" s="112"/>
      <c r="AB113" s="112"/>
      <c r="AC113" s="112"/>
      <c r="AD113" s="75"/>
      <c r="AE113" s="81">
        <f t="shared" si="43"/>
        <v>0</v>
      </c>
      <c r="AF113" s="55">
        <f t="shared" si="44"/>
        <v>0</v>
      </c>
      <c r="AG113" s="76">
        <f t="shared" si="45"/>
        <v>0</v>
      </c>
      <c r="AH113" s="82">
        <f t="shared" si="70"/>
        <v>0</v>
      </c>
      <c r="AI113" s="83">
        <f t="shared" si="70"/>
        <v>0</v>
      </c>
      <c r="AJ113" s="83">
        <f t="shared" si="70"/>
        <v>0</v>
      </c>
      <c r="AK113" s="58">
        <f t="shared" si="70"/>
        <v>0</v>
      </c>
      <c r="AL113" s="82">
        <f t="shared" si="47"/>
        <v>0</v>
      </c>
      <c r="AM113" s="58">
        <f t="shared" si="48"/>
        <v>0</v>
      </c>
      <c r="AN113" s="74"/>
      <c r="AO113" s="84"/>
      <c r="AP113" s="74"/>
      <c r="AQ113" s="85"/>
      <c r="AR113" s="74"/>
      <c r="AS113" s="74"/>
      <c r="AT113" s="74"/>
      <c r="AU113" s="55" t="str">
        <f t="shared" si="58"/>
        <v/>
      </c>
      <c r="AV113" s="55" t="str">
        <f t="shared" ca="1" si="59"/>
        <v/>
      </c>
      <c r="AW113" s="55" t="str">
        <f t="shared" si="49"/>
        <v/>
      </c>
      <c r="AX113" s="55" t="str">
        <f t="shared" ca="1" si="50"/>
        <v/>
      </c>
      <c r="AY113" s="86"/>
      <c r="AZ113" s="86"/>
      <c r="BA113" s="55" t="str">
        <f t="shared" si="60"/>
        <v/>
      </c>
      <c r="BB113" s="86"/>
      <c r="BC113" s="86"/>
      <c r="BD113" s="55" t="str">
        <f t="shared" si="61"/>
        <v/>
      </c>
      <c r="BE113" s="74"/>
      <c r="BR113" s="3"/>
      <c r="BS113" s="118"/>
      <c r="BT113" s="118"/>
      <c r="BU113" s="118"/>
      <c r="BV113" s="118"/>
      <c r="BW113" s="118"/>
      <c r="BX113" s="118"/>
      <c r="BZ113" s="118"/>
      <c r="CB113" s="118"/>
      <c r="CC113" s="118"/>
      <c r="CD113" s="118"/>
    </row>
    <row r="114" spans="1:82" ht="17.399999999999999" customHeight="1">
      <c r="A114" s="72">
        <f t="shared" si="62"/>
        <v>15.600000000000001</v>
      </c>
      <c r="B114" s="111">
        <f t="shared" si="40"/>
        <v>104</v>
      </c>
      <c r="C114" s="60"/>
      <c r="D114" s="74"/>
      <c r="E114" s="75"/>
      <c r="F114" s="74"/>
      <c r="G114" s="54">
        <f t="shared" si="71"/>
        <v>0</v>
      </c>
      <c r="H114" s="55">
        <f t="shared" si="71"/>
        <v>0</v>
      </c>
      <c r="I114" s="76">
        <f t="shared" si="52"/>
        <v>0</v>
      </c>
      <c r="J114" s="58">
        <f t="shared" si="53"/>
        <v>0</v>
      </c>
      <c r="K114" s="58">
        <f t="shared" si="54"/>
        <v>0</v>
      </c>
      <c r="L114" s="58">
        <f t="shared" si="55"/>
        <v>0</v>
      </c>
      <c r="M114" s="58" t="str">
        <f t="shared" ca="1" si="56"/>
        <v/>
      </c>
      <c r="N114" s="58" t="str">
        <f t="shared" ca="1" si="56"/>
        <v/>
      </c>
      <c r="O114" s="58">
        <f t="shared" si="57"/>
        <v>5.0000000000000001E-4</v>
      </c>
      <c r="P114" s="77"/>
      <c r="Q114" s="60"/>
      <c r="R114" s="77"/>
      <c r="S114" s="78">
        <f t="shared" si="41"/>
        <v>0</v>
      </c>
      <c r="T114" s="55">
        <f t="shared" si="41"/>
        <v>0</v>
      </c>
      <c r="U114" s="79">
        <f t="shared" si="63"/>
        <v>0</v>
      </c>
      <c r="V114" s="63">
        <f t="shared" si="64"/>
        <v>0</v>
      </c>
      <c r="W114" s="64">
        <f t="shared" si="72"/>
        <v>80</v>
      </c>
      <c r="X114" s="80">
        <f t="shared" si="72"/>
        <v>67</v>
      </c>
      <c r="Y114" s="75"/>
      <c r="Z114" s="60"/>
      <c r="AA114" s="112"/>
      <c r="AB114" s="112"/>
      <c r="AC114" s="112"/>
      <c r="AD114" s="75"/>
      <c r="AE114" s="81">
        <f t="shared" si="43"/>
        <v>0</v>
      </c>
      <c r="AF114" s="55">
        <f t="shared" si="44"/>
        <v>0</v>
      </c>
      <c r="AG114" s="76">
        <f t="shared" si="45"/>
        <v>0</v>
      </c>
      <c r="AH114" s="82">
        <f t="shared" si="70"/>
        <v>0</v>
      </c>
      <c r="AI114" s="83">
        <f t="shared" si="70"/>
        <v>0</v>
      </c>
      <c r="AJ114" s="83">
        <f t="shared" si="70"/>
        <v>0</v>
      </c>
      <c r="AK114" s="58">
        <f t="shared" si="70"/>
        <v>0</v>
      </c>
      <c r="AL114" s="82">
        <f t="shared" si="47"/>
        <v>0</v>
      </c>
      <c r="AM114" s="58">
        <f t="shared" si="48"/>
        <v>0</v>
      </c>
      <c r="AN114" s="74"/>
      <c r="AO114" s="84"/>
      <c r="AP114" s="74"/>
      <c r="AQ114" s="85"/>
      <c r="AR114" s="74"/>
      <c r="AS114" s="74"/>
      <c r="AT114" s="74"/>
      <c r="AU114" s="55" t="str">
        <f t="shared" si="58"/>
        <v/>
      </c>
      <c r="AV114" s="55" t="str">
        <f t="shared" ca="1" si="59"/>
        <v/>
      </c>
      <c r="AW114" s="55" t="str">
        <f t="shared" si="49"/>
        <v/>
      </c>
      <c r="AX114" s="55" t="str">
        <f t="shared" ca="1" si="50"/>
        <v/>
      </c>
      <c r="AY114" s="86"/>
      <c r="AZ114" s="86"/>
      <c r="BA114" s="55" t="str">
        <f t="shared" si="60"/>
        <v/>
      </c>
      <c r="BB114" s="86"/>
      <c r="BC114" s="86"/>
      <c r="BD114" s="55" t="str">
        <f t="shared" si="61"/>
        <v/>
      </c>
      <c r="BE114" s="74"/>
      <c r="BR114" s="3"/>
      <c r="BS114" s="118"/>
      <c r="BT114" s="118"/>
      <c r="BU114" s="118"/>
      <c r="BV114" s="118"/>
      <c r="BW114" s="118"/>
      <c r="BX114" s="118"/>
      <c r="BZ114" s="118"/>
      <c r="CB114" s="118"/>
      <c r="CC114" s="118"/>
      <c r="CD114" s="118"/>
    </row>
    <row r="115" spans="1:82" ht="17.399999999999999" customHeight="1" thickBot="1">
      <c r="A115" s="87">
        <f t="shared" si="62"/>
        <v>15.700000000000001</v>
      </c>
      <c r="B115" s="113">
        <f t="shared" si="40"/>
        <v>105</v>
      </c>
      <c r="C115" s="89"/>
      <c r="D115" s="90"/>
      <c r="E115" s="91"/>
      <c r="F115" s="90"/>
      <c r="G115" s="92">
        <f t="shared" si="71"/>
        <v>0</v>
      </c>
      <c r="H115" s="93">
        <f t="shared" si="71"/>
        <v>0</v>
      </c>
      <c r="I115" s="94">
        <f t="shared" si="52"/>
        <v>0</v>
      </c>
      <c r="J115" s="95">
        <f t="shared" si="53"/>
        <v>0</v>
      </c>
      <c r="K115" s="95">
        <f t="shared" si="54"/>
        <v>0</v>
      </c>
      <c r="L115" s="95">
        <f t="shared" si="55"/>
        <v>0</v>
      </c>
      <c r="M115" s="95" t="str">
        <f t="shared" ca="1" si="56"/>
        <v/>
      </c>
      <c r="N115" s="95" t="str">
        <f t="shared" ca="1" si="56"/>
        <v/>
      </c>
      <c r="O115" s="95">
        <f t="shared" si="57"/>
        <v>5.0000000000000001E-4</v>
      </c>
      <c r="P115" s="96"/>
      <c r="Q115" s="89"/>
      <c r="R115" s="96"/>
      <c r="S115" s="78">
        <f t="shared" si="41"/>
        <v>0</v>
      </c>
      <c r="T115" s="55">
        <f t="shared" si="41"/>
        <v>0</v>
      </c>
      <c r="U115" s="97">
        <f t="shared" si="63"/>
        <v>0</v>
      </c>
      <c r="V115" s="98">
        <f t="shared" si="64"/>
        <v>0</v>
      </c>
      <c r="W115" s="99">
        <f t="shared" si="72"/>
        <v>80</v>
      </c>
      <c r="X115" s="100">
        <f t="shared" si="72"/>
        <v>67</v>
      </c>
      <c r="Y115" s="91"/>
      <c r="Z115" s="89"/>
      <c r="AA115" s="112"/>
      <c r="AB115" s="112"/>
      <c r="AC115" s="112"/>
      <c r="AD115" s="75"/>
      <c r="AE115" s="101">
        <f t="shared" si="43"/>
        <v>0</v>
      </c>
      <c r="AF115" s="93">
        <f t="shared" si="44"/>
        <v>0</v>
      </c>
      <c r="AG115" s="94">
        <f t="shared" si="45"/>
        <v>0</v>
      </c>
      <c r="AH115" s="102">
        <f t="shared" si="70"/>
        <v>0</v>
      </c>
      <c r="AI115" s="103">
        <f t="shared" si="70"/>
        <v>0</v>
      </c>
      <c r="AJ115" s="103">
        <f t="shared" si="70"/>
        <v>0</v>
      </c>
      <c r="AK115" s="95">
        <f t="shared" si="70"/>
        <v>0</v>
      </c>
      <c r="AL115" s="102">
        <f t="shared" si="47"/>
        <v>0</v>
      </c>
      <c r="AM115" s="95">
        <f t="shared" si="48"/>
        <v>0</v>
      </c>
      <c r="AN115" s="90"/>
      <c r="AO115" s="104"/>
      <c r="AP115" s="90"/>
      <c r="AQ115" s="105"/>
      <c r="AR115" s="90"/>
      <c r="AS115" s="90"/>
      <c r="AT115" s="90"/>
      <c r="AU115" s="93" t="str">
        <f t="shared" si="58"/>
        <v/>
      </c>
      <c r="AV115" s="93" t="str">
        <f t="shared" ca="1" si="59"/>
        <v/>
      </c>
      <c r="AW115" s="93" t="str">
        <f t="shared" si="49"/>
        <v/>
      </c>
      <c r="AX115" s="93" t="str">
        <f t="shared" ca="1" si="50"/>
        <v/>
      </c>
      <c r="AY115" s="106"/>
      <c r="AZ115" s="106"/>
      <c r="BA115" s="93" t="str">
        <f t="shared" si="60"/>
        <v/>
      </c>
      <c r="BB115" s="106"/>
      <c r="BC115" s="106"/>
      <c r="BD115" s="93" t="str">
        <f t="shared" si="61"/>
        <v/>
      </c>
      <c r="BE115" s="90"/>
      <c r="BR115" s="3"/>
      <c r="BS115" s="118"/>
      <c r="BT115" s="118"/>
      <c r="BU115" s="118"/>
      <c r="BV115" s="118"/>
      <c r="BW115" s="118"/>
      <c r="BX115" s="118"/>
      <c r="BZ115" s="118"/>
      <c r="CB115" s="118"/>
      <c r="CC115" s="118"/>
      <c r="CD115" s="118"/>
    </row>
    <row r="116" spans="1:82" ht="17.399999999999999" customHeight="1" thickTop="1">
      <c r="A116" s="107">
        <f>A109+1</f>
        <v>16.100000000000001</v>
      </c>
      <c r="B116" s="108">
        <f>B115+1</f>
        <v>106</v>
      </c>
      <c r="C116" s="51"/>
      <c r="D116" s="52"/>
      <c r="E116" s="53"/>
      <c r="F116" s="52"/>
      <c r="G116" s="54">
        <f t="shared" si="71"/>
        <v>0</v>
      </c>
      <c r="H116" s="55">
        <f t="shared" si="71"/>
        <v>0</v>
      </c>
      <c r="I116" s="56">
        <f t="shared" si="52"/>
        <v>0</v>
      </c>
      <c r="J116" s="57">
        <f t="shared" si="53"/>
        <v>0</v>
      </c>
      <c r="K116" s="57">
        <f t="shared" si="54"/>
        <v>0</v>
      </c>
      <c r="L116" s="57">
        <f t="shared" si="55"/>
        <v>0</v>
      </c>
      <c r="M116" s="58" t="str">
        <f t="shared" ca="1" si="56"/>
        <v/>
      </c>
      <c r="N116" s="58" t="str">
        <f t="shared" ca="1" si="56"/>
        <v/>
      </c>
      <c r="O116" s="58">
        <f t="shared" si="57"/>
        <v>5.0000000000000001E-4</v>
      </c>
      <c r="P116" s="77"/>
      <c r="Q116" s="60"/>
      <c r="R116" s="77"/>
      <c r="S116" s="109">
        <f t="shared" si="41"/>
        <v>0</v>
      </c>
      <c r="T116" s="61">
        <f t="shared" si="41"/>
        <v>0</v>
      </c>
      <c r="U116" s="62">
        <f t="shared" si="63"/>
        <v>0</v>
      </c>
      <c r="V116" s="63">
        <f t="shared" si="64"/>
        <v>0</v>
      </c>
      <c r="W116" s="64">
        <v>83</v>
      </c>
      <c r="X116" s="80">
        <v>71</v>
      </c>
      <c r="Y116" s="53"/>
      <c r="Z116" s="51"/>
      <c r="AA116" s="110"/>
      <c r="AB116" s="110"/>
      <c r="AC116" s="110"/>
      <c r="AD116" s="53"/>
      <c r="AE116" s="66">
        <f t="shared" si="43"/>
        <v>0</v>
      </c>
      <c r="AF116" s="61">
        <f t="shared" si="44"/>
        <v>0</v>
      </c>
      <c r="AG116" s="56">
        <f t="shared" si="45"/>
        <v>0</v>
      </c>
      <c r="AH116" s="67">
        <f t="shared" si="70"/>
        <v>0</v>
      </c>
      <c r="AI116" s="68">
        <f t="shared" si="70"/>
        <v>0</v>
      </c>
      <c r="AJ116" s="68">
        <f t="shared" si="70"/>
        <v>0</v>
      </c>
      <c r="AK116" s="57">
        <f t="shared" si="70"/>
        <v>0</v>
      </c>
      <c r="AL116" s="67">
        <f t="shared" si="47"/>
        <v>0</v>
      </c>
      <c r="AM116" s="57">
        <f t="shared" si="48"/>
        <v>0</v>
      </c>
      <c r="AN116" s="52"/>
      <c r="AO116" s="69"/>
      <c r="AP116" s="52"/>
      <c r="AQ116" s="70"/>
      <c r="AR116" s="52"/>
      <c r="AS116" s="52"/>
      <c r="AT116" s="52"/>
      <c r="AU116" s="61" t="str">
        <f t="shared" si="58"/>
        <v/>
      </c>
      <c r="AV116" s="61" t="str">
        <f t="shared" ca="1" si="59"/>
        <v/>
      </c>
      <c r="AW116" s="61" t="str">
        <f t="shared" si="49"/>
        <v/>
      </c>
      <c r="AX116" s="61" t="str">
        <f t="shared" ca="1" si="50"/>
        <v/>
      </c>
      <c r="AY116" s="71"/>
      <c r="AZ116" s="71"/>
      <c r="BA116" s="61" t="str">
        <f t="shared" si="60"/>
        <v/>
      </c>
      <c r="BB116" s="71"/>
      <c r="BC116" s="71"/>
      <c r="BD116" s="61" t="str">
        <f t="shared" si="61"/>
        <v/>
      </c>
      <c r="BE116" s="52"/>
      <c r="BR116" s="3"/>
      <c r="BS116" s="118"/>
      <c r="BT116" s="118"/>
      <c r="BU116" s="118"/>
      <c r="BV116" s="118"/>
      <c r="BW116" s="118"/>
      <c r="BX116" s="118"/>
      <c r="BZ116" s="118"/>
      <c r="CB116" s="118"/>
      <c r="CC116" s="118"/>
      <c r="CD116" s="118"/>
    </row>
    <row r="117" spans="1:82" ht="17.399999999999999" customHeight="1">
      <c r="A117" s="87">
        <f t="shared" si="62"/>
        <v>16.2</v>
      </c>
      <c r="B117" s="111">
        <f t="shared" si="40"/>
        <v>107</v>
      </c>
      <c r="C117" s="60"/>
      <c r="D117" s="74"/>
      <c r="E117" s="75"/>
      <c r="F117" s="74"/>
      <c r="G117" s="54">
        <f t="shared" si="71"/>
        <v>0</v>
      </c>
      <c r="H117" s="55">
        <f t="shared" si="71"/>
        <v>0</v>
      </c>
      <c r="I117" s="76">
        <f t="shared" si="52"/>
        <v>0</v>
      </c>
      <c r="J117" s="58">
        <f t="shared" si="53"/>
        <v>0</v>
      </c>
      <c r="K117" s="58">
        <f t="shared" si="54"/>
        <v>0</v>
      </c>
      <c r="L117" s="58">
        <f t="shared" si="55"/>
        <v>0</v>
      </c>
      <c r="M117" s="58" t="str">
        <f t="shared" ca="1" si="56"/>
        <v/>
      </c>
      <c r="N117" s="58" t="str">
        <f t="shared" ca="1" si="56"/>
        <v/>
      </c>
      <c r="O117" s="58">
        <f t="shared" si="57"/>
        <v>5.0000000000000001E-4</v>
      </c>
      <c r="P117" s="77"/>
      <c r="Q117" s="60"/>
      <c r="R117" s="77"/>
      <c r="S117" s="78">
        <f t="shared" si="41"/>
        <v>0</v>
      </c>
      <c r="T117" s="55">
        <f t="shared" si="41"/>
        <v>0</v>
      </c>
      <c r="U117" s="79">
        <f t="shared" si="63"/>
        <v>0</v>
      </c>
      <c r="V117" s="63">
        <f t="shared" si="64"/>
        <v>0</v>
      </c>
      <c r="W117" s="64">
        <f t="shared" ref="W117:X122" si="73">W116</f>
        <v>83</v>
      </c>
      <c r="X117" s="80">
        <f t="shared" si="73"/>
        <v>71</v>
      </c>
      <c r="Y117" s="75"/>
      <c r="Z117" s="60"/>
      <c r="AA117" s="112"/>
      <c r="AB117" s="112"/>
      <c r="AC117" s="112"/>
      <c r="AD117" s="75"/>
      <c r="AE117" s="81">
        <f t="shared" si="43"/>
        <v>0</v>
      </c>
      <c r="AF117" s="55">
        <f t="shared" si="44"/>
        <v>0</v>
      </c>
      <c r="AG117" s="76">
        <f t="shared" si="45"/>
        <v>0</v>
      </c>
      <c r="AH117" s="82">
        <f t="shared" si="70"/>
        <v>0</v>
      </c>
      <c r="AI117" s="83">
        <f t="shared" si="70"/>
        <v>0</v>
      </c>
      <c r="AJ117" s="83">
        <f t="shared" si="70"/>
        <v>0</v>
      </c>
      <c r="AK117" s="58">
        <f t="shared" si="70"/>
        <v>0</v>
      </c>
      <c r="AL117" s="82">
        <f t="shared" si="47"/>
        <v>0</v>
      </c>
      <c r="AM117" s="58">
        <f t="shared" si="48"/>
        <v>0</v>
      </c>
      <c r="AN117" s="74"/>
      <c r="AO117" s="84"/>
      <c r="AP117" s="74"/>
      <c r="AQ117" s="85"/>
      <c r="AR117" s="74"/>
      <c r="AS117" s="74"/>
      <c r="AT117" s="74"/>
      <c r="AU117" s="55" t="str">
        <f t="shared" si="58"/>
        <v/>
      </c>
      <c r="AV117" s="55" t="str">
        <f t="shared" ca="1" si="59"/>
        <v/>
      </c>
      <c r="AW117" s="55" t="str">
        <f t="shared" si="49"/>
        <v/>
      </c>
      <c r="AX117" s="55" t="str">
        <f t="shared" ca="1" si="50"/>
        <v/>
      </c>
      <c r="AY117" s="86"/>
      <c r="AZ117" s="86"/>
      <c r="BA117" s="55" t="str">
        <f t="shared" si="60"/>
        <v/>
      </c>
      <c r="BB117" s="86"/>
      <c r="BC117" s="86"/>
      <c r="BD117" s="55" t="str">
        <f t="shared" si="61"/>
        <v/>
      </c>
      <c r="BE117" s="74"/>
      <c r="BR117" s="3"/>
      <c r="BS117" s="118"/>
      <c r="BT117" s="118"/>
      <c r="BU117" s="118"/>
      <c r="BV117" s="118"/>
      <c r="BW117" s="118"/>
      <c r="BX117" s="118"/>
      <c r="BZ117" s="118"/>
      <c r="CB117" s="118"/>
      <c r="CC117" s="118"/>
      <c r="CD117" s="118"/>
    </row>
    <row r="118" spans="1:82" ht="17.399999999999999" customHeight="1">
      <c r="A118" s="72">
        <f t="shared" si="62"/>
        <v>16.3</v>
      </c>
      <c r="B118" s="111">
        <f t="shared" si="40"/>
        <v>108</v>
      </c>
      <c r="C118" s="60"/>
      <c r="D118" s="74"/>
      <c r="E118" s="75"/>
      <c r="F118" s="74"/>
      <c r="G118" s="54">
        <f t="shared" si="71"/>
        <v>0</v>
      </c>
      <c r="H118" s="55">
        <f t="shared" si="71"/>
        <v>0</v>
      </c>
      <c r="I118" s="76">
        <f t="shared" si="52"/>
        <v>0</v>
      </c>
      <c r="J118" s="58">
        <f t="shared" si="53"/>
        <v>0</v>
      </c>
      <c r="K118" s="58">
        <f t="shared" si="54"/>
        <v>0</v>
      </c>
      <c r="L118" s="58">
        <f t="shared" si="55"/>
        <v>0</v>
      </c>
      <c r="M118" s="58" t="str">
        <f t="shared" ca="1" si="56"/>
        <v/>
      </c>
      <c r="N118" s="58" t="str">
        <f t="shared" ca="1" si="56"/>
        <v/>
      </c>
      <c r="O118" s="58">
        <f t="shared" si="57"/>
        <v>5.0000000000000001E-4</v>
      </c>
      <c r="P118" s="77"/>
      <c r="Q118" s="60"/>
      <c r="R118" s="77"/>
      <c r="S118" s="78">
        <f t="shared" si="41"/>
        <v>0</v>
      </c>
      <c r="T118" s="55">
        <f t="shared" si="41"/>
        <v>0</v>
      </c>
      <c r="U118" s="79">
        <f t="shared" si="63"/>
        <v>0</v>
      </c>
      <c r="V118" s="63">
        <f t="shared" si="64"/>
        <v>0</v>
      </c>
      <c r="W118" s="64">
        <f t="shared" si="73"/>
        <v>83</v>
      </c>
      <c r="X118" s="80">
        <f t="shared" si="73"/>
        <v>71</v>
      </c>
      <c r="Y118" s="75"/>
      <c r="Z118" s="60"/>
      <c r="AA118" s="112"/>
      <c r="AB118" s="112"/>
      <c r="AC118" s="112"/>
      <c r="AD118" s="75"/>
      <c r="AE118" s="81">
        <f t="shared" si="43"/>
        <v>0</v>
      </c>
      <c r="AF118" s="55">
        <f t="shared" si="44"/>
        <v>0</v>
      </c>
      <c r="AG118" s="76">
        <f t="shared" si="45"/>
        <v>0</v>
      </c>
      <c r="AH118" s="82">
        <f t="shared" si="70"/>
        <v>0</v>
      </c>
      <c r="AI118" s="83">
        <f t="shared" si="70"/>
        <v>0</v>
      </c>
      <c r="AJ118" s="83">
        <f t="shared" si="70"/>
        <v>0</v>
      </c>
      <c r="AK118" s="58">
        <f t="shared" si="70"/>
        <v>0</v>
      </c>
      <c r="AL118" s="82">
        <f t="shared" si="47"/>
        <v>0</v>
      </c>
      <c r="AM118" s="58">
        <f t="shared" si="48"/>
        <v>0</v>
      </c>
      <c r="AN118" s="74"/>
      <c r="AO118" s="84"/>
      <c r="AP118" s="74"/>
      <c r="AQ118" s="85"/>
      <c r="AR118" s="74"/>
      <c r="AS118" s="74"/>
      <c r="AT118" s="74"/>
      <c r="AU118" s="55" t="str">
        <f t="shared" si="58"/>
        <v/>
      </c>
      <c r="AV118" s="55" t="str">
        <f t="shared" ca="1" si="59"/>
        <v/>
      </c>
      <c r="AW118" s="55" t="str">
        <f t="shared" si="49"/>
        <v/>
      </c>
      <c r="AX118" s="55" t="str">
        <f t="shared" ca="1" si="50"/>
        <v/>
      </c>
      <c r="AY118" s="86"/>
      <c r="AZ118" s="86"/>
      <c r="BA118" s="55" t="str">
        <f t="shared" si="60"/>
        <v/>
      </c>
      <c r="BB118" s="86"/>
      <c r="BC118" s="86"/>
      <c r="BD118" s="55" t="str">
        <f t="shared" si="61"/>
        <v/>
      </c>
      <c r="BE118" s="74"/>
      <c r="BR118" s="3"/>
      <c r="BS118" s="118"/>
      <c r="BT118" s="118"/>
      <c r="BU118" s="118"/>
      <c r="BV118" s="118"/>
      <c r="BW118" s="118"/>
      <c r="BX118" s="118"/>
      <c r="BZ118" s="118"/>
      <c r="CB118" s="118"/>
      <c r="CC118" s="118"/>
      <c r="CD118" s="118"/>
    </row>
    <row r="119" spans="1:82" ht="17.399999999999999" customHeight="1">
      <c r="A119" s="87">
        <f t="shared" si="62"/>
        <v>16.399999999999999</v>
      </c>
      <c r="B119" s="111">
        <f t="shared" si="40"/>
        <v>109</v>
      </c>
      <c r="C119" s="60"/>
      <c r="D119" s="74"/>
      <c r="E119" s="75"/>
      <c r="F119" s="74"/>
      <c r="G119" s="54">
        <f t="shared" si="71"/>
        <v>0</v>
      </c>
      <c r="H119" s="55">
        <f t="shared" si="71"/>
        <v>0</v>
      </c>
      <c r="I119" s="76">
        <f t="shared" si="52"/>
        <v>0</v>
      </c>
      <c r="J119" s="58">
        <f t="shared" si="53"/>
        <v>0</v>
      </c>
      <c r="K119" s="58">
        <f t="shared" si="54"/>
        <v>0</v>
      </c>
      <c r="L119" s="58">
        <f t="shared" si="55"/>
        <v>0</v>
      </c>
      <c r="M119" s="58" t="str">
        <f t="shared" ca="1" si="56"/>
        <v/>
      </c>
      <c r="N119" s="58" t="str">
        <f t="shared" ca="1" si="56"/>
        <v/>
      </c>
      <c r="O119" s="58">
        <f t="shared" si="57"/>
        <v>5.0000000000000001E-4</v>
      </c>
      <c r="P119" s="77"/>
      <c r="Q119" s="60"/>
      <c r="R119" s="77"/>
      <c r="S119" s="78">
        <f t="shared" si="41"/>
        <v>0</v>
      </c>
      <c r="T119" s="55">
        <f t="shared" si="41"/>
        <v>0</v>
      </c>
      <c r="U119" s="79">
        <f t="shared" si="63"/>
        <v>0</v>
      </c>
      <c r="V119" s="63">
        <f t="shared" si="64"/>
        <v>0</v>
      </c>
      <c r="W119" s="64">
        <f t="shared" si="73"/>
        <v>83</v>
      </c>
      <c r="X119" s="80">
        <f t="shared" si="73"/>
        <v>71</v>
      </c>
      <c r="Y119" s="75"/>
      <c r="Z119" s="60"/>
      <c r="AA119" s="112"/>
      <c r="AB119" s="112"/>
      <c r="AC119" s="112"/>
      <c r="AD119" s="75"/>
      <c r="AE119" s="81">
        <f t="shared" si="43"/>
        <v>0</v>
      </c>
      <c r="AF119" s="55">
        <f t="shared" si="44"/>
        <v>0</v>
      </c>
      <c r="AG119" s="76">
        <f t="shared" si="45"/>
        <v>0</v>
      </c>
      <c r="AH119" s="82">
        <f t="shared" si="70"/>
        <v>0</v>
      </c>
      <c r="AI119" s="83">
        <f t="shared" si="70"/>
        <v>0</v>
      </c>
      <c r="AJ119" s="83">
        <f t="shared" si="70"/>
        <v>0</v>
      </c>
      <c r="AK119" s="58">
        <f t="shared" si="70"/>
        <v>0</v>
      </c>
      <c r="AL119" s="82">
        <f t="shared" si="47"/>
        <v>0</v>
      </c>
      <c r="AM119" s="58">
        <f t="shared" si="48"/>
        <v>0</v>
      </c>
      <c r="AN119" s="74"/>
      <c r="AO119" s="84"/>
      <c r="AP119" s="74"/>
      <c r="AQ119" s="85"/>
      <c r="AR119" s="74"/>
      <c r="AS119" s="74"/>
      <c r="AT119" s="74"/>
      <c r="AU119" s="55" t="str">
        <f t="shared" si="58"/>
        <v/>
      </c>
      <c r="AV119" s="55" t="str">
        <f t="shared" ca="1" si="59"/>
        <v/>
      </c>
      <c r="AW119" s="55" t="str">
        <f t="shared" si="49"/>
        <v/>
      </c>
      <c r="AX119" s="55" t="str">
        <f t="shared" ca="1" si="50"/>
        <v/>
      </c>
      <c r="AY119" s="86"/>
      <c r="AZ119" s="86"/>
      <c r="BA119" s="55" t="str">
        <f t="shared" si="60"/>
        <v/>
      </c>
      <c r="BB119" s="86"/>
      <c r="BC119" s="86"/>
      <c r="BD119" s="55" t="str">
        <f t="shared" si="61"/>
        <v/>
      </c>
      <c r="BE119" s="74"/>
      <c r="BR119" s="3"/>
      <c r="BS119" s="118"/>
      <c r="BT119" s="118"/>
      <c r="BU119" s="118"/>
      <c r="BV119" s="118"/>
      <c r="BW119" s="118"/>
      <c r="BX119" s="118"/>
      <c r="BZ119" s="118"/>
      <c r="CB119" s="118"/>
      <c r="CC119" s="118"/>
      <c r="CD119" s="118"/>
    </row>
    <row r="120" spans="1:82" ht="17.399999999999999" customHeight="1">
      <c r="A120" s="72">
        <f t="shared" si="62"/>
        <v>16.5</v>
      </c>
      <c r="B120" s="111">
        <f t="shared" si="40"/>
        <v>110</v>
      </c>
      <c r="C120" s="60"/>
      <c r="D120" s="74"/>
      <c r="E120" s="75"/>
      <c r="F120" s="74"/>
      <c r="G120" s="54">
        <f t="shared" si="71"/>
        <v>0</v>
      </c>
      <c r="H120" s="55">
        <f t="shared" si="71"/>
        <v>0</v>
      </c>
      <c r="I120" s="76">
        <f t="shared" si="52"/>
        <v>0</v>
      </c>
      <c r="J120" s="58">
        <f t="shared" si="53"/>
        <v>0</v>
      </c>
      <c r="K120" s="58">
        <f t="shared" si="54"/>
        <v>0</v>
      </c>
      <c r="L120" s="58">
        <f t="shared" si="55"/>
        <v>0</v>
      </c>
      <c r="M120" s="58" t="str">
        <f t="shared" ca="1" si="56"/>
        <v/>
      </c>
      <c r="N120" s="58" t="str">
        <f t="shared" ca="1" si="56"/>
        <v/>
      </c>
      <c r="O120" s="58">
        <f t="shared" si="57"/>
        <v>5.0000000000000001E-4</v>
      </c>
      <c r="P120" s="77"/>
      <c r="Q120" s="60"/>
      <c r="R120" s="77"/>
      <c r="S120" s="78">
        <f t="shared" si="41"/>
        <v>0</v>
      </c>
      <c r="T120" s="55">
        <f t="shared" si="41"/>
        <v>0</v>
      </c>
      <c r="U120" s="79">
        <f t="shared" si="63"/>
        <v>0</v>
      </c>
      <c r="V120" s="63">
        <f t="shared" si="64"/>
        <v>0</v>
      </c>
      <c r="W120" s="64">
        <f t="shared" si="73"/>
        <v>83</v>
      </c>
      <c r="X120" s="80">
        <f t="shared" si="73"/>
        <v>71</v>
      </c>
      <c r="Y120" s="75"/>
      <c r="Z120" s="60"/>
      <c r="AA120" s="112"/>
      <c r="AB120" s="112"/>
      <c r="AC120" s="112"/>
      <c r="AD120" s="75"/>
      <c r="AE120" s="81">
        <f t="shared" si="43"/>
        <v>0</v>
      </c>
      <c r="AF120" s="55">
        <f t="shared" si="44"/>
        <v>0</v>
      </c>
      <c r="AG120" s="76">
        <f t="shared" si="45"/>
        <v>0</v>
      </c>
      <c r="AH120" s="82">
        <f t="shared" si="70"/>
        <v>0</v>
      </c>
      <c r="AI120" s="83">
        <f t="shared" si="70"/>
        <v>0</v>
      </c>
      <c r="AJ120" s="83">
        <f t="shared" si="70"/>
        <v>0</v>
      </c>
      <c r="AK120" s="58">
        <f t="shared" si="70"/>
        <v>0</v>
      </c>
      <c r="AL120" s="82">
        <f t="shared" si="47"/>
        <v>0</v>
      </c>
      <c r="AM120" s="58">
        <f t="shared" si="48"/>
        <v>0</v>
      </c>
      <c r="AN120" s="74"/>
      <c r="AO120" s="84"/>
      <c r="AP120" s="74"/>
      <c r="AQ120" s="85"/>
      <c r="AR120" s="74"/>
      <c r="AS120" s="74"/>
      <c r="AT120" s="74"/>
      <c r="AU120" s="55" t="str">
        <f t="shared" si="58"/>
        <v/>
      </c>
      <c r="AV120" s="55" t="str">
        <f t="shared" ca="1" si="59"/>
        <v/>
      </c>
      <c r="AW120" s="55" t="str">
        <f t="shared" si="49"/>
        <v/>
      </c>
      <c r="AX120" s="55" t="str">
        <f t="shared" ca="1" si="50"/>
        <v/>
      </c>
      <c r="AY120" s="86"/>
      <c r="AZ120" s="86"/>
      <c r="BA120" s="55" t="str">
        <f t="shared" si="60"/>
        <v/>
      </c>
      <c r="BB120" s="86"/>
      <c r="BC120" s="86"/>
      <c r="BD120" s="55" t="str">
        <f t="shared" si="61"/>
        <v/>
      </c>
      <c r="BE120" s="74"/>
      <c r="BR120" s="3"/>
      <c r="BS120" s="118"/>
      <c r="BT120" s="118"/>
      <c r="BU120" s="118"/>
      <c r="BV120" s="118"/>
      <c r="BW120" s="118"/>
      <c r="BX120" s="118"/>
      <c r="BZ120" s="118"/>
      <c r="CB120" s="118"/>
      <c r="CC120" s="118"/>
      <c r="CD120" s="118"/>
    </row>
    <row r="121" spans="1:82" ht="17.399999999999999" customHeight="1">
      <c r="A121" s="87">
        <f t="shared" si="62"/>
        <v>16.600000000000001</v>
      </c>
      <c r="B121" s="111">
        <f t="shared" si="40"/>
        <v>111</v>
      </c>
      <c r="C121" s="60"/>
      <c r="D121" s="74"/>
      <c r="E121" s="75"/>
      <c r="F121" s="74"/>
      <c r="G121" s="54">
        <f t="shared" si="71"/>
        <v>0</v>
      </c>
      <c r="H121" s="55">
        <f t="shared" si="71"/>
        <v>0</v>
      </c>
      <c r="I121" s="76">
        <f t="shared" si="52"/>
        <v>0</v>
      </c>
      <c r="J121" s="58">
        <f t="shared" si="53"/>
        <v>0</v>
      </c>
      <c r="K121" s="58">
        <f t="shared" si="54"/>
        <v>0</v>
      </c>
      <c r="L121" s="58">
        <f t="shared" si="55"/>
        <v>0</v>
      </c>
      <c r="M121" s="58" t="str">
        <f t="shared" ca="1" si="56"/>
        <v/>
      </c>
      <c r="N121" s="58" t="str">
        <f t="shared" ca="1" si="56"/>
        <v/>
      </c>
      <c r="O121" s="58">
        <f t="shared" si="57"/>
        <v>5.0000000000000001E-4</v>
      </c>
      <c r="P121" s="77"/>
      <c r="Q121" s="60"/>
      <c r="R121" s="77"/>
      <c r="S121" s="78">
        <f t="shared" si="41"/>
        <v>0</v>
      </c>
      <c r="T121" s="55">
        <f t="shared" si="41"/>
        <v>0</v>
      </c>
      <c r="U121" s="79">
        <f t="shared" si="63"/>
        <v>0</v>
      </c>
      <c r="V121" s="63">
        <f t="shared" si="64"/>
        <v>0</v>
      </c>
      <c r="W121" s="64">
        <f t="shared" si="73"/>
        <v>83</v>
      </c>
      <c r="X121" s="80">
        <f t="shared" si="73"/>
        <v>71</v>
      </c>
      <c r="Y121" s="75"/>
      <c r="Z121" s="60"/>
      <c r="AA121" s="112"/>
      <c r="AB121" s="112"/>
      <c r="AC121" s="112"/>
      <c r="AD121" s="75"/>
      <c r="AE121" s="81">
        <f t="shared" si="43"/>
        <v>0</v>
      </c>
      <c r="AF121" s="55">
        <f t="shared" si="44"/>
        <v>0</v>
      </c>
      <c r="AG121" s="76">
        <f t="shared" si="45"/>
        <v>0</v>
      </c>
      <c r="AH121" s="82">
        <f t="shared" si="70"/>
        <v>0</v>
      </c>
      <c r="AI121" s="83">
        <f t="shared" si="70"/>
        <v>0</v>
      </c>
      <c r="AJ121" s="83">
        <f t="shared" si="70"/>
        <v>0</v>
      </c>
      <c r="AK121" s="58">
        <f t="shared" si="70"/>
        <v>0</v>
      </c>
      <c r="AL121" s="82">
        <f t="shared" si="47"/>
        <v>0</v>
      </c>
      <c r="AM121" s="58">
        <f t="shared" si="48"/>
        <v>0</v>
      </c>
      <c r="AN121" s="74"/>
      <c r="AO121" s="84"/>
      <c r="AP121" s="74"/>
      <c r="AQ121" s="85"/>
      <c r="AR121" s="74"/>
      <c r="AS121" s="74"/>
      <c r="AT121" s="74"/>
      <c r="AU121" s="55" t="str">
        <f t="shared" si="58"/>
        <v/>
      </c>
      <c r="AV121" s="55" t="str">
        <f t="shared" ca="1" si="59"/>
        <v/>
      </c>
      <c r="AW121" s="55" t="str">
        <f t="shared" si="49"/>
        <v/>
      </c>
      <c r="AX121" s="55" t="str">
        <f t="shared" ca="1" si="50"/>
        <v/>
      </c>
      <c r="AY121" s="86"/>
      <c r="AZ121" s="86"/>
      <c r="BA121" s="55" t="str">
        <f t="shared" si="60"/>
        <v/>
      </c>
      <c r="BB121" s="86"/>
      <c r="BC121" s="86"/>
      <c r="BD121" s="55" t="str">
        <f t="shared" si="61"/>
        <v/>
      </c>
      <c r="BE121" s="74"/>
      <c r="BR121" s="3"/>
      <c r="BS121" s="118"/>
      <c r="BT121" s="118"/>
      <c r="BU121" s="118"/>
      <c r="BV121" s="118"/>
      <c r="BW121" s="118"/>
      <c r="BX121" s="118"/>
      <c r="BZ121" s="118"/>
      <c r="CB121" s="118"/>
      <c r="CC121" s="118"/>
      <c r="CD121" s="118"/>
    </row>
    <row r="122" spans="1:82" ht="17.399999999999999" customHeight="1" thickBot="1">
      <c r="A122" s="72">
        <f t="shared" si="62"/>
        <v>16.700000000000003</v>
      </c>
      <c r="B122" s="113">
        <f t="shared" si="40"/>
        <v>112</v>
      </c>
      <c r="C122" s="89"/>
      <c r="D122" s="90"/>
      <c r="E122" s="91"/>
      <c r="F122" s="90"/>
      <c r="G122" s="92">
        <f t="shared" si="71"/>
        <v>0</v>
      </c>
      <c r="H122" s="93">
        <f t="shared" si="71"/>
        <v>0</v>
      </c>
      <c r="I122" s="94">
        <f t="shared" si="52"/>
        <v>0</v>
      </c>
      <c r="J122" s="95">
        <f t="shared" si="53"/>
        <v>0</v>
      </c>
      <c r="K122" s="95">
        <f t="shared" si="54"/>
        <v>0</v>
      </c>
      <c r="L122" s="95">
        <f t="shared" si="55"/>
        <v>0</v>
      </c>
      <c r="M122" s="95" t="str">
        <f t="shared" ca="1" si="56"/>
        <v/>
      </c>
      <c r="N122" s="95" t="str">
        <f t="shared" ca="1" si="56"/>
        <v/>
      </c>
      <c r="O122" s="95">
        <f t="shared" si="57"/>
        <v>5.0000000000000001E-4</v>
      </c>
      <c r="P122" s="96"/>
      <c r="Q122" s="89"/>
      <c r="R122" s="96"/>
      <c r="S122" s="78">
        <f t="shared" si="41"/>
        <v>0</v>
      </c>
      <c r="T122" s="55">
        <f t="shared" si="41"/>
        <v>0</v>
      </c>
      <c r="U122" s="97">
        <f t="shared" si="63"/>
        <v>0</v>
      </c>
      <c r="V122" s="98">
        <f t="shared" si="64"/>
        <v>0</v>
      </c>
      <c r="W122" s="99">
        <f t="shared" si="73"/>
        <v>83</v>
      </c>
      <c r="X122" s="100">
        <f t="shared" si="73"/>
        <v>71</v>
      </c>
      <c r="Y122" s="91"/>
      <c r="Z122" s="89"/>
      <c r="AA122" s="112"/>
      <c r="AB122" s="112"/>
      <c r="AC122" s="112"/>
      <c r="AD122" s="75"/>
      <c r="AE122" s="101">
        <f t="shared" si="43"/>
        <v>0</v>
      </c>
      <c r="AF122" s="93">
        <f t="shared" si="44"/>
        <v>0</v>
      </c>
      <c r="AG122" s="94">
        <f t="shared" si="45"/>
        <v>0</v>
      </c>
      <c r="AH122" s="102">
        <f t="shared" si="70"/>
        <v>0</v>
      </c>
      <c r="AI122" s="103">
        <f t="shared" si="70"/>
        <v>0</v>
      </c>
      <c r="AJ122" s="103">
        <f t="shared" si="70"/>
        <v>0</v>
      </c>
      <c r="AK122" s="95">
        <f t="shared" si="70"/>
        <v>0</v>
      </c>
      <c r="AL122" s="102">
        <f t="shared" si="47"/>
        <v>0</v>
      </c>
      <c r="AM122" s="95">
        <f t="shared" si="48"/>
        <v>0</v>
      </c>
      <c r="AN122" s="90"/>
      <c r="AO122" s="104"/>
      <c r="AP122" s="90"/>
      <c r="AQ122" s="105"/>
      <c r="AR122" s="90"/>
      <c r="AS122" s="90"/>
      <c r="AT122" s="90"/>
      <c r="AU122" s="93" t="str">
        <f t="shared" si="58"/>
        <v/>
      </c>
      <c r="AV122" s="93" t="str">
        <f t="shared" ca="1" si="59"/>
        <v/>
      </c>
      <c r="AW122" s="93" t="str">
        <f t="shared" si="49"/>
        <v/>
      </c>
      <c r="AX122" s="93" t="str">
        <f t="shared" ca="1" si="50"/>
        <v/>
      </c>
      <c r="AY122" s="106"/>
      <c r="AZ122" s="106"/>
      <c r="BA122" s="93" t="str">
        <f t="shared" si="60"/>
        <v/>
      </c>
      <c r="BB122" s="106"/>
      <c r="BC122" s="106"/>
      <c r="BD122" s="93" t="str">
        <f t="shared" si="61"/>
        <v/>
      </c>
      <c r="BE122" s="90"/>
      <c r="BR122" s="3"/>
      <c r="BS122" s="118"/>
      <c r="BT122" s="118"/>
      <c r="BU122" s="118"/>
      <c r="BV122" s="118"/>
      <c r="BW122" s="118"/>
      <c r="BX122" s="118"/>
      <c r="BZ122" s="118"/>
      <c r="CB122" s="118"/>
      <c r="CC122" s="118"/>
      <c r="CD122" s="118"/>
    </row>
    <row r="123" spans="1:82" ht="17.399999999999999" customHeight="1" thickTop="1">
      <c r="A123" s="49">
        <f>A116+1</f>
        <v>17.100000000000001</v>
      </c>
      <c r="B123" s="108">
        <f>B122+1</f>
        <v>113</v>
      </c>
      <c r="C123" s="51"/>
      <c r="D123" s="52"/>
      <c r="E123" s="53"/>
      <c r="F123" s="52"/>
      <c r="G123" s="54">
        <f t="shared" si="71"/>
        <v>0</v>
      </c>
      <c r="H123" s="55">
        <f t="shared" si="71"/>
        <v>0</v>
      </c>
      <c r="I123" s="56">
        <f t="shared" si="52"/>
        <v>0</v>
      </c>
      <c r="J123" s="57">
        <f t="shared" si="53"/>
        <v>0</v>
      </c>
      <c r="K123" s="57">
        <f t="shared" si="54"/>
        <v>0</v>
      </c>
      <c r="L123" s="57">
        <f t="shared" si="55"/>
        <v>0</v>
      </c>
      <c r="M123" s="58" t="str">
        <f t="shared" ca="1" si="56"/>
        <v/>
      </c>
      <c r="N123" s="58" t="str">
        <f t="shared" ca="1" si="56"/>
        <v/>
      </c>
      <c r="O123" s="58">
        <f t="shared" si="57"/>
        <v>5.0000000000000001E-4</v>
      </c>
      <c r="P123" s="77"/>
      <c r="Q123" s="60"/>
      <c r="R123" s="77"/>
      <c r="S123" s="109">
        <f t="shared" si="41"/>
        <v>0</v>
      </c>
      <c r="T123" s="61">
        <f t="shared" si="41"/>
        <v>0</v>
      </c>
      <c r="U123" s="62">
        <f t="shared" si="63"/>
        <v>0</v>
      </c>
      <c r="V123" s="63">
        <f t="shared" si="64"/>
        <v>0</v>
      </c>
      <c r="W123" s="64">
        <v>87</v>
      </c>
      <c r="X123" s="80">
        <v>75</v>
      </c>
      <c r="Y123" s="53"/>
      <c r="Z123" s="51"/>
      <c r="AA123" s="110"/>
      <c r="AB123" s="110"/>
      <c r="AC123" s="110"/>
      <c r="AD123" s="53"/>
      <c r="AE123" s="66">
        <f t="shared" si="43"/>
        <v>0</v>
      </c>
      <c r="AF123" s="61">
        <f t="shared" si="44"/>
        <v>0</v>
      </c>
      <c r="AG123" s="56">
        <f t="shared" si="45"/>
        <v>0</v>
      </c>
      <c r="AH123" s="67">
        <f t="shared" si="70"/>
        <v>0</v>
      </c>
      <c r="AI123" s="68">
        <f t="shared" si="70"/>
        <v>0</v>
      </c>
      <c r="AJ123" s="68">
        <f t="shared" si="70"/>
        <v>0</v>
      </c>
      <c r="AK123" s="57">
        <f t="shared" si="70"/>
        <v>0</v>
      </c>
      <c r="AL123" s="67">
        <f t="shared" si="47"/>
        <v>0</v>
      </c>
      <c r="AM123" s="57">
        <f t="shared" si="48"/>
        <v>0</v>
      </c>
      <c r="AN123" s="52"/>
      <c r="AO123" s="69"/>
      <c r="AP123" s="52"/>
      <c r="AQ123" s="70"/>
      <c r="AR123" s="52"/>
      <c r="AS123" s="52"/>
      <c r="AT123" s="52"/>
      <c r="AU123" s="61" t="str">
        <f t="shared" si="58"/>
        <v/>
      </c>
      <c r="AV123" s="61" t="str">
        <f t="shared" ca="1" si="59"/>
        <v/>
      </c>
      <c r="AW123" s="61" t="str">
        <f t="shared" si="49"/>
        <v/>
      </c>
      <c r="AX123" s="61" t="str">
        <f t="shared" ca="1" si="50"/>
        <v/>
      </c>
      <c r="AY123" s="71"/>
      <c r="AZ123" s="71"/>
      <c r="BA123" s="61" t="str">
        <f t="shared" si="60"/>
        <v/>
      </c>
      <c r="BB123" s="71"/>
      <c r="BC123" s="71"/>
      <c r="BD123" s="61" t="str">
        <f t="shared" si="61"/>
        <v/>
      </c>
      <c r="BE123" s="52"/>
      <c r="BR123" s="3"/>
      <c r="BS123" s="118"/>
      <c r="BT123" s="118"/>
      <c r="BU123" s="118"/>
      <c r="BV123" s="118"/>
      <c r="BW123" s="118"/>
      <c r="BX123" s="118"/>
      <c r="BZ123" s="118"/>
      <c r="CB123" s="118"/>
      <c r="CC123" s="118"/>
      <c r="CD123" s="118"/>
    </row>
    <row r="124" spans="1:82" ht="17.399999999999999" customHeight="1">
      <c r="A124" s="72">
        <f t="shared" si="62"/>
        <v>17.2</v>
      </c>
      <c r="B124" s="111">
        <f t="shared" si="40"/>
        <v>114</v>
      </c>
      <c r="C124" s="60"/>
      <c r="D124" s="74"/>
      <c r="E124" s="75"/>
      <c r="F124" s="74"/>
      <c r="G124" s="54">
        <f t="shared" ref="G124:H139" si="74">G123-E124-C124</f>
        <v>0</v>
      </c>
      <c r="H124" s="55">
        <f t="shared" si="74"/>
        <v>0</v>
      </c>
      <c r="I124" s="76">
        <f t="shared" si="52"/>
        <v>0</v>
      </c>
      <c r="J124" s="58">
        <f t="shared" si="53"/>
        <v>0</v>
      </c>
      <c r="K124" s="58">
        <f t="shared" si="54"/>
        <v>0</v>
      </c>
      <c r="L124" s="58">
        <f t="shared" si="55"/>
        <v>0</v>
      </c>
      <c r="M124" s="58" t="str">
        <f t="shared" ca="1" si="56"/>
        <v/>
      </c>
      <c r="N124" s="58" t="str">
        <f t="shared" ca="1" si="56"/>
        <v/>
      </c>
      <c r="O124" s="58">
        <f t="shared" si="57"/>
        <v>5.0000000000000001E-4</v>
      </c>
      <c r="P124" s="77"/>
      <c r="Q124" s="60"/>
      <c r="R124" s="77"/>
      <c r="S124" s="78">
        <f t="shared" si="41"/>
        <v>0</v>
      </c>
      <c r="T124" s="55">
        <f t="shared" si="41"/>
        <v>0</v>
      </c>
      <c r="U124" s="79">
        <f t="shared" si="63"/>
        <v>0</v>
      </c>
      <c r="V124" s="63">
        <f t="shared" si="64"/>
        <v>0</v>
      </c>
      <c r="W124" s="64">
        <f t="shared" ref="W124:X129" si="75">W123</f>
        <v>87</v>
      </c>
      <c r="X124" s="80">
        <f t="shared" si="75"/>
        <v>75</v>
      </c>
      <c r="Y124" s="75"/>
      <c r="Z124" s="60"/>
      <c r="AA124" s="112"/>
      <c r="AB124" s="112"/>
      <c r="AC124" s="112"/>
      <c r="AD124" s="75"/>
      <c r="AE124" s="81">
        <f t="shared" si="43"/>
        <v>0</v>
      </c>
      <c r="AF124" s="55">
        <f t="shared" si="44"/>
        <v>0</v>
      </c>
      <c r="AG124" s="76">
        <f t="shared" si="45"/>
        <v>0</v>
      </c>
      <c r="AH124" s="82">
        <f t="shared" si="70"/>
        <v>0</v>
      </c>
      <c r="AI124" s="83">
        <f t="shared" si="70"/>
        <v>0</v>
      </c>
      <c r="AJ124" s="83">
        <f t="shared" si="70"/>
        <v>0</v>
      </c>
      <c r="AK124" s="58">
        <f t="shared" si="70"/>
        <v>0</v>
      </c>
      <c r="AL124" s="82">
        <f t="shared" si="47"/>
        <v>0</v>
      </c>
      <c r="AM124" s="58">
        <f t="shared" si="48"/>
        <v>0</v>
      </c>
      <c r="AN124" s="74"/>
      <c r="AO124" s="84"/>
      <c r="AP124" s="74"/>
      <c r="AQ124" s="85"/>
      <c r="AR124" s="74"/>
      <c r="AS124" s="74"/>
      <c r="AT124" s="74"/>
      <c r="AU124" s="55" t="str">
        <f t="shared" si="58"/>
        <v/>
      </c>
      <c r="AV124" s="55" t="str">
        <f t="shared" ca="1" si="59"/>
        <v/>
      </c>
      <c r="AW124" s="55" t="str">
        <f t="shared" si="49"/>
        <v/>
      </c>
      <c r="AX124" s="55" t="str">
        <f t="shared" ca="1" si="50"/>
        <v/>
      </c>
      <c r="AY124" s="86"/>
      <c r="AZ124" s="86"/>
      <c r="BA124" s="55" t="str">
        <f t="shared" si="60"/>
        <v/>
      </c>
      <c r="BB124" s="86"/>
      <c r="BC124" s="86"/>
      <c r="BD124" s="55" t="str">
        <f t="shared" si="61"/>
        <v/>
      </c>
      <c r="BE124" s="74"/>
      <c r="BR124" s="3"/>
      <c r="BS124" s="118"/>
      <c r="BT124" s="118"/>
      <c r="BU124" s="118"/>
      <c r="BV124" s="118"/>
      <c r="BW124" s="118"/>
      <c r="BX124" s="118"/>
      <c r="BZ124" s="118"/>
      <c r="CB124" s="118"/>
      <c r="CC124" s="118"/>
      <c r="CD124" s="118"/>
    </row>
    <row r="125" spans="1:82" ht="17.399999999999999" customHeight="1">
      <c r="A125" s="87">
        <f t="shared" si="62"/>
        <v>17.3</v>
      </c>
      <c r="B125" s="111">
        <f t="shared" si="40"/>
        <v>115</v>
      </c>
      <c r="C125" s="60"/>
      <c r="D125" s="74"/>
      <c r="E125" s="75"/>
      <c r="F125" s="74"/>
      <c r="G125" s="54">
        <f t="shared" si="74"/>
        <v>0</v>
      </c>
      <c r="H125" s="55">
        <f t="shared" si="74"/>
        <v>0</v>
      </c>
      <c r="I125" s="76">
        <f t="shared" si="52"/>
        <v>0</v>
      </c>
      <c r="J125" s="58">
        <f t="shared" si="53"/>
        <v>0</v>
      </c>
      <c r="K125" s="58">
        <f t="shared" si="54"/>
        <v>0</v>
      </c>
      <c r="L125" s="58">
        <f t="shared" si="55"/>
        <v>0</v>
      </c>
      <c r="M125" s="58" t="str">
        <f t="shared" ca="1" si="56"/>
        <v/>
      </c>
      <c r="N125" s="58" t="str">
        <f t="shared" ca="1" si="56"/>
        <v/>
      </c>
      <c r="O125" s="58">
        <f t="shared" si="57"/>
        <v>5.0000000000000001E-4</v>
      </c>
      <c r="P125" s="77"/>
      <c r="Q125" s="60"/>
      <c r="R125" s="77"/>
      <c r="S125" s="78">
        <f t="shared" si="41"/>
        <v>0</v>
      </c>
      <c r="T125" s="55">
        <f t="shared" si="41"/>
        <v>0</v>
      </c>
      <c r="U125" s="79">
        <f t="shared" si="63"/>
        <v>0</v>
      </c>
      <c r="V125" s="63">
        <f t="shared" si="64"/>
        <v>0</v>
      </c>
      <c r="W125" s="64">
        <f t="shared" si="75"/>
        <v>87</v>
      </c>
      <c r="X125" s="80">
        <f t="shared" si="75"/>
        <v>75</v>
      </c>
      <c r="Y125" s="75"/>
      <c r="Z125" s="60"/>
      <c r="AA125" s="112"/>
      <c r="AB125" s="112"/>
      <c r="AC125" s="112"/>
      <c r="AD125" s="75"/>
      <c r="AE125" s="81">
        <f t="shared" si="43"/>
        <v>0</v>
      </c>
      <c r="AF125" s="55">
        <f t="shared" si="44"/>
        <v>0</v>
      </c>
      <c r="AG125" s="76">
        <f t="shared" si="45"/>
        <v>0</v>
      </c>
      <c r="AH125" s="82">
        <f t="shared" si="70"/>
        <v>0</v>
      </c>
      <c r="AI125" s="83">
        <f t="shared" si="70"/>
        <v>0</v>
      </c>
      <c r="AJ125" s="83">
        <f t="shared" si="70"/>
        <v>0</v>
      </c>
      <c r="AK125" s="58">
        <f t="shared" si="70"/>
        <v>0</v>
      </c>
      <c r="AL125" s="82">
        <f t="shared" si="47"/>
        <v>0</v>
      </c>
      <c r="AM125" s="58">
        <f t="shared" si="48"/>
        <v>0</v>
      </c>
      <c r="AN125" s="74"/>
      <c r="AO125" s="84"/>
      <c r="AP125" s="74"/>
      <c r="AQ125" s="85"/>
      <c r="AR125" s="74"/>
      <c r="AS125" s="74"/>
      <c r="AT125" s="74"/>
      <c r="AU125" s="55" t="str">
        <f t="shared" si="58"/>
        <v/>
      </c>
      <c r="AV125" s="55" t="str">
        <f t="shared" ca="1" si="59"/>
        <v/>
      </c>
      <c r="AW125" s="55" t="str">
        <f t="shared" si="49"/>
        <v/>
      </c>
      <c r="AX125" s="55" t="str">
        <f t="shared" ca="1" si="50"/>
        <v/>
      </c>
      <c r="AY125" s="86"/>
      <c r="AZ125" s="86"/>
      <c r="BA125" s="55" t="str">
        <f t="shared" si="60"/>
        <v/>
      </c>
      <c r="BB125" s="86"/>
      <c r="BC125" s="86"/>
      <c r="BD125" s="55" t="str">
        <f t="shared" si="61"/>
        <v/>
      </c>
      <c r="BE125" s="74"/>
      <c r="BR125" s="3"/>
      <c r="BS125" s="118"/>
      <c r="BT125" s="118"/>
      <c r="BU125" s="118"/>
      <c r="BV125" s="118"/>
      <c r="BW125" s="118"/>
      <c r="BX125" s="118"/>
      <c r="BZ125" s="118"/>
      <c r="CB125" s="118"/>
      <c r="CC125" s="118"/>
      <c r="CD125" s="118"/>
    </row>
    <row r="126" spans="1:82" ht="17.399999999999999" customHeight="1">
      <c r="A126" s="72">
        <f t="shared" si="62"/>
        <v>17.399999999999999</v>
      </c>
      <c r="B126" s="111">
        <f t="shared" si="40"/>
        <v>116</v>
      </c>
      <c r="C126" s="60"/>
      <c r="D126" s="74"/>
      <c r="E126" s="75"/>
      <c r="F126" s="74"/>
      <c r="G126" s="54">
        <f t="shared" si="74"/>
        <v>0</v>
      </c>
      <c r="H126" s="55">
        <f t="shared" si="74"/>
        <v>0</v>
      </c>
      <c r="I126" s="76">
        <f t="shared" si="52"/>
        <v>0</v>
      </c>
      <c r="J126" s="58">
        <f t="shared" si="53"/>
        <v>0</v>
      </c>
      <c r="K126" s="58">
        <f t="shared" si="54"/>
        <v>0</v>
      </c>
      <c r="L126" s="58">
        <f t="shared" si="55"/>
        <v>0</v>
      </c>
      <c r="M126" s="58" t="str">
        <f t="shared" ca="1" si="56"/>
        <v/>
      </c>
      <c r="N126" s="58" t="str">
        <f t="shared" ca="1" si="56"/>
        <v/>
      </c>
      <c r="O126" s="58">
        <f t="shared" si="57"/>
        <v>5.0000000000000001E-4</v>
      </c>
      <c r="P126" s="77"/>
      <c r="Q126" s="60"/>
      <c r="R126" s="77"/>
      <c r="S126" s="78">
        <f t="shared" si="41"/>
        <v>0</v>
      </c>
      <c r="T126" s="55">
        <f t="shared" si="41"/>
        <v>0</v>
      </c>
      <c r="U126" s="79">
        <f t="shared" si="63"/>
        <v>0</v>
      </c>
      <c r="V126" s="63">
        <f t="shared" si="64"/>
        <v>0</v>
      </c>
      <c r="W126" s="64">
        <f t="shared" si="75"/>
        <v>87</v>
      </c>
      <c r="X126" s="80">
        <f t="shared" si="75"/>
        <v>75</v>
      </c>
      <c r="Y126" s="75"/>
      <c r="Z126" s="60"/>
      <c r="AA126" s="112"/>
      <c r="AB126" s="112"/>
      <c r="AC126" s="112"/>
      <c r="AD126" s="75"/>
      <c r="AE126" s="81">
        <f t="shared" si="43"/>
        <v>0</v>
      </c>
      <c r="AF126" s="55">
        <f t="shared" si="44"/>
        <v>0</v>
      </c>
      <c r="AG126" s="76">
        <f t="shared" si="45"/>
        <v>0</v>
      </c>
      <c r="AH126" s="82">
        <f t="shared" si="70"/>
        <v>0</v>
      </c>
      <c r="AI126" s="83">
        <f t="shared" si="70"/>
        <v>0</v>
      </c>
      <c r="AJ126" s="83">
        <f t="shared" si="70"/>
        <v>0</v>
      </c>
      <c r="AK126" s="58">
        <f t="shared" si="70"/>
        <v>0</v>
      </c>
      <c r="AL126" s="82">
        <f t="shared" si="47"/>
        <v>0</v>
      </c>
      <c r="AM126" s="58">
        <f t="shared" si="48"/>
        <v>0</v>
      </c>
      <c r="AN126" s="74"/>
      <c r="AO126" s="84"/>
      <c r="AP126" s="74"/>
      <c r="AQ126" s="85"/>
      <c r="AR126" s="74"/>
      <c r="AS126" s="74"/>
      <c r="AT126" s="74"/>
      <c r="AU126" s="55" t="str">
        <f t="shared" si="58"/>
        <v/>
      </c>
      <c r="AV126" s="55" t="str">
        <f t="shared" ca="1" si="59"/>
        <v/>
      </c>
      <c r="AW126" s="55" t="str">
        <f t="shared" si="49"/>
        <v/>
      </c>
      <c r="AX126" s="55" t="str">
        <f t="shared" ca="1" si="50"/>
        <v/>
      </c>
      <c r="AY126" s="86"/>
      <c r="AZ126" s="86"/>
      <c r="BA126" s="55" t="str">
        <f t="shared" si="60"/>
        <v/>
      </c>
      <c r="BB126" s="86"/>
      <c r="BC126" s="86"/>
      <c r="BD126" s="55" t="str">
        <f t="shared" si="61"/>
        <v/>
      </c>
      <c r="BE126" s="74"/>
      <c r="BR126" s="3"/>
      <c r="BS126" s="118"/>
      <c r="BT126" s="118"/>
      <c r="BU126" s="118"/>
      <c r="BV126" s="118"/>
      <c r="BW126" s="118"/>
      <c r="BX126" s="118"/>
      <c r="BZ126" s="118"/>
      <c r="CB126" s="118"/>
      <c r="CC126" s="118"/>
      <c r="CD126" s="118"/>
    </row>
    <row r="127" spans="1:82" ht="17.399999999999999" customHeight="1">
      <c r="A127" s="87">
        <f t="shared" si="62"/>
        <v>17.5</v>
      </c>
      <c r="B127" s="111">
        <f t="shared" si="40"/>
        <v>117</v>
      </c>
      <c r="C127" s="60"/>
      <c r="D127" s="74"/>
      <c r="E127" s="75"/>
      <c r="F127" s="74"/>
      <c r="G127" s="54">
        <f t="shared" si="74"/>
        <v>0</v>
      </c>
      <c r="H127" s="55">
        <f t="shared" si="74"/>
        <v>0</v>
      </c>
      <c r="I127" s="76">
        <f t="shared" si="52"/>
        <v>0</v>
      </c>
      <c r="J127" s="58">
        <f t="shared" si="53"/>
        <v>0</v>
      </c>
      <c r="K127" s="58">
        <f t="shared" si="54"/>
        <v>0</v>
      </c>
      <c r="L127" s="58">
        <f t="shared" si="55"/>
        <v>0</v>
      </c>
      <c r="M127" s="58" t="str">
        <f t="shared" ca="1" si="56"/>
        <v/>
      </c>
      <c r="N127" s="58" t="str">
        <f t="shared" ca="1" si="56"/>
        <v/>
      </c>
      <c r="O127" s="58">
        <f t="shared" si="57"/>
        <v>5.0000000000000001E-4</v>
      </c>
      <c r="P127" s="77"/>
      <c r="Q127" s="60"/>
      <c r="R127" s="77"/>
      <c r="S127" s="78">
        <f t="shared" si="41"/>
        <v>0</v>
      </c>
      <c r="T127" s="55">
        <f t="shared" si="41"/>
        <v>0</v>
      </c>
      <c r="U127" s="79">
        <f t="shared" si="63"/>
        <v>0</v>
      </c>
      <c r="V127" s="63">
        <f t="shared" si="64"/>
        <v>0</v>
      </c>
      <c r="W127" s="64">
        <f t="shared" si="75"/>
        <v>87</v>
      </c>
      <c r="X127" s="80">
        <f t="shared" si="75"/>
        <v>75</v>
      </c>
      <c r="Y127" s="75"/>
      <c r="Z127" s="60"/>
      <c r="AA127" s="112"/>
      <c r="AB127" s="112"/>
      <c r="AC127" s="112"/>
      <c r="AD127" s="75"/>
      <c r="AE127" s="81">
        <f t="shared" si="43"/>
        <v>0</v>
      </c>
      <c r="AF127" s="55">
        <f t="shared" si="44"/>
        <v>0</v>
      </c>
      <c r="AG127" s="76">
        <f t="shared" si="45"/>
        <v>0</v>
      </c>
      <c r="AH127" s="82">
        <f t="shared" si="70"/>
        <v>0</v>
      </c>
      <c r="AI127" s="83">
        <f t="shared" si="70"/>
        <v>0</v>
      </c>
      <c r="AJ127" s="83">
        <f t="shared" si="70"/>
        <v>0</v>
      </c>
      <c r="AK127" s="58">
        <f t="shared" si="70"/>
        <v>0</v>
      </c>
      <c r="AL127" s="82">
        <f t="shared" si="47"/>
        <v>0</v>
      </c>
      <c r="AM127" s="58">
        <f t="shared" si="48"/>
        <v>0</v>
      </c>
      <c r="AN127" s="74"/>
      <c r="AO127" s="84"/>
      <c r="AP127" s="74"/>
      <c r="AQ127" s="85"/>
      <c r="AR127" s="74"/>
      <c r="AS127" s="74"/>
      <c r="AT127" s="74"/>
      <c r="AU127" s="55" t="str">
        <f t="shared" si="58"/>
        <v/>
      </c>
      <c r="AV127" s="55" t="str">
        <f t="shared" ca="1" si="59"/>
        <v/>
      </c>
      <c r="AW127" s="55" t="str">
        <f t="shared" si="49"/>
        <v/>
      </c>
      <c r="AX127" s="55" t="str">
        <f t="shared" ca="1" si="50"/>
        <v/>
      </c>
      <c r="AY127" s="86"/>
      <c r="AZ127" s="86"/>
      <c r="BA127" s="55" t="str">
        <f t="shared" si="60"/>
        <v/>
      </c>
      <c r="BB127" s="86"/>
      <c r="BC127" s="86"/>
      <c r="BD127" s="55" t="str">
        <f t="shared" si="61"/>
        <v/>
      </c>
      <c r="BE127" s="74"/>
      <c r="BR127" s="3"/>
      <c r="BS127" s="118"/>
      <c r="BT127" s="118"/>
      <c r="BU127" s="118"/>
      <c r="BV127" s="118"/>
      <c r="BW127" s="118"/>
      <c r="BX127" s="118"/>
      <c r="BZ127" s="118"/>
      <c r="CB127" s="118"/>
      <c r="CC127" s="118"/>
      <c r="CD127" s="118"/>
    </row>
    <row r="128" spans="1:82" ht="17.399999999999999" customHeight="1">
      <c r="A128" s="72">
        <f t="shared" si="62"/>
        <v>17.600000000000001</v>
      </c>
      <c r="B128" s="111">
        <f t="shared" si="40"/>
        <v>118</v>
      </c>
      <c r="C128" s="60"/>
      <c r="D128" s="74"/>
      <c r="E128" s="75"/>
      <c r="F128" s="74"/>
      <c r="G128" s="54">
        <f t="shared" si="74"/>
        <v>0</v>
      </c>
      <c r="H128" s="55">
        <f t="shared" si="74"/>
        <v>0</v>
      </c>
      <c r="I128" s="76">
        <f t="shared" si="52"/>
        <v>0</v>
      </c>
      <c r="J128" s="58">
        <f t="shared" si="53"/>
        <v>0</v>
      </c>
      <c r="K128" s="58">
        <f t="shared" si="54"/>
        <v>0</v>
      </c>
      <c r="L128" s="58">
        <f t="shared" si="55"/>
        <v>0</v>
      </c>
      <c r="M128" s="58" t="str">
        <f t="shared" ca="1" si="56"/>
        <v/>
      </c>
      <c r="N128" s="58" t="str">
        <f t="shared" ca="1" si="56"/>
        <v/>
      </c>
      <c r="O128" s="58">
        <f t="shared" si="57"/>
        <v>5.0000000000000001E-4</v>
      </c>
      <c r="P128" s="77"/>
      <c r="Q128" s="60"/>
      <c r="R128" s="77"/>
      <c r="S128" s="78">
        <f t="shared" si="41"/>
        <v>0</v>
      </c>
      <c r="T128" s="55">
        <f t="shared" si="41"/>
        <v>0</v>
      </c>
      <c r="U128" s="79">
        <f t="shared" si="63"/>
        <v>0</v>
      </c>
      <c r="V128" s="63">
        <f t="shared" si="64"/>
        <v>0</v>
      </c>
      <c r="W128" s="64">
        <f t="shared" si="75"/>
        <v>87</v>
      </c>
      <c r="X128" s="80">
        <f t="shared" si="75"/>
        <v>75</v>
      </c>
      <c r="Y128" s="75"/>
      <c r="Z128" s="60"/>
      <c r="AA128" s="112"/>
      <c r="AB128" s="112"/>
      <c r="AC128" s="112"/>
      <c r="AD128" s="75"/>
      <c r="AE128" s="81">
        <f t="shared" si="43"/>
        <v>0</v>
      </c>
      <c r="AF128" s="55">
        <f t="shared" si="44"/>
        <v>0</v>
      </c>
      <c r="AG128" s="76">
        <f t="shared" si="45"/>
        <v>0</v>
      </c>
      <c r="AH128" s="82">
        <f t="shared" si="70"/>
        <v>0</v>
      </c>
      <c r="AI128" s="83">
        <f t="shared" si="70"/>
        <v>0</v>
      </c>
      <c r="AJ128" s="83">
        <f t="shared" si="70"/>
        <v>0</v>
      </c>
      <c r="AK128" s="58">
        <f t="shared" si="70"/>
        <v>0</v>
      </c>
      <c r="AL128" s="82">
        <f t="shared" si="47"/>
        <v>0</v>
      </c>
      <c r="AM128" s="58">
        <f t="shared" si="48"/>
        <v>0</v>
      </c>
      <c r="AN128" s="74"/>
      <c r="AO128" s="84"/>
      <c r="AP128" s="74"/>
      <c r="AQ128" s="85"/>
      <c r="AR128" s="74"/>
      <c r="AS128" s="74"/>
      <c r="AT128" s="74"/>
      <c r="AU128" s="55" t="str">
        <f t="shared" si="58"/>
        <v/>
      </c>
      <c r="AV128" s="55" t="str">
        <f t="shared" ca="1" si="59"/>
        <v/>
      </c>
      <c r="AW128" s="55" t="str">
        <f t="shared" si="49"/>
        <v/>
      </c>
      <c r="AX128" s="55" t="str">
        <f t="shared" ca="1" si="50"/>
        <v/>
      </c>
      <c r="AY128" s="86"/>
      <c r="AZ128" s="86"/>
      <c r="BA128" s="55" t="str">
        <f t="shared" si="60"/>
        <v/>
      </c>
      <c r="BB128" s="86"/>
      <c r="BC128" s="86"/>
      <c r="BD128" s="55" t="str">
        <f t="shared" si="61"/>
        <v/>
      </c>
      <c r="BE128" s="74"/>
      <c r="BR128" s="3"/>
      <c r="BS128" s="118"/>
      <c r="BT128" s="118"/>
      <c r="BU128" s="118"/>
      <c r="BV128" s="118"/>
      <c r="BW128" s="118"/>
      <c r="BX128" s="118"/>
      <c r="BZ128" s="118"/>
      <c r="CB128" s="118"/>
      <c r="CC128" s="118"/>
      <c r="CD128" s="118"/>
    </row>
    <row r="129" spans="1:82" ht="17.399999999999999" customHeight="1" thickBot="1">
      <c r="A129" s="87">
        <f t="shared" si="62"/>
        <v>17.700000000000003</v>
      </c>
      <c r="B129" s="113">
        <f t="shared" si="40"/>
        <v>119</v>
      </c>
      <c r="C129" s="89"/>
      <c r="D129" s="90"/>
      <c r="E129" s="91"/>
      <c r="F129" s="90"/>
      <c r="G129" s="92">
        <f t="shared" si="74"/>
        <v>0</v>
      </c>
      <c r="H129" s="93">
        <f t="shared" si="74"/>
        <v>0</v>
      </c>
      <c r="I129" s="94">
        <f t="shared" si="52"/>
        <v>0</v>
      </c>
      <c r="J129" s="95">
        <f t="shared" si="53"/>
        <v>0</v>
      </c>
      <c r="K129" s="95">
        <f t="shared" si="54"/>
        <v>0</v>
      </c>
      <c r="L129" s="95">
        <f t="shared" si="55"/>
        <v>0</v>
      </c>
      <c r="M129" s="95" t="str">
        <f t="shared" ca="1" si="56"/>
        <v/>
      </c>
      <c r="N129" s="95" t="str">
        <f t="shared" ca="1" si="56"/>
        <v/>
      </c>
      <c r="O129" s="95">
        <f t="shared" si="57"/>
        <v>5.0000000000000001E-4</v>
      </c>
      <c r="P129" s="96"/>
      <c r="Q129" s="89"/>
      <c r="R129" s="96"/>
      <c r="S129" s="78">
        <f t="shared" si="41"/>
        <v>0</v>
      </c>
      <c r="T129" s="55">
        <f t="shared" si="41"/>
        <v>0</v>
      </c>
      <c r="U129" s="97">
        <f t="shared" si="63"/>
        <v>0</v>
      </c>
      <c r="V129" s="98">
        <f t="shared" si="64"/>
        <v>0</v>
      </c>
      <c r="W129" s="99">
        <f t="shared" si="75"/>
        <v>87</v>
      </c>
      <c r="X129" s="100">
        <f t="shared" si="75"/>
        <v>75</v>
      </c>
      <c r="Y129" s="91"/>
      <c r="Z129" s="89"/>
      <c r="AA129" s="112"/>
      <c r="AB129" s="112"/>
      <c r="AC129" s="112"/>
      <c r="AD129" s="75"/>
      <c r="AE129" s="101">
        <f t="shared" si="43"/>
        <v>0</v>
      </c>
      <c r="AF129" s="93">
        <f t="shared" si="44"/>
        <v>0</v>
      </c>
      <c r="AG129" s="94">
        <f t="shared" si="45"/>
        <v>0</v>
      </c>
      <c r="AH129" s="102">
        <f t="shared" si="70"/>
        <v>0</v>
      </c>
      <c r="AI129" s="103">
        <f t="shared" si="70"/>
        <v>0</v>
      </c>
      <c r="AJ129" s="103">
        <f t="shared" si="70"/>
        <v>0</v>
      </c>
      <c r="AK129" s="95">
        <f t="shared" si="70"/>
        <v>0</v>
      </c>
      <c r="AL129" s="102">
        <f t="shared" si="47"/>
        <v>0</v>
      </c>
      <c r="AM129" s="95">
        <f t="shared" si="48"/>
        <v>0</v>
      </c>
      <c r="AN129" s="90"/>
      <c r="AO129" s="104"/>
      <c r="AP129" s="90"/>
      <c r="AQ129" s="105"/>
      <c r="AR129" s="90"/>
      <c r="AS129" s="90"/>
      <c r="AT129" s="90"/>
      <c r="AU129" s="93" t="str">
        <f t="shared" si="58"/>
        <v/>
      </c>
      <c r="AV129" s="93" t="str">
        <f t="shared" ca="1" si="59"/>
        <v/>
      </c>
      <c r="AW129" s="93" t="str">
        <f t="shared" si="49"/>
        <v/>
      </c>
      <c r="AX129" s="93" t="str">
        <f t="shared" ca="1" si="50"/>
        <v/>
      </c>
      <c r="AY129" s="106"/>
      <c r="AZ129" s="106"/>
      <c r="BA129" s="93" t="str">
        <f t="shared" si="60"/>
        <v/>
      </c>
      <c r="BB129" s="106"/>
      <c r="BC129" s="106"/>
      <c r="BD129" s="93" t="str">
        <f t="shared" si="61"/>
        <v/>
      </c>
      <c r="BE129" s="90"/>
      <c r="BR129" s="3"/>
      <c r="BS129" s="118"/>
      <c r="BT129" s="118"/>
      <c r="BU129" s="118"/>
      <c r="BV129" s="118"/>
      <c r="BW129" s="118"/>
      <c r="BX129" s="118"/>
      <c r="BZ129" s="118"/>
      <c r="CB129" s="118"/>
      <c r="CC129" s="118"/>
      <c r="CD129" s="118"/>
    </row>
    <row r="130" spans="1:82" ht="17.399999999999999" customHeight="1" thickTop="1">
      <c r="A130" s="107">
        <f>A123+1</f>
        <v>18.100000000000001</v>
      </c>
      <c r="B130" s="108">
        <f>B129+1</f>
        <v>120</v>
      </c>
      <c r="C130" s="51"/>
      <c r="D130" s="52"/>
      <c r="E130" s="53"/>
      <c r="F130" s="52"/>
      <c r="G130" s="54">
        <f t="shared" si="74"/>
        <v>0</v>
      </c>
      <c r="H130" s="55">
        <f t="shared" si="74"/>
        <v>0</v>
      </c>
      <c r="I130" s="56">
        <f t="shared" si="52"/>
        <v>0</v>
      </c>
      <c r="J130" s="57">
        <f t="shared" si="53"/>
        <v>0</v>
      </c>
      <c r="K130" s="57">
        <f t="shared" si="54"/>
        <v>0</v>
      </c>
      <c r="L130" s="57">
        <f t="shared" si="55"/>
        <v>0</v>
      </c>
      <c r="M130" s="58" t="str">
        <f t="shared" ca="1" si="56"/>
        <v/>
      </c>
      <c r="N130" s="58" t="str">
        <f t="shared" ca="1" si="56"/>
        <v/>
      </c>
      <c r="O130" s="58">
        <f t="shared" si="57"/>
        <v>5.0000000000000001E-4</v>
      </c>
      <c r="P130" s="77"/>
      <c r="Q130" s="60"/>
      <c r="R130" s="77"/>
      <c r="S130" s="109">
        <f t="shared" si="41"/>
        <v>0</v>
      </c>
      <c r="T130" s="61">
        <f t="shared" si="41"/>
        <v>0</v>
      </c>
      <c r="U130" s="62">
        <f t="shared" si="63"/>
        <v>0</v>
      </c>
      <c r="V130" s="63">
        <f t="shared" si="64"/>
        <v>0</v>
      </c>
      <c r="W130" s="64">
        <v>90</v>
      </c>
      <c r="X130" s="80">
        <v>80</v>
      </c>
      <c r="Y130" s="53"/>
      <c r="Z130" s="51"/>
      <c r="AA130" s="110"/>
      <c r="AB130" s="110"/>
      <c r="AC130" s="110"/>
      <c r="AD130" s="53"/>
      <c r="AE130" s="66">
        <f t="shared" si="43"/>
        <v>0</v>
      </c>
      <c r="AF130" s="61">
        <f t="shared" si="44"/>
        <v>0</v>
      </c>
      <c r="AG130" s="56">
        <f t="shared" si="45"/>
        <v>0</v>
      </c>
      <c r="AH130" s="67">
        <f t="shared" si="70"/>
        <v>0</v>
      </c>
      <c r="AI130" s="68">
        <f t="shared" si="70"/>
        <v>0</v>
      </c>
      <c r="AJ130" s="68">
        <f t="shared" si="70"/>
        <v>0</v>
      </c>
      <c r="AK130" s="57">
        <f t="shared" si="70"/>
        <v>0</v>
      </c>
      <c r="AL130" s="67">
        <f t="shared" si="47"/>
        <v>0</v>
      </c>
      <c r="AM130" s="57">
        <f t="shared" si="48"/>
        <v>0</v>
      </c>
      <c r="AN130" s="52"/>
      <c r="AO130" s="69"/>
      <c r="AP130" s="52"/>
      <c r="AQ130" s="70"/>
      <c r="AR130" s="52"/>
      <c r="AS130" s="52"/>
      <c r="AT130" s="52"/>
      <c r="AU130" s="61" t="str">
        <f t="shared" si="58"/>
        <v/>
      </c>
      <c r="AV130" s="61" t="str">
        <f t="shared" ca="1" si="59"/>
        <v/>
      </c>
      <c r="AW130" s="61" t="str">
        <f t="shared" si="49"/>
        <v/>
      </c>
      <c r="AX130" s="61" t="str">
        <f t="shared" ca="1" si="50"/>
        <v/>
      </c>
      <c r="AY130" s="71"/>
      <c r="AZ130" s="71"/>
      <c r="BA130" s="61" t="str">
        <f t="shared" si="60"/>
        <v/>
      </c>
      <c r="BB130" s="71"/>
      <c r="BC130" s="71"/>
      <c r="BD130" s="61" t="str">
        <f t="shared" si="61"/>
        <v/>
      </c>
      <c r="BE130" s="52"/>
      <c r="BR130" s="3"/>
      <c r="BS130" s="118"/>
      <c r="BT130" s="118"/>
      <c r="BU130" s="118"/>
      <c r="BV130" s="118"/>
      <c r="BW130" s="118"/>
      <c r="BX130" s="118"/>
      <c r="BZ130" s="118"/>
      <c r="CB130" s="118"/>
      <c r="CC130" s="118"/>
      <c r="CD130" s="118"/>
    </row>
    <row r="131" spans="1:82" ht="17.399999999999999" customHeight="1">
      <c r="A131" s="87">
        <f t="shared" si="62"/>
        <v>18.2</v>
      </c>
      <c r="B131" s="111">
        <f t="shared" si="40"/>
        <v>121</v>
      </c>
      <c r="C131" s="60"/>
      <c r="D131" s="74"/>
      <c r="E131" s="75"/>
      <c r="F131" s="74"/>
      <c r="G131" s="54">
        <f t="shared" si="74"/>
        <v>0</v>
      </c>
      <c r="H131" s="55">
        <f t="shared" si="74"/>
        <v>0</v>
      </c>
      <c r="I131" s="76">
        <f t="shared" si="52"/>
        <v>0</v>
      </c>
      <c r="J131" s="58">
        <f t="shared" si="53"/>
        <v>0</v>
      </c>
      <c r="K131" s="58">
        <f t="shared" si="54"/>
        <v>0</v>
      </c>
      <c r="L131" s="58">
        <f t="shared" si="55"/>
        <v>0</v>
      </c>
      <c r="M131" s="58" t="str">
        <f t="shared" ca="1" si="56"/>
        <v/>
      </c>
      <c r="N131" s="58" t="str">
        <f t="shared" ca="1" si="56"/>
        <v/>
      </c>
      <c r="O131" s="58">
        <f t="shared" si="57"/>
        <v>5.0000000000000001E-4</v>
      </c>
      <c r="P131" s="77"/>
      <c r="Q131" s="60"/>
      <c r="R131" s="77"/>
      <c r="S131" s="78">
        <f t="shared" si="41"/>
        <v>0</v>
      </c>
      <c r="T131" s="55">
        <f t="shared" si="41"/>
        <v>0</v>
      </c>
      <c r="U131" s="79">
        <f t="shared" si="63"/>
        <v>0</v>
      </c>
      <c r="V131" s="63">
        <f t="shared" si="64"/>
        <v>0</v>
      </c>
      <c r="W131" s="64">
        <f t="shared" ref="W131:X136" si="76">W130</f>
        <v>90</v>
      </c>
      <c r="X131" s="80">
        <f t="shared" si="76"/>
        <v>80</v>
      </c>
      <c r="Y131" s="119"/>
      <c r="Z131" s="60"/>
      <c r="AA131" s="112"/>
      <c r="AB131" s="112"/>
      <c r="AC131" s="112"/>
      <c r="AD131" s="75"/>
      <c r="AE131" s="81">
        <f t="shared" si="43"/>
        <v>0</v>
      </c>
      <c r="AF131" s="55">
        <f>Y132-AE131</f>
        <v>0</v>
      </c>
      <c r="AG131" s="76">
        <f>IFERROR(Y132/H130,0)</f>
        <v>0</v>
      </c>
      <c r="AH131" s="82">
        <f>IFERROR(Z131/$Y132,0)</f>
        <v>0</v>
      </c>
      <c r="AI131" s="83">
        <f>IFERROR(AA131/$Y132,0)</f>
        <v>0</v>
      </c>
      <c r="AJ131" s="83">
        <f>IFERROR(AB131/$Y132,0)</f>
        <v>0</v>
      </c>
      <c r="AK131" s="58">
        <f>IFERROR(AC131/$Y132,0)</f>
        <v>0</v>
      </c>
      <c r="AL131" s="82">
        <f>IFERROR(AE131/Y132,0)</f>
        <v>0</v>
      </c>
      <c r="AM131" s="58">
        <f>IFERROR(AF131/Y132,0)</f>
        <v>0</v>
      </c>
      <c r="AN131" s="74"/>
      <c r="AO131" s="84"/>
      <c r="AP131" s="74"/>
      <c r="AQ131" s="85"/>
      <c r="AR131" s="74"/>
      <c r="AS131" s="74"/>
      <c r="AT131" s="74"/>
      <c r="AU131" s="55" t="str">
        <f t="shared" si="58"/>
        <v/>
      </c>
      <c r="AV131" s="55" t="str">
        <f t="shared" ca="1" si="59"/>
        <v/>
      </c>
      <c r="AW131" s="55" t="str">
        <f t="shared" si="49"/>
        <v/>
      </c>
      <c r="AX131" s="55" t="str">
        <f t="shared" ca="1" si="50"/>
        <v/>
      </c>
      <c r="AY131" s="86"/>
      <c r="AZ131" s="86"/>
      <c r="BA131" s="55" t="str">
        <f t="shared" si="60"/>
        <v/>
      </c>
      <c r="BB131" s="86"/>
      <c r="BC131" s="86"/>
      <c r="BD131" s="55" t="str">
        <f t="shared" si="61"/>
        <v/>
      </c>
      <c r="BE131" s="74"/>
      <c r="BR131" s="3"/>
      <c r="BS131" s="118"/>
      <c r="BT131" s="118"/>
      <c r="BU131" s="118"/>
      <c r="BV131" s="118"/>
      <c r="BW131" s="118"/>
      <c r="BX131" s="118"/>
      <c r="BZ131" s="118"/>
      <c r="CB131" s="118"/>
      <c r="CC131" s="118"/>
      <c r="CD131" s="118"/>
    </row>
    <row r="132" spans="1:82" ht="17.399999999999999" customHeight="1">
      <c r="A132" s="72">
        <f t="shared" si="62"/>
        <v>18.3</v>
      </c>
      <c r="B132" s="111">
        <f t="shared" si="40"/>
        <v>122</v>
      </c>
      <c r="C132" s="60"/>
      <c r="D132" s="74"/>
      <c r="E132" s="75"/>
      <c r="F132" s="74"/>
      <c r="G132" s="54">
        <f t="shared" si="74"/>
        <v>0</v>
      </c>
      <c r="H132" s="55">
        <f t="shared" si="74"/>
        <v>0</v>
      </c>
      <c r="I132" s="76">
        <f t="shared" si="52"/>
        <v>0</v>
      </c>
      <c r="J132" s="58">
        <f t="shared" si="53"/>
        <v>0</v>
      </c>
      <c r="K132" s="58">
        <f t="shared" si="54"/>
        <v>0</v>
      </c>
      <c r="L132" s="58">
        <f t="shared" si="55"/>
        <v>0</v>
      </c>
      <c r="M132" s="58" t="str">
        <f t="shared" ca="1" si="56"/>
        <v/>
      </c>
      <c r="N132" s="58" t="str">
        <f t="shared" ca="1" si="56"/>
        <v/>
      </c>
      <c r="O132" s="58">
        <f t="shared" si="57"/>
        <v>5.0000000000000001E-4</v>
      </c>
      <c r="P132" s="77"/>
      <c r="Q132" s="60"/>
      <c r="R132" s="77"/>
      <c r="S132" s="78">
        <f t="shared" si="41"/>
        <v>0</v>
      </c>
      <c r="T132" s="55">
        <f t="shared" si="41"/>
        <v>0</v>
      </c>
      <c r="U132" s="79">
        <f t="shared" si="63"/>
        <v>0</v>
      </c>
      <c r="V132" s="63">
        <f t="shared" si="64"/>
        <v>0</v>
      </c>
      <c r="W132" s="64">
        <f t="shared" si="76"/>
        <v>90</v>
      </c>
      <c r="X132" s="80">
        <f t="shared" si="76"/>
        <v>80</v>
      </c>
      <c r="Y132" s="75"/>
      <c r="Z132" s="60"/>
      <c r="AA132" s="112"/>
      <c r="AB132" s="112"/>
      <c r="AC132" s="112"/>
      <c r="AD132" s="75"/>
      <c r="AE132" s="81">
        <f t="shared" si="43"/>
        <v>0</v>
      </c>
      <c r="AF132" s="55">
        <f t="shared" ref="AF132:AF133" si="77">Y133-AE132</f>
        <v>0</v>
      </c>
      <c r="AG132" s="76">
        <f>IFERROR(#REF!/H131,0)</f>
        <v>0</v>
      </c>
      <c r="AH132" s="82">
        <f>IFERROR(Z132/#REF!,0)</f>
        <v>0</v>
      </c>
      <c r="AI132" s="83">
        <f>IFERROR(AA132/#REF!,0)</f>
        <v>0</v>
      </c>
      <c r="AJ132" s="83">
        <f>IFERROR(AB132/#REF!,0)</f>
        <v>0</v>
      </c>
      <c r="AK132" s="58">
        <f>IFERROR(AC132/#REF!,0)</f>
        <v>0</v>
      </c>
      <c r="AL132" s="82">
        <f>IFERROR(AE132/#REF!,0)</f>
        <v>0</v>
      </c>
      <c r="AM132" s="58">
        <f>IFERROR(AF132/#REF!,0)</f>
        <v>0</v>
      </c>
      <c r="AN132" s="74"/>
      <c r="AO132" s="84"/>
      <c r="AP132" s="74"/>
      <c r="AQ132" s="85"/>
      <c r="AR132" s="74"/>
      <c r="AS132" s="74"/>
      <c r="AT132" s="74"/>
      <c r="AU132" s="55" t="str">
        <f t="shared" si="58"/>
        <v/>
      </c>
      <c r="AV132" s="55" t="str">
        <f t="shared" ca="1" si="59"/>
        <v/>
      </c>
      <c r="AW132" s="55" t="str">
        <f t="shared" si="49"/>
        <v/>
      </c>
      <c r="AX132" s="55" t="str">
        <f t="shared" ca="1" si="50"/>
        <v/>
      </c>
      <c r="AY132" s="86"/>
      <c r="AZ132" s="86"/>
      <c r="BA132" s="55" t="str">
        <f t="shared" si="60"/>
        <v/>
      </c>
      <c r="BB132" s="86"/>
      <c r="BC132" s="86"/>
      <c r="BD132" s="55" t="str">
        <f t="shared" si="61"/>
        <v/>
      </c>
      <c r="BE132" s="74"/>
      <c r="BR132" s="3"/>
      <c r="BS132" s="118"/>
      <c r="BT132" s="118"/>
      <c r="BU132" s="118"/>
      <c r="BV132" s="118"/>
      <c r="BW132" s="118"/>
      <c r="BX132" s="118"/>
      <c r="BZ132" s="118"/>
      <c r="CB132" s="118"/>
      <c r="CC132" s="118"/>
      <c r="CD132" s="118"/>
    </row>
    <row r="133" spans="1:82" ht="17.399999999999999" customHeight="1">
      <c r="A133" s="87">
        <f t="shared" si="62"/>
        <v>18.399999999999999</v>
      </c>
      <c r="B133" s="111">
        <f t="shared" si="40"/>
        <v>123</v>
      </c>
      <c r="C133" s="60"/>
      <c r="D133" s="74"/>
      <c r="E133" s="75"/>
      <c r="F133" s="74"/>
      <c r="G133" s="54">
        <f t="shared" si="74"/>
        <v>0</v>
      </c>
      <c r="H133" s="55">
        <f t="shared" si="74"/>
        <v>0</v>
      </c>
      <c r="I133" s="76">
        <f t="shared" si="52"/>
        <v>0</v>
      </c>
      <c r="J133" s="58">
        <f t="shared" si="53"/>
        <v>0</v>
      </c>
      <c r="K133" s="58">
        <f t="shared" si="54"/>
        <v>0</v>
      </c>
      <c r="L133" s="58">
        <f t="shared" si="55"/>
        <v>0</v>
      </c>
      <c r="M133" s="58" t="str">
        <f t="shared" ca="1" si="56"/>
        <v/>
      </c>
      <c r="N133" s="58" t="str">
        <f t="shared" ca="1" si="56"/>
        <v/>
      </c>
      <c r="O133" s="58">
        <f t="shared" si="57"/>
        <v>5.0000000000000001E-4</v>
      </c>
      <c r="P133" s="77"/>
      <c r="Q133" s="60"/>
      <c r="R133" s="77"/>
      <c r="S133" s="78">
        <f t="shared" si="41"/>
        <v>0</v>
      </c>
      <c r="T133" s="55">
        <f t="shared" si="41"/>
        <v>0</v>
      </c>
      <c r="U133" s="79">
        <f t="shared" si="63"/>
        <v>0</v>
      </c>
      <c r="V133" s="63">
        <f t="shared" si="64"/>
        <v>0</v>
      </c>
      <c r="W133" s="64">
        <f t="shared" si="76"/>
        <v>90</v>
      </c>
      <c r="X133" s="80">
        <f t="shared" si="76"/>
        <v>80</v>
      </c>
      <c r="Y133" s="75"/>
      <c r="Z133" s="60"/>
      <c r="AA133" s="112"/>
      <c r="AB133" s="112"/>
      <c r="AC133" s="112"/>
      <c r="AD133" s="75"/>
      <c r="AE133" s="81">
        <f t="shared" si="43"/>
        <v>0</v>
      </c>
      <c r="AF133" s="55">
        <f t="shared" si="77"/>
        <v>0</v>
      </c>
      <c r="AG133" s="76">
        <f t="shared" ref="AG133:AG196" si="78">IFERROR(Y133/H132,0)</f>
        <v>0</v>
      </c>
      <c r="AH133" s="82">
        <f t="shared" ref="AH133:AK196" si="79">IFERROR(Z133/$Y133,0)</f>
        <v>0</v>
      </c>
      <c r="AI133" s="83">
        <f t="shared" si="79"/>
        <v>0</v>
      </c>
      <c r="AJ133" s="83">
        <f t="shared" si="79"/>
        <v>0</v>
      </c>
      <c r="AK133" s="58">
        <f t="shared" si="79"/>
        <v>0</v>
      </c>
      <c r="AL133" s="82">
        <f t="shared" si="47"/>
        <v>0</v>
      </c>
      <c r="AM133" s="58">
        <f t="shared" si="48"/>
        <v>0</v>
      </c>
      <c r="AN133" s="74"/>
      <c r="AO133" s="84"/>
      <c r="AP133" s="74"/>
      <c r="AQ133" s="85"/>
      <c r="AR133" s="74"/>
      <c r="AS133" s="74"/>
      <c r="AT133" s="74"/>
      <c r="AU133" s="55" t="str">
        <f t="shared" si="58"/>
        <v/>
      </c>
      <c r="AV133" s="55" t="str">
        <f t="shared" ca="1" si="59"/>
        <v/>
      </c>
      <c r="AW133" s="55" t="str">
        <f t="shared" si="49"/>
        <v/>
      </c>
      <c r="AX133" s="55" t="str">
        <f t="shared" ca="1" si="50"/>
        <v/>
      </c>
      <c r="AY133" s="86"/>
      <c r="AZ133" s="86"/>
      <c r="BA133" s="55" t="str">
        <f t="shared" si="60"/>
        <v/>
      </c>
      <c r="BB133" s="86"/>
      <c r="BC133" s="86"/>
      <c r="BD133" s="55" t="str">
        <f t="shared" si="61"/>
        <v/>
      </c>
      <c r="BE133" s="74"/>
      <c r="BR133" s="3"/>
      <c r="BS133" s="118"/>
      <c r="BT133" s="118"/>
      <c r="BU133" s="118"/>
      <c r="BV133" s="118"/>
      <c r="BW133" s="118"/>
      <c r="BX133" s="118"/>
      <c r="BZ133" s="118"/>
      <c r="CB133" s="118"/>
      <c r="CC133" s="118"/>
      <c r="CD133" s="118"/>
    </row>
    <row r="134" spans="1:82" ht="17.399999999999999" customHeight="1">
      <c r="A134" s="72">
        <f t="shared" si="62"/>
        <v>18.5</v>
      </c>
      <c r="B134" s="111">
        <f t="shared" si="40"/>
        <v>124</v>
      </c>
      <c r="C134" s="60"/>
      <c r="D134" s="74"/>
      <c r="E134" s="75"/>
      <c r="F134" s="74"/>
      <c r="G134" s="54">
        <f t="shared" si="74"/>
        <v>0</v>
      </c>
      <c r="H134" s="55">
        <f t="shared" si="74"/>
        <v>0</v>
      </c>
      <c r="I134" s="76">
        <f t="shared" si="52"/>
        <v>0</v>
      </c>
      <c r="J134" s="58">
        <f t="shared" si="53"/>
        <v>0</v>
      </c>
      <c r="K134" s="58">
        <f t="shared" si="54"/>
        <v>0</v>
      </c>
      <c r="L134" s="58">
        <f t="shared" si="55"/>
        <v>0</v>
      </c>
      <c r="M134" s="58" t="str">
        <f t="shared" ca="1" si="56"/>
        <v/>
      </c>
      <c r="N134" s="58" t="str">
        <f t="shared" ca="1" si="56"/>
        <v/>
      </c>
      <c r="O134" s="58">
        <f t="shared" si="57"/>
        <v>5.0000000000000001E-4</v>
      </c>
      <c r="P134" s="77"/>
      <c r="Q134" s="60"/>
      <c r="R134" s="77"/>
      <c r="S134" s="78">
        <f t="shared" si="41"/>
        <v>0</v>
      </c>
      <c r="T134" s="55">
        <f t="shared" si="41"/>
        <v>0</v>
      </c>
      <c r="U134" s="79">
        <f t="shared" si="63"/>
        <v>0</v>
      </c>
      <c r="V134" s="63">
        <f t="shared" si="64"/>
        <v>0</v>
      </c>
      <c r="W134" s="64">
        <f t="shared" si="76"/>
        <v>90</v>
      </c>
      <c r="X134" s="80">
        <f t="shared" si="76"/>
        <v>80</v>
      </c>
      <c r="Y134" s="75"/>
      <c r="Z134" s="60"/>
      <c r="AA134" s="112"/>
      <c r="AB134" s="112"/>
      <c r="AC134" s="112"/>
      <c r="AD134" s="75"/>
      <c r="AE134" s="81">
        <f t="shared" si="43"/>
        <v>0</v>
      </c>
      <c r="AF134" s="55">
        <f t="shared" si="44"/>
        <v>0</v>
      </c>
      <c r="AG134" s="76">
        <f t="shared" si="78"/>
        <v>0</v>
      </c>
      <c r="AH134" s="82">
        <f t="shared" si="79"/>
        <v>0</v>
      </c>
      <c r="AI134" s="83">
        <f t="shared" si="79"/>
        <v>0</v>
      </c>
      <c r="AJ134" s="83">
        <f t="shared" si="79"/>
        <v>0</v>
      </c>
      <c r="AK134" s="58">
        <f t="shared" si="79"/>
        <v>0</v>
      </c>
      <c r="AL134" s="82">
        <f t="shared" si="47"/>
        <v>0</v>
      </c>
      <c r="AM134" s="58">
        <f t="shared" si="48"/>
        <v>0</v>
      </c>
      <c r="AN134" s="74"/>
      <c r="AO134" s="84"/>
      <c r="AP134" s="74"/>
      <c r="AQ134" s="85"/>
      <c r="AR134" s="74"/>
      <c r="AS134" s="74"/>
      <c r="AT134" s="74"/>
      <c r="AU134" s="55" t="str">
        <f t="shared" si="58"/>
        <v/>
      </c>
      <c r="AV134" s="55" t="str">
        <f t="shared" ca="1" si="59"/>
        <v/>
      </c>
      <c r="AW134" s="55" t="str">
        <f t="shared" si="49"/>
        <v/>
      </c>
      <c r="AX134" s="55" t="str">
        <f t="shared" ca="1" si="50"/>
        <v/>
      </c>
      <c r="AY134" s="86"/>
      <c r="AZ134" s="86"/>
      <c r="BA134" s="55" t="str">
        <f t="shared" si="60"/>
        <v/>
      </c>
      <c r="BB134" s="86"/>
      <c r="BC134" s="86"/>
      <c r="BD134" s="55" t="str">
        <f t="shared" si="61"/>
        <v/>
      </c>
      <c r="BE134" s="74"/>
      <c r="BR134" s="3"/>
      <c r="BS134" s="118"/>
      <c r="BT134" s="118"/>
      <c r="BU134" s="118"/>
      <c r="BV134" s="118"/>
      <c r="BW134" s="118"/>
      <c r="BX134" s="118"/>
      <c r="BZ134" s="118"/>
      <c r="CB134" s="118"/>
      <c r="CC134" s="118"/>
      <c r="CD134" s="118"/>
    </row>
    <row r="135" spans="1:82" ht="17.399999999999999" customHeight="1">
      <c r="A135" s="87">
        <f t="shared" si="62"/>
        <v>18.600000000000001</v>
      </c>
      <c r="B135" s="111">
        <f t="shared" si="40"/>
        <v>125</v>
      </c>
      <c r="C135" s="60"/>
      <c r="D135" s="74"/>
      <c r="E135" s="75"/>
      <c r="F135" s="74"/>
      <c r="G135" s="54">
        <f t="shared" si="74"/>
        <v>0</v>
      </c>
      <c r="H135" s="55">
        <f t="shared" si="74"/>
        <v>0</v>
      </c>
      <c r="I135" s="76">
        <f t="shared" si="52"/>
        <v>0</v>
      </c>
      <c r="J135" s="58">
        <f t="shared" si="53"/>
        <v>0</v>
      </c>
      <c r="K135" s="58">
        <f t="shared" si="54"/>
        <v>0</v>
      </c>
      <c r="L135" s="58">
        <f t="shared" si="55"/>
        <v>0</v>
      </c>
      <c r="M135" s="58" t="str">
        <f t="shared" ca="1" si="56"/>
        <v/>
      </c>
      <c r="N135" s="58" t="str">
        <f t="shared" ca="1" si="56"/>
        <v/>
      </c>
      <c r="O135" s="58">
        <f t="shared" si="57"/>
        <v>5.0000000000000001E-4</v>
      </c>
      <c r="P135" s="77"/>
      <c r="Q135" s="60"/>
      <c r="R135" s="77"/>
      <c r="S135" s="78">
        <f t="shared" si="41"/>
        <v>0</v>
      </c>
      <c r="T135" s="55">
        <f t="shared" si="41"/>
        <v>0</v>
      </c>
      <c r="U135" s="79">
        <f t="shared" si="63"/>
        <v>0</v>
      </c>
      <c r="V135" s="63">
        <f t="shared" si="64"/>
        <v>0</v>
      </c>
      <c r="W135" s="64">
        <f t="shared" si="76"/>
        <v>90</v>
      </c>
      <c r="X135" s="80">
        <f t="shared" si="76"/>
        <v>80</v>
      </c>
      <c r="Y135" s="75"/>
      <c r="Z135" s="60"/>
      <c r="AA135" s="112"/>
      <c r="AB135" s="112"/>
      <c r="AC135" s="112"/>
      <c r="AD135" s="75"/>
      <c r="AE135" s="81">
        <f t="shared" si="43"/>
        <v>0</v>
      </c>
      <c r="AF135" s="55">
        <f t="shared" si="44"/>
        <v>0</v>
      </c>
      <c r="AG135" s="76">
        <f t="shared" si="78"/>
        <v>0</v>
      </c>
      <c r="AH135" s="82">
        <f t="shared" si="79"/>
        <v>0</v>
      </c>
      <c r="AI135" s="83">
        <f t="shared" si="79"/>
        <v>0</v>
      </c>
      <c r="AJ135" s="83">
        <f t="shared" si="79"/>
        <v>0</v>
      </c>
      <c r="AK135" s="58">
        <f t="shared" si="79"/>
        <v>0</v>
      </c>
      <c r="AL135" s="82">
        <f t="shared" si="47"/>
        <v>0</v>
      </c>
      <c r="AM135" s="58">
        <f t="shared" si="48"/>
        <v>0</v>
      </c>
      <c r="AN135" s="74"/>
      <c r="AO135" s="84"/>
      <c r="AP135" s="74"/>
      <c r="AQ135" s="85"/>
      <c r="AR135" s="74"/>
      <c r="AS135" s="74"/>
      <c r="AT135" s="74"/>
      <c r="AU135" s="55" t="str">
        <f t="shared" si="58"/>
        <v/>
      </c>
      <c r="AV135" s="55" t="str">
        <f t="shared" ca="1" si="59"/>
        <v/>
      </c>
      <c r="AW135" s="55" t="str">
        <f t="shared" si="49"/>
        <v/>
      </c>
      <c r="AX135" s="55" t="str">
        <f t="shared" ca="1" si="50"/>
        <v/>
      </c>
      <c r="AY135" s="86"/>
      <c r="AZ135" s="86"/>
      <c r="BA135" s="55" t="str">
        <f t="shared" si="60"/>
        <v/>
      </c>
      <c r="BB135" s="86"/>
      <c r="BC135" s="86"/>
      <c r="BD135" s="55" t="str">
        <f t="shared" si="61"/>
        <v/>
      </c>
      <c r="BE135" s="74"/>
      <c r="BR135" s="3"/>
      <c r="BS135" s="118"/>
      <c r="BT135" s="118"/>
      <c r="BU135" s="118"/>
      <c r="BV135" s="118"/>
      <c r="BW135" s="118"/>
      <c r="BX135" s="118"/>
      <c r="BZ135" s="118"/>
      <c r="CB135" s="118"/>
      <c r="CC135" s="118"/>
      <c r="CD135" s="118"/>
    </row>
    <row r="136" spans="1:82" ht="17.399999999999999" customHeight="1" thickBot="1">
      <c r="A136" s="72">
        <f t="shared" si="62"/>
        <v>18.700000000000003</v>
      </c>
      <c r="B136" s="113">
        <f t="shared" si="40"/>
        <v>126</v>
      </c>
      <c r="C136" s="89"/>
      <c r="D136" s="90"/>
      <c r="E136" s="91"/>
      <c r="F136" s="90"/>
      <c r="G136" s="92">
        <f t="shared" si="74"/>
        <v>0</v>
      </c>
      <c r="H136" s="93">
        <f t="shared" si="74"/>
        <v>0</v>
      </c>
      <c r="I136" s="94">
        <f t="shared" si="52"/>
        <v>0</v>
      </c>
      <c r="J136" s="95">
        <f t="shared" si="53"/>
        <v>0</v>
      </c>
      <c r="K136" s="95">
        <f t="shared" si="54"/>
        <v>0</v>
      </c>
      <c r="L136" s="95">
        <f t="shared" si="55"/>
        <v>0</v>
      </c>
      <c r="M136" s="95" t="str">
        <f t="shared" ca="1" si="56"/>
        <v/>
      </c>
      <c r="N136" s="95" t="str">
        <f t="shared" ca="1" si="56"/>
        <v/>
      </c>
      <c r="O136" s="95">
        <f t="shared" si="57"/>
        <v>5.0000000000000001E-4</v>
      </c>
      <c r="P136" s="96"/>
      <c r="Q136" s="89"/>
      <c r="R136" s="96"/>
      <c r="S136" s="78">
        <f t="shared" si="41"/>
        <v>0</v>
      </c>
      <c r="T136" s="55">
        <f t="shared" si="41"/>
        <v>0</v>
      </c>
      <c r="U136" s="97">
        <f t="shared" si="63"/>
        <v>0</v>
      </c>
      <c r="V136" s="98">
        <f t="shared" si="64"/>
        <v>0</v>
      </c>
      <c r="W136" s="99">
        <f t="shared" si="76"/>
        <v>90</v>
      </c>
      <c r="X136" s="100">
        <f t="shared" si="76"/>
        <v>80</v>
      </c>
      <c r="Y136" s="91"/>
      <c r="Z136" s="89"/>
      <c r="AA136" s="112"/>
      <c r="AB136" s="112"/>
      <c r="AC136" s="112"/>
      <c r="AD136" s="75"/>
      <c r="AE136" s="101">
        <f t="shared" si="43"/>
        <v>0</v>
      </c>
      <c r="AF136" s="93">
        <f t="shared" si="44"/>
        <v>0</v>
      </c>
      <c r="AG136" s="94">
        <f t="shared" si="78"/>
        <v>0</v>
      </c>
      <c r="AH136" s="102">
        <f t="shared" si="79"/>
        <v>0</v>
      </c>
      <c r="AI136" s="103">
        <f t="shared" si="79"/>
        <v>0</v>
      </c>
      <c r="AJ136" s="103">
        <f t="shared" si="79"/>
        <v>0</v>
      </c>
      <c r="AK136" s="95">
        <f t="shared" si="79"/>
        <v>0</v>
      </c>
      <c r="AL136" s="102">
        <f t="shared" si="47"/>
        <v>0</v>
      </c>
      <c r="AM136" s="95">
        <f t="shared" si="48"/>
        <v>0</v>
      </c>
      <c r="AN136" s="90"/>
      <c r="AO136" s="104"/>
      <c r="AP136" s="90"/>
      <c r="AQ136" s="105"/>
      <c r="AR136" s="90"/>
      <c r="AS136" s="90"/>
      <c r="AT136" s="90"/>
      <c r="AU136" s="93" t="str">
        <f t="shared" si="58"/>
        <v/>
      </c>
      <c r="AV136" s="93" t="str">
        <f t="shared" ca="1" si="59"/>
        <v/>
      </c>
      <c r="AW136" s="93" t="str">
        <f t="shared" si="49"/>
        <v/>
      </c>
      <c r="AX136" s="93" t="str">
        <f t="shared" ca="1" si="50"/>
        <v/>
      </c>
      <c r="AY136" s="106"/>
      <c r="AZ136" s="106"/>
      <c r="BA136" s="93" t="str">
        <f t="shared" si="60"/>
        <v/>
      </c>
      <c r="BB136" s="106"/>
      <c r="BC136" s="106"/>
      <c r="BD136" s="93" t="str">
        <f t="shared" si="61"/>
        <v/>
      </c>
      <c r="BE136" s="90"/>
      <c r="BR136" s="3"/>
      <c r="BS136" s="118"/>
      <c r="BT136" s="118"/>
      <c r="BU136" s="118"/>
      <c r="BV136" s="118"/>
      <c r="BW136" s="118"/>
      <c r="BX136" s="118"/>
      <c r="BZ136" s="118"/>
      <c r="CB136" s="118"/>
      <c r="CC136" s="118"/>
      <c r="CD136" s="118"/>
    </row>
    <row r="137" spans="1:82" ht="17.399999999999999" customHeight="1" thickTop="1">
      <c r="A137" s="49">
        <f>A130+1</f>
        <v>19.100000000000001</v>
      </c>
      <c r="B137" s="108">
        <f>B136+1</f>
        <v>127</v>
      </c>
      <c r="C137" s="51"/>
      <c r="D137" s="52"/>
      <c r="E137" s="53"/>
      <c r="F137" s="52"/>
      <c r="G137" s="54">
        <f t="shared" si="74"/>
        <v>0</v>
      </c>
      <c r="H137" s="55">
        <f t="shared" si="74"/>
        <v>0</v>
      </c>
      <c r="I137" s="56">
        <f t="shared" si="52"/>
        <v>0</v>
      </c>
      <c r="J137" s="57">
        <f t="shared" si="53"/>
        <v>0</v>
      </c>
      <c r="K137" s="57">
        <f t="shared" si="54"/>
        <v>0</v>
      </c>
      <c r="L137" s="57">
        <f t="shared" si="55"/>
        <v>0</v>
      </c>
      <c r="M137" s="58" t="str">
        <f t="shared" ca="1" si="56"/>
        <v/>
      </c>
      <c r="N137" s="58" t="str">
        <f t="shared" ca="1" si="56"/>
        <v/>
      </c>
      <c r="O137" s="58">
        <f t="shared" si="57"/>
        <v>5.0000000000000001E-4</v>
      </c>
      <c r="P137" s="77"/>
      <c r="Q137" s="60"/>
      <c r="R137" s="77"/>
      <c r="S137" s="109">
        <f t="shared" si="41"/>
        <v>0</v>
      </c>
      <c r="T137" s="61">
        <f t="shared" si="41"/>
        <v>0</v>
      </c>
      <c r="U137" s="62">
        <f t="shared" si="63"/>
        <v>0</v>
      </c>
      <c r="V137" s="63">
        <f t="shared" si="64"/>
        <v>0</v>
      </c>
      <c r="W137" s="64">
        <v>93</v>
      </c>
      <c r="X137" s="80">
        <v>86</v>
      </c>
      <c r="Y137" s="53"/>
      <c r="Z137" s="51"/>
      <c r="AA137" s="110"/>
      <c r="AB137" s="110"/>
      <c r="AC137" s="110"/>
      <c r="AD137" s="53"/>
      <c r="AE137" s="66">
        <f t="shared" si="43"/>
        <v>0</v>
      </c>
      <c r="AF137" s="61">
        <f t="shared" si="44"/>
        <v>0</v>
      </c>
      <c r="AG137" s="56">
        <f t="shared" si="78"/>
        <v>0</v>
      </c>
      <c r="AH137" s="67">
        <f t="shared" si="79"/>
        <v>0</v>
      </c>
      <c r="AI137" s="68">
        <f t="shared" si="79"/>
        <v>0</v>
      </c>
      <c r="AJ137" s="68">
        <f t="shared" si="79"/>
        <v>0</v>
      </c>
      <c r="AK137" s="57">
        <f t="shared" si="79"/>
        <v>0</v>
      </c>
      <c r="AL137" s="67">
        <f t="shared" si="47"/>
        <v>0</v>
      </c>
      <c r="AM137" s="57">
        <f t="shared" si="48"/>
        <v>0</v>
      </c>
      <c r="AN137" s="52"/>
      <c r="AO137" s="69"/>
      <c r="AP137" s="52"/>
      <c r="AQ137" s="70"/>
      <c r="AR137" s="52"/>
      <c r="AS137" s="52"/>
      <c r="AT137" s="52"/>
      <c r="AU137" s="61" t="str">
        <f t="shared" si="58"/>
        <v/>
      </c>
      <c r="AV137" s="61" t="str">
        <f t="shared" ca="1" si="59"/>
        <v/>
      </c>
      <c r="AW137" s="61" t="str">
        <f t="shared" si="49"/>
        <v/>
      </c>
      <c r="AX137" s="61" t="str">
        <f t="shared" ca="1" si="50"/>
        <v/>
      </c>
      <c r="AY137" s="71"/>
      <c r="AZ137" s="71"/>
      <c r="BA137" s="61" t="str">
        <f t="shared" si="60"/>
        <v/>
      </c>
      <c r="BB137" s="71"/>
      <c r="BC137" s="71"/>
      <c r="BD137" s="61" t="str">
        <f t="shared" si="61"/>
        <v/>
      </c>
      <c r="BE137" s="52"/>
      <c r="BR137" s="3"/>
      <c r="BS137" s="118"/>
      <c r="BT137" s="118"/>
      <c r="BU137" s="118"/>
      <c r="BV137" s="118"/>
      <c r="BW137" s="118"/>
      <c r="BX137" s="118"/>
      <c r="BZ137" s="118"/>
      <c r="CB137" s="118"/>
      <c r="CC137" s="118"/>
      <c r="CD137" s="118"/>
    </row>
    <row r="138" spans="1:82" ht="17.399999999999999" customHeight="1">
      <c r="A138" s="72">
        <f t="shared" si="62"/>
        <v>19.2</v>
      </c>
      <c r="B138" s="111">
        <f t="shared" si="40"/>
        <v>128</v>
      </c>
      <c r="C138" s="60"/>
      <c r="D138" s="74"/>
      <c r="E138" s="75"/>
      <c r="F138" s="74"/>
      <c r="G138" s="54">
        <f t="shared" si="74"/>
        <v>0</v>
      </c>
      <c r="H138" s="55">
        <f t="shared" si="74"/>
        <v>0</v>
      </c>
      <c r="I138" s="76">
        <f t="shared" si="52"/>
        <v>0</v>
      </c>
      <c r="J138" s="58">
        <f t="shared" si="53"/>
        <v>0</v>
      </c>
      <c r="K138" s="58">
        <f t="shared" si="54"/>
        <v>0</v>
      </c>
      <c r="L138" s="58">
        <f t="shared" si="55"/>
        <v>0</v>
      </c>
      <c r="M138" s="58" t="str">
        <f t="shared" ca="1" si="56"/>
        <v/>
      </c>
      <c r="N138" s="58" t="str">
        <f t="shared" ca="1" si="56"/>
        <v/>
      </c>
      <c r="O138" s="58">
        <f t="shared" si="57"/>
        <v>5.0000000000000001E-4</v>
      </c>
      <c r="P138" s="77"/>
      <c r="Q138" s="60"/>
      <c r="R138" s="77"/>
      <c r="S138" s="78">
        <f t="shared" si="41"/>
        <v>0</v>
      </c>
      <c r="T138" s="55">
        <f t="shared" si="41"/>
        <v>0</v>
      </c>
      <c r="U138" s="79">
        <f t="shared" si="63"/>
        <v>0</v>
      </c>
      <c r="V138" s="63">
        <f t="shared" si="64"/>
        <v>0</v>
      </c>
      <c r="W138" s="64">
        <f t="shared" ref="W138:X143" si="80">W137</f>
        <v>93</v>
      </c>
      <c r="X138" s="80">
        <f t="shared" si="80"/>
        <v>86</v>
      </c>
      <c r="Y138" s="75"/>
      <c r="Z138" s="60"/>
      <c r="AA138" s="112"/>
      <c r="AB138" s="112"/>
      <c r="AC138" s="112"/>
      <c r="AD138" s="75"/>
      <c r="AE138" s="81">
        <f t="shared" si="43"/>
        <v>0</v>
      </c>
      <c r="AF138" s="55">
        <f t="shared" si="44"/>
        <v>0</v>
      </c>
      <c r="AG138" s="76">
        <f t="shared" si="78"/>
        <v>0</v>
      </c>
      <c r="AH138" s="82">
        <f t="shared" si="79"/>
        <v>0</v>
      </c>
      <c r="AI138" s="83">
        <f t="shared" si="79"/>
        <v>0</v>
      </c>
      <c r="AJ138" s="83">
        <f t="shared" si="79"/>
        <v>0</v>
      </c>
      <c r="AK138" s="58">
        <f t="shared" si="79"/>
        <v>0</v>
      </c>
      <c r="AL138" s="82">
        <f t="shared" si="47"/>
        <v>0</v>
      </c>
      <c r="AM138" s="58">
        <f t="shared" si="48"/>
        <v>0</v>
      </c>
      <c r="AN138" s="74"/>
      <c r="AO138" s="84"/>
      <c r="AP138" s="74"/>
      <c r="AQ138" s="85"/>
      <c r="AR138" s="74"/>
      <c r="AS138" s="74"/>
      <c r="AT138" s="74"/>
      <c r="AU138" s="55" t="str">
        <f t="shared" si="58"/>
        <v/>
      </c>
      <c r="AV138" s="55" t="str">
        <f t="shared" ca="1" si="59"/>
        <v/>
      </c>
      <c r="AW138" s="55" t="str">
        <f t="shared" si="49"/>
        <v/>
      </c>
      <c r="AX138" s="55" t="str">
        <f t="shared" ca="1" si="50"/>
        <v/>
      </c>
      <c r="AY138" s="86"/>
      <c r="AZ138" s="86"/>
      <c r="BA138" s="55" t="str">
        <f t="shared" si="60"/>
        <v/>
      </c>
      <c r="BB138" s="86"/>
      <c r="BC138" s="86"/>
      <c r="BD138" s="55" t="str">
        <f t="shared" si="61"/>
        <v/>
      </c>
      <c r="BE138" s="74"/>
      <c r="BR138" s="3"/>
      <c r="BS138" s="118"/>
      <c r="BT138" s="118"/>
      <c r="BU138" s="118"/>
      <c r="BV138" s="118"/>
      <c r="BW138" s="118"/>
      <c r="BX138" s="118"/>
      <c r="BZ138" s="118"/>
      <c r="CB138" s="118"/>
      <c r="CC138" s="118"/>
      <c r="CD138" s="118"/>
    </row>
    <row r="139" spans="1:82" ht="17.399999999999999" customHeight="1">
      <c r="A139" s="87">
        <f t="shared" si="62"/>
        <v>19.3</v>
      </c>
      <c r="B139" s="111">
        <f t="shared" ref="B139:B202" si="81">B138+1</f>
        <v>129</v>
      </c>
      <c r="C139" s="60"/>
      <c r="D139" s="74"/>
      <c r="E139" s="75"/>
      <c r="F139" s="74"/>
      <c r="G139" s="54">
        <f t="shared" si="74"/>
        <v>0</v>
      </c>
      <c r="H139" s="55">
        <f t="shared" si="74"/>
        <v>0</v>
      </c>
      <c r="I139" s="76">
        <f t="shared" si="52"/>
        <v>0</v>
      </c>
      <c r="J139" s="58">
        <f t="shared" si="53"/>
        <v>0</v>
      </c>
      <c r="K139" s="58">
        <f t="shared" si="54"/>
        <v>0</v>
      </c>
      <c r="L139" s="58">
        <f t="shared" si="55"/>
        <v>0</v>
      </c>
      <c r="M139" s="58" t="str">
        <f t="shared" ca="1" si="56"/>
        <v/>
      </c>
      <c r="N139" s="58" t="str">
        <f t="shared" ca="1" si="56"/>
        <v/>
      </c>
      <c r="O139" s="58">
        <f t="shared" si="57"/>
        <v>5.0000000000000001E-4</v>
      </c>
      <c r="P139" s="77"/>
      <c r="Q139" s="60"/>
      <c r="R139" s="77"/>
      <c r="S139" s="78">
        <f t="shared" ref="S139:T202" si="82">IF($P139="FULL FEED",Q139,Q139*2)</f>
        <v>0</v>
      </c>
      <c r="T139" s="55">
        <f t="shared" si="82"/>
        <v>0</v>
      </c>
      <c r="U139" s="79">
        <f t="shared" si="63"/>
        <v>0</v>
      </c>
      <c r="V139" s="63">
        <f t="shared" si="64"/>
        <v>0</v>
      </c>
      <c r="W139" s="64">
        <f t="shared" si="80"/>
        <v>93</v>
      </c>
      <c r="X139" s="80">
        <f t="shared" si="80"/>
        <v>86</v>
      </c>
      <c r="Y139" s="75"/>
      <c r="Z139" s="60"/>
      <c r="AA139" s="112"/>
      <c r="AB139" s="112"/>
      <c r="AC139" s="112"/>
      <c r="AD139" s="75"/>
      <c r="AE139" s="81">
        <f t="shared" ref="AE139:AE202" si="83">SUM(Z139,AA139,AB139,AC139)</f>
        <v>0</v>
      </c>
      <c r="AF139" s="55">
        <f t="shared" ref="AF139:AF202" si="84">Y139-AE139</f>
        <v>0</v>
      </c>
      <c r="AG139" s="76">
        <f t="shared" si="78"/>
        <v>0</v>
      </c>
      <c r="AH139" s="82">
        <f t="shared" si="79"/>
        <v>0</v>
      </c>
      <c r="AI139" s="83">
        <f t="shared" si="79"/>
        <v>0</v>
      </c>
      <c r="AJ139" s="83">
        <f t="shared" si="79"/>
        <v>0</v>
      </c>
      <c r="AK139" s="58">
        <f t="shared" si="79"/>
        <v>0</v>
      </c>
      <c r="AL139" s="82">
        <f t="shared" ref="AL139:AL202" si="85">IFERROR(AE139/Y139,0)</f>
        <v>0</v>
      </c>
      <c r="AM139" s="58">
        <f t="shared" ref="AM139:AM202" si="86">IFERROR(AF139/Y139,0)</f>
        <v>0</v>
      </c>
      <c r="AN139" s="74"/>
      <c r="AO139" s="84"/>
      <c r="AP139" s="74"/>
      <c r="AQ139" s="85"/>
      <c r="AR139" s="74"/>
      <c r="AS139" s="74"/>
      <c r="AT139" s="74"/>
      <c r="AU139" s="55" t="str">
        <f t="shared" si="58"/>
        <v/>
      </c>
      <c r="AV139" s="55" t="str">
        <f t="shared" ca="1" si="59"/>
        <v/>
      </c>
      <c r="AW139" s="55" t="str">
        <f t="shared" ref="AW139:AW202" si="87">IFERROR(IF(OR(AR139="",AT139="",K139="",L139=""),"", ((AT139-AR139)/100*1000)/(U139+V139)),0)</f>
        <v/>
      </c>
      <c r="AX139" s="55" t="str">
        <f t="shared" ref="AX139:AX202" ca="1" si="88">IF(OR(AR139="",AR140="",M139="",N139=""),"", ((AR140-AR139)/100*1000)/((G139+H139))*1000)</f>
        <v/>
      </c>
      <c r="AY139" s="86"/>
      <c r="AZ139" s="86"/>
      <c r="BA139" s="55" t="str">
        <f t="shared" si="60"/>
        <v/>
      </c>
      <c r="BB139" s="86"/>
      <c r="BC139" s="86"/>
      <c r="BD139" s="55" t="str">
        <f t="shared" si="61"/>
        <v/>
      </c>
      <c r="BE139" s="74"/>
      <c r="BR139" s="3"/>
      <c r="BS139" s="118"/>
      <c r="BT139" s="118"/>
      <c r="BU139" s="118"/>
      <c r="BV139" s="118"/>
      <c r="BW139" s="118"/>
      <c r="BX139" s="118"/>
      <c r="BZ139" s="118"/>
      <c r="CB139" s="118"/>
      <c r="CC139" s="118"/>
      <c r="CD139" s="118"/>
    </row>
    <row r="140" spans="1:82" ht="17.399999999999999" customHeight="1">
      <c r="A140" s="72">
        <f t="shared" si="62"/>
        <v>19.399999999999999</v>
      </c>
      <c r="B140" s="111">
        <f t="shared" si="81"/>
        <v>130</v>
      </c>
      <c r="C140" s="60"/>
      <c r="D140" s="74"/>
      <c r="E140" s="75"/>
      <c r="F140" s="74"/>
      <c r="G140" s="54">
        <f t="shared" ref="G140:H155" si="89">G139-E140-C140</f>
        <v>0</v>
      </c>
      <c r="H140" s="55">
        <f t="shared" si="89"/>
        <v>0</v>
      </c>
      <c r="I140" s="76">
        <f t="shared" ref="I140:I203" si="90">IFERROR(C140/G139,0)</f>
        <v>0</v>
      </c>
      <c r="J140" s="58">
        <f t="shared" ref="J140:J203" si="91">IFERROR(E140/G139,0)</f>
        <v>0</v>
      </c>
      <c r="K140" s="58">
        <f t="shared" ref="K140:K203" si="92">IFERROR(D140/H139,0)</f>
        <v>0</v>
      </c>
      <c r="L140" s="58">
        <f t="shared" ref="L140:L203" si="93">IFERROR(F140/H139,0)</f>
        <v>0</v>
      </c>
      <c r="M140" s="58" t="str">
        <f t="shared" ref="M140:N203" ca="1" si="94">IF(ROW()=11,
   IF($B$4&gt;0,E140/$B$4,""),
   IF($B$4&gt;0,
      (OFFSET(M140,-1,0)*$B$4 + E140)/$B$4,
      "")
)</f>
        <v/>
      </c>
      <c r="N140" s="58" t="str">
        <f t="shared" ca="1" si="94"/>
        <v/>
      </c>
      <c r="O140" s="58">
        <f t="shared" ref="O140:O203" si="95">$O$10</f>
        <v>5.0000000000000001E-4</v>
      </c>
      <c r="P140" s="77"/>
      <c r="Q140" s="60"/>
      <c r="R140" s="77"/>
      <c r="S140" s="78">
        <f t="shared" si="82"/>
        <v>0</v>
      </c>
      <c r="T140" s="55">
        <f t="shared" si="82"/>
        <v>0</v>
      </c>
      <c r="U140" s="79">
        <f t="shared" si="63"/>
        <v>0</v>
      </c>
      <c r="V140" s="63">
        <f t="shared" si="64"/>
        <v>0</v>
      </c>
      <c r="W140" s="64">
        <f t="shared" si="80"/>
        <v>93</v>
      </c>
      <c r="X140" s="80">
        <f t="shared" si="80"/>
        <v>86</v>
      </c>
      <c r="Y140" s="75"/>
      <c r="Z140" s="60"/>
      <c r="AA140" s="112"/>
      <c r="AB140" s="112"/>
      <c r="AC140" s="112"/>
      <c r="AD140" s="75"/>
      <c r="AE140" s="81">
        <f t="shared" si="83"/>
        <v>0</v>
      </c>
      <c r="AF140" s="55">
        <f t="shared" si="84"/>
        <v>0</v>
      </c>
      <c r="AG140" s="76">
        <f t="shared" si="78"/>
        <v>0</v>
      </c>
      <c r="AH140" s="82">
        <f t="shared" si="79"/>
        <v>0</v>
      </c>
      <c r="AI140" s="83">
        <f t="shared" si="79"/>
        <v>0</v>
      </c>
      <c r="AJ140" s="83">
        <f t="shared" si="79"/>
        <v>0</v>
      </c>
      <c r="AK140" s="58">
        <f t="shared" si="79"/>
        <v>0</v>
      </c>
      <c r="AL140" s="82">
        <f t="shared" si="85"/>
        <v>0</v>
      </c>
      <c r="AM140" s="58">
        <f t="shared" si="86"/>
        <v>0</v>
      </c>
      <c r="AN140" s="74"/>
      <c r="AO140" s="84"/>
      <c r="AP140" s="74"/>
      <c r="AQ140" s="85"/>
      <c r="AR140" s="74"/>
      <c r="AS140" s="74"/>
      <c r="AT140" s="74"/>
      <c r="AU140" s="55" t="str">
        <f t="shared" ref="AU140:AU203" si="96">IF(OR(AT140="",AR140=""),"", (AT140-AR140)/100*1000)</f>
        <v/>
      </c>
      <c r="AV140" s="55" t="str">
        <f t="shared" ref="AV140:AV203" ca="1" si="97">IF(OR(AR141="",OFFSET(AR141,-1,0)=""),"", (AR141-OFFSET(AR141,-1,0))/100*1000)</f>
        <v/>
      </c>
      <c r="AW140" s="55" t="str">
        <f t="shared" si="87"/>
        <v/>
      </c>
      <c r="AX140" s="55" t="str">
        <f t="shared" ca="1" si="88"/>
        <v/>
      </c>
      <c r="AY140" s="86"/>
      <c r="AZ140" s="86"/>
      <c r="BA140" s="55" t="str">
        <f t="shared" ref="BA140:BA203" si="98">IF(OR(AY140="",AZ140=""),"",MOD(AZ140-AY140,1)*24)</f>
        <v/>
      </c>
      <c r="BB140" s="86"/>
      <c r="BC140" s="86"/>
      <c r="BD140" s="55" t="str">
        <f t="shared" ref="BD140:BD203" si="99">IF(OR(BB140="",BC140=""),"",MOD(BC140-BB140,1)*24)</f>
        <v/>
      </c>
      <c r="BE140" s="74"/>
      <c r="BR140" s="3"/>
      <c r="BS140" s="118"/>
      <c r="BT140" s="118"/>
      <c r="BU140" s="118"/>
      <c r="BV140" s="118"/>
      <c r="BW140" s="118"/>
      <c r="BX140" s="118"/>
      <c r="BZ140" s="118"/>
      <c r="CB140" s="118"/>
      <c r="CC140" s="118"/>
      <c r="CD140" s="118"/>
    </row>
    <row r="141" spans="1:82" ht="17.399999999999999" customHeight="1">
      <c r="A141" s="87">
        <f t="shared" si="62"/>
        <v>19.5</v>
      </c>
      <c r="B141" s="111">
        <f t="shared" si="81"/>
        <v>131</v>
      </c>
      <c r="C141" s="60"/>
      <c r="D141" s="74"/>
      <c r="E141" s="75"/>
      <c r="F141" s="74"/>
      <c r="G141" s="54">
        <f t="shared" si="89"/>
        <v>0</v>
      </c>
      <c r="H141" s="55">
        <f t="shared" si="89"/>
        <v>0</v>
      </c>
      <c r="I141" s="76">
        <f t="shared" si="90"/>
        <v>0</v>
      </c>
      <c r="J141" s="58">
        <f t="shared" si="91"/>
        <v>0</v>
      </c>
      <c r="K141" s="58">
        <f t="shared" si="92"/>
        <v>0</v>
      </c>
      <c r="L141" s="58">
        <f t="shared" si="93"/>
        <v>0</v>
      </c>
      <c r="M141" s="58" t="str">
        <f t="shared" ca="1" si="94"/>
        <v/>
      </c>
      <c r="N141" s="58" t="str">
        <f t="shared" ca="1" si="94"/>
        <v/>
      </c>
      <c r="O141" s="58">
        <f t="shared" si="95"/>
        <v>5.0000000000000001E-4</v>
      </c>
      <c r="P141" s="77"/>
      <c r="Q141" s="60"/>
      <c r="R141" s="77"/>
      <c r="S141" s="78">
        <f t="shared" si="82"/>
        <v>0</v>
      </c>
      <c r="T141" s="55">
        <f t="shared" si="82"/>
        <v>0</v>
      </c>
      <c r="U141" s="79">
        <f t="shared" si="63"/>
        <v>0</v>
      </c>
      <c r="V141" s="63">
        <f t="shared" si="64"/>
        <v>0</v>
      </c>
      <c r="W141" s="64">
        <f t="shared" si="80"/>
        <v>93</v>
      </c>
      <c r="X141" s="80">
        <f t="shared" si="80"/>
        <v>86</v>
      </c>
      <c r="Y141" s="75"/>
      <c r="Z141" s="60"/>
      <c r="AA141" s="112"/>
      <c r="AB141" s="112"/>
      <c r="AC141" s="112"/>
      <c r="AD141" s="75"/>
      <c r="AE141" s="81">
        <f t="shared" si="83"/>
        <v>0</v>
      </c>
      <c r="AF141" s="55">
        <f t="shared" si="84"/>
        <v>0</v>
      </c>
      <c r="AG141" s="76">
        <f t="shared" si="78"/>
        <v>0</v>
      </c>
      <c r="AH141" s="82">
        <f t="shared" si="79"/>
        <v>0</v>
      </c>
      <c r="AI141" s="83">
        <f t="shared" si="79"/>
        <v>0</v>
      </c>
      <c r="AJ141" s="83">
        <f t="shared" si="79"/>
        <v>0</v>
      </c>
      <c r="AK141" s="58">
        <f t="shared" si="79"/>
        <v>0</v>
      </c>
      <c r="AL141" s="82">
        <f t="shared" si="85"/>
        <v>0</v>
      </c>
      <c r="AM141" s="58">
        <f t="shared" si="86"/>
        <v>0</v>
      </c>
      <c r="AN141" s="74"/>
      <c r="AO141" s="84"/>
      <c r="AP141" s="74"/>
      <c r="AQ141" s="85"/>
      <c r="AR141" s="74"/>
      <c r="AS141" s="74"/>
      <c r="AT141" s="74"/>
      <c r="AU141" s="55" t="str">
        <f t="shared" si="96"/>
        <v/>
      </c>
      <c r="AV141" s="55" t="str">
        <f t="shared" ca="1" si="97"/>
        <v/>
      </c>
      <c r="AW141" s="55" t="str">
        <f t="shared" si="87"/>
        <v/>
      </c>
      <c r="AX141" s="55" t="str">
        <f t="shared" ca="1" si="88"/>
        <v/>
      </c>
      <c r="AY141" s="86"/>
      <c r="AZ141" s="86"/>
      <c r="BA141" s="55" t="str">
        <f t="shared" si="98"/>
        <v/>
      </c>
      <c r="BB141" s="86"/>
      <c r="BC141" s="86"/>
      <c r="BD141" s="55" t="str">
        <f t="shared" si="99"/>
        <v/>
      </c>
      <c r="BE141" s="74"/>
      <c r="BR141" s="3"/>
      <c r="BS141" s="118"/>
      <c r="BT141" s="118"/>
      <c r="BU141" s="118"/>
      <c r="BV141" s="118"/>
      <c r="BW141" s="118"/>
      <c r="BX141" s="118"/>
      <c r="BZ141" s="118"/>
      <c r="CB141" s="118"/>
      <c r="CC141" s="118"/>
      <c r="CD141" s="118"/>
    </row>
    <row r="142" spans="1:82" ht="17.399999999999999" customHeight="1">
      <c r="A142" s="72">
        <f t="shared" si="62"/>
        <v>19.600000000000001</v>
      </c>
      <c r="B142" s="111">
        <f t="shared" si="81"/>
        <v>132</v>
      </c>
      <c r="C142" s="60"/>
      <c r="D142" s="74"/>
      <c r="E142" s="75"/>
      <c r="F142" s="74"/>
      <c r="G142" s="54">
        <f t="shared" si="89"/>
        <v>0</v>
      </c>
      <c r="H142" s="55">
        <f t="shared" si="89"/>
        <v>0</v>
      </c>
      <c r="I142" s="76">
        <f t="shared" si="90"/>
        <v>0</v>
      </c>
      <c r="J142" s="58">
        <f t="shared" si="91"/>
        <v>0</v>
      </c>
      <c r="K142" s="58">
        <f t="shared" si="92"/>
        <v>0</v>
      </c>
      <c r="L142" s="58">
        <f t="shared" si="93"/>
        <v>0</v>
      </c>
      <c r="M142" s="58" t="str">
        <f t="shared" ca="1" si="94"/>
        <v/>
      </c>
      <c r="N142" s="58" t="str">
        <f t="shared" ca="1" si="94"/>
        <v/>
      </c>
      <c r="O142" s="58">
        <f t="shared" si="95"/>
        <v>5.0000000000000001E-4</v>
      </c>
      <c r="P142" s="77"/>
      <c r="Q142" s="60"/>
      <c r="R142" s="77"/>
      <c r="S142" s="78">
        <f t="shared" si="82"/>
        <v>0</v>
      </c>
      <c r="T142" s="55">
        <f t="shared" si="82"/>
        <v>0</v>
      </c>
      <c r="U142" s="79">
        <f t="shared" si="63"/>
        <v>0</v>
      </c>
      <c r="V142" s="63">
        <f t="shared" si="64"/>
        <v>0</v>
      </c>
      <c r="W142" s="64">
        <f t="shared" si="80"/>
        <v>93</v>
      </c>
      <c r="X142" s="80">
        <f t="shared" si="80"/>
        <v>86</v>
      </c>
      <c r="Y142" s="75"/>
      <c r="Z142" s="60"/>
      <c r="AA142" s="112"/>
      <c r="AB142" s="112"/>
      <c r="AC142" s="112"/>
      <c r="AD142" s="75"/>
      <c r="AE142" s="81">
        <f t="shared" si="83"/>
        <v>0</v>
      </c>
      <c r="AF142" s="55">
        <f t="shared" si="84"/>
        <v>0</v>
      </c>
      <c r="AG142" s="76">
        <f t="shared" si="78"/>
        <v>0</v>
      </c>
      <c r="AH142" s="82">
        <f t="shared" si="79"/>
        <v>0</v>
      </c>
      <c r="AI142" s="83">
        <f t="shared" si="79"/>
        <v>0</v>
      </c>
      <c r="AJ142" s="83">
        <f t="shared" si="79"/>
        <v>0</v>
      </c>
      <c r="AK142" s="58">
        <f t="shared" si="79"/>
        <v>0</v>
      </c>
      <c r="AL142" s="82">
        <f t="shared" si="85"/>
        <v>0</v>
      </c>
      <c r="AM142" s="58">
        <f t="shared" si="86"/>
        <v>0</v>
      </c>
      <c r="AN142" s="74"/>
      <c r="AO142" s="84"/>
      <c r="AP142" s="74"/>
      <c r="AQ142" s="85"/>
      <c r="AR142" s="74"/>
      <c r="AS142" s="74"/>
      <c r="AT142" s="74"/>
      <c r="AU142" s="55" t="str">
        <f t="shared" si="96"/>
        <v/>
      </c>
      <c r="AV142" s="55" t="str">
        <f t="shared" ca="1" si="97"/>
        <v/>
      </c>
      <c r="AW142" s="55" t="str">
        <f t="shared" si="87"/>
        <v/>
      </c>
      <c r="AX142" s="55" t="str">
        <f t="shared" ca="1" si="88"/>
        <v/>
      </c>
      <c r="AY142" s="86"/>
      <c r="AZ142" s="86"/>
      <c r="BA142" s="55" t="str">
        <f t="shared" si="98"/>
        <v/>
      </c>
      <c r="BB142" s="86"/>
      <c r="BC142" s="86"/>
      <c r="BD142" s="55" t="str">
        <f t="shared" si="99"/>
        <v/>
      </c>
      <c r="BE142" s="74"/>
      <c r="BR142" s="3"/>
      <c r="BS142" s="118"/>
      <c r="BT142" s="118"/>
      <c r="BU142" s="118"/>
      <c r="BV142" s="118"/>
      <c r="BW142" s="118"/>
      <c r="BX142" s="118"/>
      <c r="BZ142" s="118"/>
      <c r="CB142" s="118"/>
      <c r="CC142" s="118"/>
      <c r="CD142" s="118"/>
    </row>
    <row r="143" spans="1:82" ht="17.399999999999999" customHeight="1" thickBot="1">
      <c r="A143" s="87">
        <f t="shared" si="62"/>
        <v>19.700000000000003</v>
      </c>
      <c r="B143" s="113">
        <f t="shared" si="81"/>
        <v>133</v>
      </c>
      <c r="C143" s="89"/>
      <c r="D143" s="90"/>
      <c r="E143" s="91"/>
      <c r="F143" s="90"/>
      <c r="G143" s="92">
        <f t="shared" si="89"/>
        <v>0</v>
      </c>
      <c r="H143" s="93">
        <f t="shared" si="89"/>
        <v>0</v>
      </c>
      <c r="I143" s="94">
        <f t="shared" si="90"/>
        <v>0</v>
      </c>
      <c r="J143" s="95">
        <f t="shared" si="91"/>
        <v>0</v>
      </c>
      <c r="K143" s="95">
        <f t="shared" si="92"/>
        <v>0</v>
      </c>
      <c r="L143" s="95">
        <f t="shared" si="93"/>
        <v>0</v>
      </c>
      <c r="M143" s="95" t="str">
        <f t="shared" ca="1" si="94"/>
        <v/>
      </c>
      <c r="N143" s="95" t="str">
        <f t="shared" ca="1" si="94"/>
        <v/>
      </c>
      <c r="O143" s="95">
        <f t="shared" si="95"/>
        <v>5.0000000000000001E-4</v>
      </c>
      <c r="P143" s="96"/>
      <c r="Q143" s="89"/>
      <c r="R143" s="96"/>
      <c r="S143" s="78">
        <f t="shared" si="82"/>
        <v>0</v>
      </c>
      <c r="T143" s="55">
        <f t="shared" si="82"/>
        <v>0</v>
      </c>
      <c r="U143" s="97">
        <f t="shared" si="63"/>
        <v>0</v>
      </c>
      <c r="V143" s="98">
        <f t="shared" si="64"/>
        <v>0</v>
      </c>
      <c r="W143" s="99">
        <f t="shared" si="80"/>
        <v>93</v>
      </c>
      <c r="X143" s="100">
        <f t="shared" si="80"/>
        <v>86</v>
      </c>
      <c r="Y143" s="91"/>
      <c r="Z143" s="89"/>
      <c r="AA143" s="112"/>
      <c r="AB143" s="112"/>
      <c r="AC143" s="112"/>
      <c r="AD143" s="75"/>
      <c r="AE143" s="101">
        <f t="shared" si="83"/>
        <v>0</v>
      </c>
      <c r="AF143" s="93">
        <f t="shared" si="84"/>
        <v>0</v>
      </c>
      <c r="AG143" s="94">
        <f t="shared" si="78"/>
        <v>0</v>
      </c>
      <c r="AH143" s="102">
        <f t="shared" si="79"/>
        <v>0</v>
      </c>
      <c r="AI143" s="103">
        <f t="shared" si="79"/>
        <v>0</v>
      </c>
      <c r="AJ143" s="103">
        <f t="shared" si="79"/>
        <v>0</v>
      </c>
      <c r="AK143" s="95">
        <f t="shared" si="79"/>
        <v>0</v>
      </c>
      <c r="AL143" s="102">
        <f t="shared" si="85"/>
        <v>0</v>
      </c>
      <c r="AM143" s="95">
        <f t="shared" si="86"/>
        <v>0</v>
      </c>
      <c r="AN143" s="90"/>
      <c r="AO143" s="104"/>
      <c r="AP143" s="90"/>
      <c r="AQ143" s="105"/>
      <c r="AR143" s="90"/>
      <c r="AS143" s="90"/>
      <c r="AT143" s="90"/>
      <c r="AU143" s="93" t="str">
        <f t="shared" si="96"/>
        <v/>
      </c>
      <c r="AV143" s="93" t="str">
        <f t="shared" ca="1" si="97"/>
        <v/>
      </c>
      <c r="AW143" s="93" t="str">
        <f t="shared" si="87"/>
        <v/>
      </c>
      <c r="AX143" s="93" t="str">
        <f t="shared" ca="1" si="88"/>
        <v/>
      </c>
      <c r="AY143" s="106"/>
      <c r="AZ143" s="106"/>
      <c r="BA143" s="93" t="str">
        <f t="shared" si="98"/>
        <v/>
      </c>
      <c r="BB143" s="106"/>
      <c r="BC143" s="106"/>
      <c r="BD143" s="93" t="str">
        <f t="shared" si="99"/>
        <v/>
      </c>
      <c r="BE143" s="90"/>
      <c r="BR143" s="3"/>
      <c r="BS143" s="118"/>
      <c r="BT143" s="118"/>
      <c r="BU143" s="118"/>
      <c r="BV143" s="118"/>
      <c r="BW143" s="118"/>
      <c r="BX143" s="118"/>
      <c r="BZ143" s="118"/>
      <c r="CB143" s="118"/>
      <c r="CC143" s="118"/>
      <c r="CD143" s="118"/>
    </row>
    <row r="144" spans="1:82" ht="17.399999999999999" customHeight="1" thickTop="1">
      <c r="A144" s="107">
        <f>A137+1</f>
        <v>20.100000000000001</v>
      </c>
      <c r="B144" s="108">
        <f>B143+1</f>
        <v>134</v>
      </c>
      <c r="C144" s="51"/>
      <c r="D144" s="52"/>
      <c r="E144" s="53"/>
      <c r="F144" s="52"/>
      <c r="G144" s="54">
        <f t="shared" si="89"/>
        <v>0</v>
      </c>
      <c r="H144" s="55">
        <f t="shared" si="89"/>
        <v>0</v>
      </c>
      <c r="I144" s="56">
        <f t="shared" si="90"/>
        <v>0</v>
      </c>
      <c r="J144" s="57">
        <f t="shared" si="91"/>
        <v>0</v>
      </c>
      <c r="K144" s="57">
        <f t="shared" si="92"/>
        <v>0</v>
      </c>
      <c r="L144" s="57">
        <f t="shared" si="93"/>
        <v>0</v>
      </c>
      <c r="M144" s="58" t="str">
        <f t="shared" ca="1" si="94"/>
        <v/>
      </c>
      <c r="N144" s="58" t="str">
        <f t="shared" ca="1" si="94"/>
        <v/>
      </c>
      <c r="O144" s="58">
        <f t="shared" si="95"/>
        <v>5.0000000000000001E-4</v>
      </c>
      <c r="P144" s="77"/>
      <c r="Q144" s="60"/>
      <c r="R144" s="77"/>
      <c r="S144" s="109">
        <f t="shared" si="82"/>
        <v>0</v>
      </c>
      <c r="T144" s="61">
        <f t="shared" si="82"/>
        <v>0</v>
      </c>
      <c r="U144" s="62">
        <f t="shared" si="63"/>
        <v>0</v>
      </c>
      <c r="V144" s="63">
        <f t="shared" si="64"/>
        <v>0</v>
      </c>
      <c r="W144" s="64">
        <v>98</v>
      </c>
      <c r="X144" s="80">
        <v>92</v>
      </c>
      <c r="Y144" s="53"/>
      <c r="Z144" s="51"/>
      <c r="AA144" s="110"/>
      <c r="AB144" s="110"/>
      <c r="AC144" s="110"/>
      <c r="AD144" s="53"/>
      <c r="AE144" s="66">
        <f t="shared" si="83"/>
        <v>0</v>
      </c>
      <c r="AF144" s="61">
        <f t="shared" si="84"/>
        <v>0</v>
      </c>
      <c r="AG144" s="56">
        <f t="shared" si="78"/>
        <v>0</v>
      </c>
      <c r="AH144" s="67">
        <f t="shared" si="79"/>
        <v>0</v>
      </c>
      <c r="AI144" s="68">
        <f t="shared" si="79"/>
        <v>0</v>
      </c>
      <c r="AJ144" s="68">
        <f t="shared" si="79"/>
        <v>0</v>
      </c>
      <c r="AK144" s="57">
        <f t="shared" si="79"/>
        <v>0</v>
      </c>
      <c r="AL144" s="67">
        <f t="shared" si="85"/>
        <v>0</v>
      </c>
      <c r="AM144" s="57">
        <f t="shared" si="86"/>
        <v>0</v>
      </c>
      <c r="AN144" s="52"/>
      <c r="AO144" s="69"/>
      <c r="AP144" s="52"/>
      <c r="AQ144" s="70"/>
      <c r="AR144" s="52"/>
      <c r="AS144" s="52"/>
      <c r="AT144" s="52"/>
      <c r="AU144" s="61" t="str">
        <f t="shared" si="96"/>
        <v/>
      </c>
      <c r="AV144" s="61" t="str">
        <f t="shared" ca="1" si="97"/>
        <v/>
      </c>
      <c r="AW144" s="61" t="str">
        <f t="shared" si="87"/>
        <v/>
      </c>
      <c r="AX144" s="61" t="str">
        <f t="shared" ca="1" si="88"/>
        <v/>
      </c>
      <c r="AY144" s="71"/>
      <c r="AZ144" s="71"/>
      <c r="BA144" s="61" t="str">
        <f t="shared" si="98"/>
        <v/>
      </c>
      <c r="BB144" s="71"/>
      <c r="BC144" s="71"/>
      <c r="BD144" s="61" t="str">
        <f t="shared" si="99"/>
        <v/>
      </c>
      <c r="BE144" s="52"/>
      <c r="BR144" s="3"/>
      <c r="BS144" s="118"/>
      <c r="BT144" s="118"/>
      <c r="BU144" s="118"/>
      <c r="BV144" s="118"/>
      <c r="BW144" s="118"/>
      <c r="BX144" s="118"/>
      <c r="BZ144" s="118"/>
      <c r="CB144" s="118"/>
      <c r="CC144" s="118"/>
      <c r="CD144" s="118"/>
    </row>
    <row r="145" spans="1:82" ht="17.399999999999999" customHeight="1">
      <c r="A145" s="87">
        <f t="shared" si="62"/>
        <v>20.2</v>
      </c>
      <c r="B145" s="111">
        <f t="shared" si="81"/>
        <v>135</v>
      </c>
      <c r="C145" s="60"/>
      <c r="D145" s="74"/>
      <c r="E145" s="75"/>
      <c r="F145" s="74"/>
      <c r="G145" s="54">
        <f t="shared" si="89"/>
        <v>0</v>
      </c>
      <c r="H145" s="55">
        <f t="shared" si="89"/>
        <v>0</v>
      </c>
      <c r="I145" s="76">
        <f t="shared" si="90"/>
        <v>0</v>
      </c>
      <c r="J145" s="58">
        <f t="shared" si="91"/>
        <v>0</v>
      </c>
      <c r="K145" s="58">
        <f t="shared" si="92"/>
        <v>0</v>
      </c>
      <c r="L145" s="58">
        <f t="shared" si="93"/>
        <v>0</v>
      </c>
      <c r="M145" s="58" t="str">
        <f t="shared" ca="1" si="94"/>
        <v/>
      </c>
      <c r="N145" s="58" t="str">
        <f t="shared" ca="1" si="94"/>
        <v/>
      </c>
      <c r="O145" s="58">
        <f t="shared" si="95"/>
        <v>5.0000000000000001E-4</v>
      </c>
      <c r="P145" s="77"/>
      <c r="Q145" s="60"/>
      <c r="R145" s="77"/>
      <c r="S145" s="78">
        <f t="shared" si="82"/>
        <v>0</v>
      </c>
      <c r="T145" s="55">
        <f t="shared" si="82"/>
        <v>0</v>
      </c>
      <c r="U145" s="79">
        <f t="shared" si="63"/>
        <v>0</v>
      </c>
      <c r="V145" s="63">
        <f t="shared" si="64"/>
        <v>0</v>
      </c>
      <c r="W145" s="64">
        <f t="shared" ref="W145:X150" si="100">W144</f>
        <v>98</v>
      </c>
      <c r="X145" s="80">
        <f t="shared" si="100"/>
        <v>92</v>
      </c>
      <c r="Y145" s="75"/>
      <c r="Z145" s="60"/>
      <c r="AA145" s="112"/>
      <c r="AB145" s="112"/>
      <c r="AC145" s="112"/>
      <c r="AD145" s="75"/>
      <c r="AE145" s="81">
        <f t="shared" si="83"/>
        <v>0</v>
      </c>
      <c r="AF145" s="55">
        <f t="shared" si="84"/>
        <v>0</v>
      </c>
      <c r="AG145" s="76">
        <f t="shared" si="78"/>
        <v>0</v>
      </c>
      <c r="AH145" s="82">
        <f t="shared" si="79"/>
        <v>0</v>
      </c>
      <c r="AI145" s="83">
        <f t="shared" si="79"/>
        <v>0</v>
      </c>
      <c r="AJ145" s="83">
        <f t="shared" si="79"/>
        <v>0</v>
      </c>
      <c r="AK145" s="58">
        <f t="shared" si="79"/>
        <v>0</v>
      </c>
      <c r="AL145" s="82">
        <f t="shared" si="85"/>
        <v>0</v>
      </c>
      <c r="AM145" s="58">
        <f t="shared" si="86"/>
        <v>0</v>
      </c>
      <c r="AN145" s="74"/>
      <c r="AO145" s="84"/>
      <c r="AP145" s="74"/>
      <c r="AQ145" s="85"/>
      <c r="AR145" s="74"/>
      <c r="AS145" s="74"/>
      <c r="AT145" s="74"/>
      <c r="AU145" s="55" t="str">
        <f t="shared" si="96"/>
        <v/>
      </c>
      <c r="AV145" s="55" t="str">
        <f t="shared" ca="1" si="97"/>
        <v/>
      </c>
      <c r="AW145" s="55" t="str">
        <f t="shared" si="87"/>
        <v/>
      </c>
      <c r="AX145" s="55" t="str">
        <f t="shared" ca="1" si="88"/>
        <v/>
      </c>
      <c r="AY145" s="86"/>
      <c r="AZ145" s="86"/>
      <c r="BA145" s="55" t="str">
        <f t="shared" si="98"/>
        <v/>
      </c>
      <c r="BB145" s="86"/>
      <c r="BC145" s="86"/>
      <c r="BD145" s="55" t="str">
        <f t="shared" si="99"/>
        <v/>
      </c>
      <c r="BE145" s="74"/>
      <c r="BR145" s="3"/>
      <c r="BS145" s="118"/>
      <c r="BT145" s="118"/>
      <c r="BU145" s="118"/>
      <c r="BV145" s="118"/>
      <c r="BW145" s="118"/>
      <c r="BX145" s="118"/>
      <c r="BZ145" s="118"/>
      <c r="CB145" s="118"/>
      <c r="CC145" s="118"/>
      <c r="CD145" s="118"/>
    </row>
    <row r="146" spans="1:82" ht="17.399999999999999" customHeight="1">
      <c r="A146" s="72">
        <f t="shared" ref="A146:A209" si="101">A139+1</f>
        <v>20.3</v>
      </c>
      <c r="B146" s="111">
        <f t="shared" si="81"/>
        <v>136</v>
      </c>
      <c r="C146" s="60"/>
      <c r="D146" s="74"/>
      <c r="E146" s="75"/>
      <c r="F146" s="74"/>
      <c r="G146" s="54">
        <f t="shared" si="89"/>
        <v>0</v>
      </c>
      <c r="H146" s="55">
        <f t="shared" si="89"/>
        <v>0</v>
      </c>
      <c r="I146" s="76">
        <f t="shared" si="90"/>
        <v>0</v>
      </c>
      <c r="J146" s="58">
        <f t="shared" si="91"/>
        <v>0</v>
      </c>
      <c r="K146" s="58">
        <f t="shared" si="92"/>
        <v>0</v>
      </c>
      <c r="L146" s="58">
        <f t="shared" si="93"/>
        <v>0</v>
      </c>
      <c r="M146" s="58" t="str">
        <f t="shared" ca="1" si="94"/>
        <v/>
      </c>
      <c r="N146" s="58" t="str">
        <f t="shared" ca="1" si="94"/>
        <v/>
      </c>
      <c r="O146" s="58">
        <f t="shared" si="95"/>
        <v>5.0000000000000001E-4</v>
      </c>
      <c r="P146" s="77"/>
      <c r="Q146" s="60"/>
      <c r="R146" s="77"/>
      <c r="S146" s="78">
        <f t="shared" si="82"/>
        <v>0</v>
      </c>
      <c r="T146" s="55">
        <f t="shared" si="82"/>
        <v>0</v>
      </c>
      <c r="U146" s="79">
        <f t="shared" ref="U146:U209" si="102">IF(P146="FULL FEED",(Q146*G146/1000),(Q146*2*G146/1000))</f>
        <v>0</v>
      </c>
      <c r="V146" s="63">
        <f t="shared" ref="V146:V209" si="103">IF(P146="FULL FEED",(R146*H146/1000),(R146*2*H146/1000))</f>
        <v>0</v>
      </c>
      <c r="W146" s="64">
        <f t="shared" si="100"/>
        <v>98</v>
      </c>
      <c r="X146" s="80">
        <f t="shared" si="100"/>
        <v>92</v>
      </c>
      <c r="Y146" s="75"/>
      <c r="Z146" s="60"/>
      <c r="AA146" s="112"/>
      <c r="AB146" s="112"/>
      <c r="AC146" s="112"/>
      <c r="AD146" s="75"/>
      <c r="AE146" s="81">
        <f t="shared" si="83"/>
        <v>0</v>
      </c>
      <c r="AF146" s="55">
        <f t="shared" si="84"/>
        <v>0</v>
      </c>
      <c r="AG146" s="76">
        <f t="shared" si="78"/>
        <v>0</v>
      </c>
      <c r="AH146" s="82">
        <f t="shared" si="79"/>
        <v>0</v>
      </c>
      <c r="AI146" s="83">
        <f t="shared" si="79"/>
        <v>0</v>
      </c>
      <c r="AJ146" s="83">
        <f t="shared" si="79"/>
        <v>0</v>
      </c>
      <c r="AK146" s="58">
        <f t="shared" si="79"/>
        <v>0</v>
      </c>
      <c r="AL146" s="82">
        <f t="shared" si="85"/>
        <v>0</v>
      </c>
      <c r="AM146" s="58">
        <f t="shared" si="86"/>
        <v>0</v>
      </c>
      <c r="AN146" s="74"/>
      <c r="AO146" s="84"/>
      <c r="AP146" s="74"/>
      <c r="AQ146" s="85"/>
      <c r="AR146" s="74"/>
      <c r="AS146" s="74"/>
      <c r="AT146" s="74"/>
      <c r="AU146" s="55" t="str">
        <f t="shared" si="96"/>
        <v/>
      </c>
      <c r="AV146" s="55" t="str">
        <f t="shared" ca="1" si="97"/>
        <v/>
      </c>
      <c r="AW146" s="55" t="str">
        <f t="shared" si="87"/>
        <v/>
      </c>
      <c r="AX146" s="55" t="str">
        <f t="shared" ca="1" si="88"/>
        <v/>
      </c>
      <c r="AY146" s="86"/>
      <c r="AZ146" s="86"/>
      <c r="BA146" s="55" t="str">
        <f t="shared" si="98"/>
        <v/>
      </c>
      <c r="BB146" s="86"/>
      <c r="BC146" s="86"/>
      <c r="BD146" s="55" t="str">
        <f t="shared" si="99"/>
        <v/>
      </c>
      <c r="BE146" s="74"/>
      <c r="BR146" s="3"/>
      <c r="BS146" s="118"/>
      <c r="BT146" s="118"/>
      <c r="BU146" s="118"/>
      <c r="BV146" s="118"/>
      <c r="BW146" s="118"/>
      <c r="BX146" s="118"/>
      <c r="BZ146" s="118"/>
      <c r="CB146" s="118"/>
      <c r="CC146" s="118"/>
      <c r="CD146" s="118"/>
    </row>
    <row r="147" spans="1:82" ht="17.399999999999999" customHeight="1">
      <c r="A147" s="87">
        <f t="shared" si="101"/>
        <v>20.399999999999999</v>
      </c>
      <c r="B147" s="111">
        <f t="shared" si="81"/>
        <v>137</v>
      </c>
      <c r="C147" s="60"/>
      <c r="D147" s="74"/>
      <c r="E147" s="75"/>
      <c r="F147" s="74"/>
      <c r="G147" s="54">
        <f t="shared" si="89"/>
        <v>0</v>
      </c>
      <c r="H147" s="55">
        <f t="shared" si="89"/>
        <v>0</v>
      </c>
      <c r="I147" s="76">
        <f t="shared" si="90"/>
        <v>0</v>
      </c>
      <c r="J147" s="58">
        <f t="shared" si="91"/>
        <v>0</v>
      </c>
      <c r="K147" s="58">
        <f t="shared" si="92"/>
        <v>0</v>
      </c>
      <c r="L147" s="58">
        <f t="shared" si="93"/>
        <v>0</v>
      </c>
      <c r="M147" s="58" t="str">
        <f t="shared" ca="1" si="94"/>
        <v/>
      </c>
      <c r="N147" s="58" t="str">
        <f t="shared" ca="1" si="94"/>
        <v/>
      </c>
      <c r="O147" s="58">
        <f t="shared" si="95"/>
        <v>5.0000000000000001E-4</v>
      </c>
      <c r="P147" s="77"/>
      <c r="Q147" s="60"/>
      <c r="R147" s="77"/>
      <c r="S147" s="78">
        <f t="shared" si="82"/>
        <v>0</v>
      </c>
      <c r="T147" s="55">
        <f t="shared" si="82"/>
        <v>0</v>
      </c>
      <c r="U147" s="79">
        <f t="shared" si="102"/>
        <v>0</v>
      </c>
      <c r="V147" s="63">
        <f t="shared" si="103"/>
        <v>0</v>
      </c>
      <c r="W147" s="64">
        <f t="shared" si="100"/>
        <v>98</v>
      </c>
      <c r="X147" s="80">
        <f t="shared" si="100"/>
        <v>92</v>
      </c>
      <c r="Y147" s="75"/>
      <c r="Z147" s="60"/>
      <c r="AA147" s="112"/>
      <c r="AB147" s="112"/>
      <c r="AC147" s="112"/>
      <c r="AD147" s="75"/>
      <c r="AE147" s="81">
        <f t="shared" si="83"/>
        <v>0</v>
      </c>
      <c r="AF147" s="55">
        <f t="shared" si="84"/>
        <v>0</v>
      </c>
      <c r="AG147" s="76">
        <f t="shared" si="78"/>
        <v>0</v>
      </c>
      <c r="AH147" s="82">
        <f t="shared" si="79"/>
        <v>0</v>
      </c>
      <c r="AI147" s="83">
        <f t="shared" si="79"/>
        <v>0</v>
      </c>
      <c r="AJ147" s="83">
        <f t="shared" si="79"/>
        <v>0</v>
      </c>
      <c r="AK147" s="58">
        <f t="shared" si="79"/>
        <v>0</v>
      </c>
      <c r="AL147" s="82">
        <f t="shared" si="85"/>
        <v>0</v>
      </c>
      <c r="AM147" s="58">
        <f t="shared" si="86"/>
        <v>0</v>
      </c>
      <c r="AN147" s="74"/>
      <c r="AO147" s="84"/>
      <c r="AP147" s="74"/>
      <c r="AQ147" s="85"/>
      <c r="AR147" s="74"/>
      <c r="AS147" s="74"/>
      <c r="AT147" s="74"/>
      <c r="AU147" s="55" t="str">
        <f t="shared" si="96"/>
        <v/>
      </c>
      <c r="AV147" s="55" t="str">
        <f t="shared" ca="1" si="97"/>
        <v/>
      </c>
      <c r="AW147" s="55" t="str">
        <f t="shared" si="87"/>
        <v/>
      </c>
      <c r="AX147" s="55" t="str">
        <f t="shared" ca="1" si="88"/>
        <v/>
      </c>
      <c r="AY147" s="86"/>
      <c r="AZ147" s="86"/>
      <c r="BA147" s="55" t="str">
        <f t="shared" si="98"/>
        <v/>
      </c>
      <c r="BB147" s="86"/>
      <c r="BC147" s="86"/>
      <c r="BD147" s="55" t="str">
        <f t="shared" si="99"/>
        <v/>
      </c>
      <c r="BE147" s="74"/>
      <c r="BR147" s="3"/>
      <c r="BS147" s="118"/>
      <c r="BT147" s="118"/>
      <c r="BU147" s="118"/>
      <c r="BV147" s="118"/>
      <c r="BW147" s="118"/>
      <c r="BX147" s="118"/>
      <c r="BZ147" s="118"/>
      <c r="CB147" s="118"/>
      <c r="CC147" s="118"/>
      <c r="CD147" s="118"/>
    </row>
    <row r="148" spans="1:82" ht="17.399999999999999" customHeight="1">
      <c r="A148" s="72">
        <f t="shared" si="101"/>
        <v>20.5</v>
      </c>
      <c r="B148" s="111">
        <f t="shared" si="81"/>
        <v>138</v>
      </c>
      <c r="C148" s="60"/>
      <c r="D148" s="74"/>
      <c r="E148" s="75"/>
      <c r="F148" s="74"/>
      <c r="G148" s="54">
        <f t="shared" si="89"/>
        <v>0</v>
      </c>
      <c r="H148" s="55">
        <f t="shared" si="89"/>
        <v>0</v>
      </c>
      <c r="I148" s="76">
        <f t="shared" si="90"/>
        <v>0</v>
      </c>
      <c r="J148" s="58">
        <f t="shared" si="91"/>
        <v>0</v>
      </c>
      <c r="K148" s="58">
        <f t="shared" si="92"/>
        <v>0</v>
      </c>
      <c r="L148" s="58">
        <f t="shared" si="93"/>
        <v>0</v>
      </c>
      <c r="M148" s="58" t="str">
        <f t="shared" ca="1" si="94"/>
        <v/>
      </c>
      <c r="N148" s="58" t="str">
        <f t="shared" ca="1" si="94"/>
        <v/>
      </c>
      <c r="O148" s="58">
        <f t="shared" si="95"/>
        <v>5.0000000000000001E-4</v>
      </c>
      <c r="P148" s="77"/>
      <c r="Q148" s="60"/>
      <c r="R148" s="77"/>
      <c r="S148" s="78">
        <f t="shared" si="82"/>
        <v>0</v>
      </c>
      <c r="T148" s="55">
        <f t="shared" si="82"/>
        <v>0</v>
      </c>
      <c r="U148" s="79">
        <f t="shared" si="102"/>
        <v>0</v>
      </c>
      <c r="V148" s="63">
        <f t="shared" si="103"/>
        <v>0</v>
      </c>
      <c r="W148" s="64">
        <f t="shared" si="100"/>
        <v>98</v>
      </c>
      <c r="X148" s="80">
        <f t="shared" si="100"/>
        <v>92</v>
      </c>
      <c r="Y148" s="75"/>
      <c r="Z148" s="60"/>
      <c r="AA148" s="112"/>
      <c r="AB148" s="112"/>
      <c r="AC148" s="112"/>
      <c r="AD148" s="75"/>
      <c r="AE148" s="81">
        <f t="shared" si="83"/>
        <v>0</v>
      </c>
      <c r="AF148" s="55">
        <f t="shared" si="84"/>
        <v>0</v>
      </c>
      <c r="AG148" s="76">
        <f t="shared" si="78"/>
        <v>0</v>
      </c>
      <c r="AH148" s="82">
        <f t="shared" si="79"/>
        <v>0</v>
      </c>
      <c r="AI148" s="83">
        <f t="shared" si="79"/>
        <v>0</v>
      </c>
      <c r="AJ148" s="83">
        <f t="shared" si="79"/>
        <v>0</v>
      </c>
      <c r="AK148" s="58">
        <f t="shared" si="79"/>
        <v>0</v>
      </c>
      <c r="AL148" s="82">
        <f t="shared" si="85"/>
        <v>0</v>
      </c>
      <c r="AM148" s="58">
        <f t="shared" si="86"/>
        <v>0</v>
      </c>
      <c r="AN148" s="74"/>
      <c r="AO148" s="84"/>
      <c r="AP148" s="74"/>
      <c r="AQ148" s="85"/>
      <c r="AR148" s="74"/>
      <c r="AS148" s="74"/>
      <c r="AT148" s="74"/>
      <c r="AU148" s="55" t="str">
        <f t="shared" si="96"/>
        <v/>
      </c>
      <c r="AV148" s="55" t="str">
        <f t="shared" ca="1" si="97"/>
        <v/>
      </c>
      <c r="AW148" s="55" t="str">
        <f t="shared" si="87"/>
        <v/>
      </c>
      <c r="AX148" s="55" t="str">
        <f t="shared" ca="1" si="88"/>
        <v/>
      </c>
      <c r="AY148" s="86"/>
      <c r="AZ148" s="86"/>
      <c r="BA148" s="55" t="str">
        <f t="shared" si="98"/>
        <v/>
      </c>
      <c r="BB148" s="86"/>
      <c r="BC148" s="86"/>
      <c r="BD148" s="55" t="str">
        <f t="shared" si="99"/>
        <v/>
      </c>
      <c r="BE148" s="74"/>
      <c r="BR148" s="3"/>
      <c r="BS148" s="118"/>
      <c r="BT148" s="118"/>
      <c r="BU148" s="118"/>
      <c r="BV148" s="118"/>
      <c r="BW148" s="118"/>
      <c r="BX148" s="118"/>
      <c r="BZ148" s="118"/>
      <c r="CB148" s="118"/>
      <c r="CC148" s="118"/>
      <c r="CD148" s="118"/>
    </row>
    <row r="149" spans="1:82" ht="17.399999999999999" customHeight="1">
      <c r="A149" s="87">
        <f t="shared" si="101"/>
        <v>20.6</v>
      </c>
      <c r="B149" s="111">
        <f t="shared" si="81"/>
        <v>139</v>
      </c>
      <c r="C149" s="60"/>
      <c r="D149" s="74"/>
      <c r="E149" s="75"/>
      <c r="F149" s="74"/>
      <c r="G149" s="54">
        <f t="shared" si="89"/>
        <v>0</v>
      </c>
      <c r="H149" s="55">
        <f t="shared" si="89"/>
        <v>0</v>
      </c>
      <c r="I149" s="76">
        <f t="shared" si="90"/>
        <v>0</v>
      </c>
      <c r="J149" s="58">
        <f t="shared" si="91"/>
        <v>0</v>
      </c>
      <c r="K149" s="58">
        <f t="shared" si="92"/>
        <v>0</v>
      </c>
      <c r="L149" s="58">
        <f t="shared" si="93"/>
        <v>0</v>
      </c>
      <c r="M149" s="58" t="str">
        <f t="shared" ca="1" si="94"/>
        <v/>
      </c>
      <c r="N149" s="58" t="str">
        <f t="shared" ca="1" si="94"/>
        <v/>
      </c>
      <c r="O149" s="58">
        <f t="shared" si="95"/>
        <v>5.0000000000000001E-4</v>
      </c>
      <c r="P149" s="77"/>
      <c r="Q149" s="60"/>
      <c r="R149" s="77"/>
      <c r="S149" s="78">
        <f t="shared" si="82"/>
        <v>0</v>
      </c>
      <c r="T149" s="55">
        <f t="shared" si="82"/>
        <v>0</v>
      </c>
      <c r="U149" s="79">
        <f t="shared" si="102"/>
        <v>0</v>
      </c>
      <c r="V149" s="63">
        <f t="shared" si="103"/>
        <v>0</v>
      </c>
      <c r="W149" s="64">
        <f t="shared" si="100"/>
        <v>98</v>
      </c>
      <c r="X149" s="80">
        <f t="shared" si="100"/>
        <v>92</v>
      </c>
      <c r="Y149" s="75"/>
      <c r="Z149" s="60"/>
      <c r="AA149" s="112"/>
      <c r="AB149" s="112"/>
      <c r="AC149" s="112"/>
      <c r="AD149" s="75"/>
      <c r="AE149" s="81">
        <f t="shared" si="83"/>
        <v>0</v>
      </c>
      <c r="AF149" s="55">
        <f t="shared" si="84"/>
        <v>0</v>
      </c>
      <c r="AG149" s="76">
        <f t="shared" si="78"/>
        <v>0</v>
      </c>
      <c r="AH149" s="82">
        <f t="shared" si="79"/>
        <v>0</v>
      </c>
      <c r="AI149" s="83">
        <f t="shared" si="79"/>
        <v>0</v>
      </c>
      <c r="AJ149" s="83">
        <f t="shared" si="79"/>
        <v>0</v>
      </c>
      <c r="AK149" s="58">
        <f t="shared" si="79"/>
        <v>0</v>
      </c>
      <c r="AL149" s="82">
        <f t="shared" si="85"/>
        <v>0</v>
      </c>
      <c r="AM149" s="58">
        <f t="shared" si="86"/>
        <v>0</v>
      </c>
      <c r="AN149" s="74"/>
      <c r="AO149" s="84"/>
      <c r="AP149" s="74"/>
      <c r="AQ149" s="85"/>
      <c r="AR149" s="74"/>
      <c r="AS149" s="74"/>
      <c r="AT149" s="74"/>
      <c r="AU149" s="55" t="str">
        <f t="shared" si="96"/>
        <v/>
      </c>
      <c r="AV149" s="55" t="str">
        <f t="shared" ca="1" si="97"/>
        <v/>
      </c>
      <c r="AW149" s="55" t="str">
        <f t="shared" si="87"/>
        <v/>
      </c>
      <c r="AX149" s="55" t="str">
        <f t="shared" ca="1" si="88"/>
        <v/>
      </c>
      <c r="AY149" s="86"/>
      <c r="AZ149" s="86"/>
      <c r="BA149" s="55" t="str">
        <f t="shared" si="98"/>
        <v/>
      </c>
      <c r="BB149" s="86"/>
      <c r="BC149" s="86"/>
      <c r="BD149" s="55" t="str">
        <f t="shared" si="99"/>
        <v/>
      </c>
      <c r="BE149" s="74"/>
      <c r="BR149" s="3"/>
      <c r="BS149" s="118"/>
      <c r="BT149" s="118"/>
      <c r="BU149" s="118"/>
      <c r="BV149" s="118"/>
      <c r="BW149" s="118"/>
      <c r="BX149" s="118"/>
      <c r="BZ149" s="118"/>
      <c r="CB149" s="118"/>
      <c r="CC149" s="118"/>
      <c r="CD149" s="118"/>
    </row>
    <row r="150" spans="1:82" ht="17.399999999999999" customHeight="1" thickBot="1">
      <c r="A150" s="72">
        <f t="shared" si="101"/>
        <v>20.700000000000003</v>
      </c>
      <c r="B150" s="113">
        <f t="shared" si="81"/>
        <v>140</v>
      </c>
      <c r="C150" s="89"/>
      <c r="D150" s="90"/>
      <c r="E150" s="91"/>
      <c r="F150" s="90"/>
      <c r="G150" s="92">
        <f t="shared" si="89"/>
        <v>0</v>
      </c>
      <c r="H150" s="93">
        <f t="shared" si="89"/>
        <v>0</v>
      </c>
      <c r="I150" s="94">
        <f t="shared" si="90"/>
        <v>0</v>
      </c>
      <c r="J150" s="95">
        <f t="shared" si="91"/>
        <v>0</v>
      </c>
      <c r="K150" s="95">
        <f t="shared" si="92"/>
        <v>0</v>
      </c>
      <c r="L150" s="95">
        <f t="shared" si="93"/>
        <v>0</v>
      </c>
      <c r="M150" s="95" t="str">
        <f t="shared" ca="1" si="94"/>
        <v/>
      </c>
      <c r="N150" s="95" t="str">
        <f t="shared" ca="1" si="94"/>
        <v/>
      </c>
      <c r="O150" s="95">
        <f t="shared" si="95"/>
        <v>5.0000000000000001E-4</v>
      </c>
      <c r="P150" s="96"/>
      <c r="Q150" s="89"/>
      <c r="R150" s="96"/>
      <c r="S150" s="78">
        <f t="shared" si="82"/>
        <v>0</v>
      </c>
      <c r="T150" s="55">
        <f t="shared" si="82"/>
        <v>0</v>
      </c>
      <c r="U150" s="97">
        <f t="shared" si="102"/>
        <v>0</v>
      </c>
      <c r="V150" s="98">
        <f t="shared" si="103"/>
        <v>0</v>
      </c>
      <c r="W150" s="99">
        <f t="shared" si="100"/>
        <v>98</v>
      </c>
      <c r="X150" s="100">
        <f t="shared" si="100"/>
        <v>92</v>
      </c>
      <c r="Y150" s="91"/>
      <c r="Z150" s="89"/>
      <c r="AA150" s="112"/>
      <c r="AB150" s="112"/>
      <c r="AC150" s="112"/>
      <c r="AD150" s="75"/>
      <c r="AE150" s="101">
        <f t="shared" si="83"/>
        <v>0</v>
      </c>
      <c r="AF150" s="93">
        <f t="shared" si="84"/>
        <v>0</v>
      </c>
      <c r="AG150" s="94">
        <f t="shared" si="78"/>
        <v>0</v>
      </c>
      <c r="AH150" s="102">
        <f t="shared" si="79"/>
        <v>0</v>
      </c>
      <c r="AI150" s="103">
        <f t="shared" si="79"/>
        <v>0</v>
      </c>
      <c r="AJ150" s="103">
        <f t="shared" si="79"/>
        <v>0</v>
      </c>
      <c r="AK150" s="95">
        <f t="shared" si="79"/>
        <v>0</v>
      </c>
      <c r="AL150" s="102">
        <f t="shared" si="85"/>
        <v>0</v>
      </c>
      <c r="AM150" s="95">
        <f t="shared" si="86"/>
        <v>0</v>
      </c>
      <c r="AN150" s="90"/>
      <c r="AO150" s="104"/>
      <c r="AP150" s="90"/>
      <c r="AQ150" s="105"/>
      <c r="AR150" s="90"/>
      <c r="AS150" s="90"/>
      <c r="AT150" s="90"/>
      <c r="AU150" s="93" t="str">
        <f t="shared" si="96"/>
        <v/>
      </c>
      <c r="AV150" s="93" t="str">
        <f t="shared" ca="1" si="97"/>
        <v/>
      </c>
      <c r="AW150" s="93" t="str">
        <f t="shared" si="87"/>
        <v/>
      </c>
      <c r="AX150" s="93" t="str">
        <f t="shared" ca="1" si="88"/>
        <v/>
      </c>
      <c r="AY150" s="106"/>
      <c r="AZ150" s="106"/>
      <c r="BA150" s="93" t="str">
        <f t="shared" si="98"/>
        <v/>
      </c>
      <c r="BB150" s="106"/>
      <c r="BC150" s="106"/>
      <c r="BD150" s="93" t="str">
        <f t="shared" si="99"/>
        <v/>
      </c>
      <c r="BE150" s="90"/>
      <c r="BR150" s="3"/>
      <c r="BS150" s="118"/>
      <c r="BT150" s="118"/>
      <c r="BU150" s="118"/>
      <c r="BV150" s="118"/>
      <c r="BW150" s="118"/>
      <c r="BX150" s="118"/>
      <c r="BZ150" s="118"/>
      <c r="CB150" s="118"/>
      <c r="CC150" s="118"/>
      <c r="CD150" s="118"/>
    </row>
    <row r="151" spans="1:82" ht="17.399999999999999" customHeight="1" thickTop="1">
      <c r="A151" s="49">
        <f>A144+1</f>
        <v>21.1</v>
      </c>
      <c r="B151" s="108">
        <f>B150+1</f>
        <v>141</v>
      </c>
      <c r="C151" s="51"/>
      <c r="D151" s="52"/>
      <c r="E151" s="53"/>
      <c r="F151" s="52"/>
      <c r="G151" s="54">
        <f t="shared" si="89"/>
        <v>0</v>
      </c>
      <c r="H151" s="55">
        <f t="shared" si="89"/>
        <v>0</v>
      </c>
      <c r="I151" s="56">
        <f t="shared" si="90"/>
        <v>0</v>
      </c>
      <c r="J151" s="57">
        <f t="shared" si="91"/>
        <v>0</v>
      </c>
      <c r="K151" s="57">
        <f t="shared" si="92"/>
        <v>0</v>
      </c>
      <c r="L151" s="57">
        <f t="shared" si="93"/>
        <v>0</v>
      </c>
      <c r="M151" s="58" t="str">
        <f t="shared" ca="1" si="94"/>
        <v/>
      </c>
      <c r="N151" s="58" t="str">
        <f t="shared" ca="1" si="94"/>
        <v/>
      </c>
      <c r="O151" s="58">
        <f t="shared" si="95"/>
        <v>5.0000000000000001E-4</v>
      </c>
      <c r="P151" s="77"/>
      <c r="Q151" s="60"/>
      <c r="R151" s="77"/>
      <c r="S151" s="109">
        <f t="shared" si="82"/>
        <v>0</v>
      </c>
      <c r="T151" s="61">
        <f t="shared" si="82"/>
        <v>0</v>
      </c>
      <c r="U151" s="62">
        <f t="shared" si="102"/>
        <v>0</v>
      </c>
      <c r="V151" s="63">
        <f t="shared" si="103"/>
        <v>0</v>
      </c>
      <c r="W151" s="64">
        <v>102</v>
      </c>
      <c r="X151" s="80">
        <v>97</v>
      </c>
      <c r="Y151" s="53"/>
      <c r="Z151" s="51"/>
      <c r="AA151" s="110"/>
      <c r="AB151" s="110"/>
      <c r="AC151" s="110"/>
      <c r="AD151" s="53"/>
      <c r="AE151" s="66">
        <f t="shared" si="83"/>
        <v>0</v>
      </c>
      <c r="AF151" s="61">
        <f t="shared" si="84"/>
        <v>0</v>
      </c>
      <c r="AG151" s="56">
        <f t="shared" si="78"/>
        <v>0</v>
      </c>
      <c r="AH151" s="67">
        <f t="shared" si="79"/>
        <v>0</v>
      </c>
      <c r="AI151" s="68">
        <f t="shared" si="79"/>
        <v>0</v>
      </c>
      <c r="AJ151" s="68">
        <f t="shared" si="79"/>
        <v>0</v>
      </c>
      <c r="AK151" s="57">
        <f t="shared" si="79"/>
        <v>0</v>
      </c>
      <c r="AL151" s="67">
        <f t="shared" si="85"/>
        <v>0</v>
      </c>
      <c r="AM151" s="57">
        <f t="shared" si="86"/>
        <v>0</v>
      </c>
      <c r="AN151" s="52"/>
      <c r="AO151" s="69"/>
      <c r="AP151" s="52"/>
      <c r="AQ151" s="70"/>
      <c r="AR151" s="52"/>
      <c r="AS151" s="52"/>
      <c r="AT151" s="52"/>
      <c r="AU151" s="61" t="str">
        <f t="shared" si="96"/>
        <v/>
      </c>
      <c r="AV151" s="61" t="str">
        <f t="shared" ca="1" si="97"/>
        <v/>
      </c>
      <c r="AW151" s="61" t="str">
        <f t="shared" si="87"/>
        <v/>
      </c>
      <c r="AX151" s="61" t="str">
        <f t="shared" ca="1" si="88"/>
        <v/>
      </c>
      <c r="AY151" s="71"/>
      <c r="AZ151" s="71"/>
      <c r="BA151" s="61" t="str">
        <f t="shared" si="98"/>
        <v/>
      </c>
      <c r="BB151" s="71"/>
      <c r="BC151" s="71"/>
      <c r="BD151" s="61" t="str">
        <f t="shared" si="99"/>
        <v/>
      </c>
      <c r="BE151" s="52"/>
      <c r="BR151" s="3"/>
      <c r="BS151" s="118"/>
      <c r="BT151" s="118"/>
      <c r="BU151" s="118"/>
      <c r="BV151" s="118"/>
      <c r="BW151" s="118"/>
      <c r="BX151" s="118"/>
      <c r="BZ151" s="118"/>
      <c r="CB151" s="118"/>
      <c r="CC151" s="118"/>
      <c r="CD151" s="118"/>
    </row>
    <row r="152" spans="1:82" ht="17.399999999999999" customHeight="1">
      <c r="A152" s="72">
        <f t="shared" si="101"/>
        <v>21.2</v>
      </c>
      <c r="B152" s="111">
        <f t="shared" si="81"/>
        <v>142</v>
      </c>
      <c r="C152" s="60"/>
      <c r="D152" s="74"/>
      <c r="E152" s="75"/>
      <c r="F152" s="74"/>
      <c r="G152" s="54">
        <f t="shared" si="89"/>
        <v>0</v>
      </c>
      <c r="H152" s="55">
        <f t="shared" si="89"/>
        <v>0</v>
      </c>
      <c r="I152" s="76">
        <f t="shared" si="90"/>
        <v>0</v>
      </c>
      <c r="J152" s="58">
        <f t="shared" si="91"/>
        <v>0</v>
      </c>
      <c r="K152" s="58">
        <f t="shared" si="92"/>
        <v>0</v>
      </c>
      <c r="L152" s="58">
        <f t="shared" si="93"/>
        <v>0</v>
      </c>
      <c r="M152" s="58" t="str">
        <f t="shared" ca="1" si="94"/>
        <v/>
      </c>
      <c r="N152" s="58" t="str">
        <f t="shared" ca="1" si="94"/>
        <v/>
      </c>
      <c r="O152" s="58">
        <f t="shared" si="95"/>
        <v>5.0000000000000001E-4</v>
      </c>
      <c r="P152" s="77"/>
      <c r="Q152" s="60"/>
      <c r="R152" s="77"/>
      <c r="S152" s="78">
        <f t="shared" si="82"/>
        <v>0</v>
      </c>
      <c r="T152" s="55">
        <f t="shared" si="82"/>
        <v>0</v>
      </c>
      <c r="U152" s="79">
        <f t="shared" si="102"/>
        <v>0</v>
      </c>
      <c r="V152" s="63">
        <f t="shared" si="103"/>
        <v>0</v>
      </c>
      <c r="W152" s="64">
        <f t="shared" ref="W152:X157" si="104">W151</f>
        <v>102</v>
      </c>
      <c r="X152" s="80">
        <f t="shared" si="104"/>
        <v>97</v>
      </c>
      <c r="Y152" s="75"/>
      <c r="Z152" s="60"/>
      <c r="AA152" s="112"/>
      <c r="AB152" s="112"/>
      <c r="AC152" s="112"/>
      <c r="AD152" s="75"/>
      <c r="AE152" s="81">
        <f t="shared" si="83"/>
        <v>0</v>
      </c>
      <c r="AF152" s="55">
        <f t="shared" si="84"/>
        <v>0</v>
      </c>
      <c r="AG152" s="76">
        <f t="shared" si="78"/>
        <v>0</v>
      </c>
      <c r="AH152" s="82">
        <f t="shared" si="79"/>
        <v>0</v>
      </c>
      <c r="AI152" s="83">
        <f t="shared" si="79"/>
        <v>0</v>
      </c>
      <c r="AJ152" s="83">
        <f t="shared" si="79"/>
        <v>0</v>
      </c>
      <c r="AK152" s="58">
        <f t="shared" si="79"/>
        <v>0</v>
      </c>
      <c r="AL152" s="82">
        <f t="shared" si="85"/>
        <v>0</v>
      </c>
      <c r="AM152" s="58">
        <f t="shared" si="86"/>
        <v>0</v>
      </c>
      <c r="AN152" s="74"/>
      <c r="AO152" s="84"/>
      <c r="AP152" s="74"/>
      <c r="AQ152" s="85"/>
      <c r="AR152" s="74"/>
      <c r="AS152" s="74"/>
      <c r="AT152" s="74"/>
      <c r="AU152" s="55" t="str">
        <f t="shared" si="96"/>
        <v/>
      </c>
      <c r="AV152" s="55" t="str">
        <f t="shared" ca="1" si="97"/>
        <v/>
      </c>
      <c r="AW152" s="55" t="str">
        <f t="shared" si="87"/>
        <v/>
      </c>
      <c r="AX152" s="55" t="str">
        <f t="shared" ca="1" si="88"/>
        <v/>
      </c>
      <c r="AY152" s="86"/>
      <c r="AZ152" s="86"/>
      <c r="BA152" s="55" t="str">
        <f t="shared" si="98"/>
        <v/>
      </c>
      <c r="BB152" s="86"/>
      <c r="BC152" s="86"/>
      <c r="BD152" s="55" t="str">
        <f t="shared" si="99"/>
        <v/>
      </c>
      <c r="BE152" s="74"/>
      <c r="BR152" s="3"/>
      <c r="BS152" s="118"/>
      <c r="BT152" s="118"/>
      <c r="BU152" s="118"/>
      <c r="BV152" s="118"/>
      <c r="BW152" s="118"/>
      <c r="BX152" s="118"/>
      <c r="BZ152" s="118"/>
      <c r="CB152" s="118"/>
      <c r="CC152" s="118"/>
      <c r="CD152" s="118"/>
    </row>
    <row r="153" spans="1:82" ht="17.399999999999999" customHeight="1">
      <c r="A153" s="87">
        <f t="shared" si="101"/>
        <v>21.3</v>
      </c>
      <c r="B153" s="111">
        <f t="shared" si="81"/>
        <v>143</v>
      </c>
      <c r="C153" s="60"/>
      <c r="D153" s="74"/>
      <c r="E153" s="75"/>
      <c r="F153" s="74"/>
      <c r="G153" s="54">
        <f t="shared" si="89"/>
        <v>0</v>
      </c>
      <c r="H153" s="55">
        <f t="shared" si="89"/>
        <v>0</v>
      </c>
      <c r="I153" s="76">
        <f t="shared" si="90"/>
        <v>0</v>
      </c>
      <c r="J153" s="58">
        <f t="shared" si="91"/>
        <v>0</v>
      </c>
      <c r="K153" s="58">
        <f t="shared" si="92"/>
        <v>0</v>
      </c>
      <c r="L153" s="58">
        <f t="shared" si="93"/>
        <v>0</v>
      </c>
      <c r="M153" s="58" t="str">
        <f t="shared" ca="1" si="94"/>
        <v/>
      </c>
      <c r="N153" s="58" t="str">
        <f t="shared" ca="1" si="94"/>
        <v/>
      </c>
      <c r="O153" s="58">
        <f t="shared" si="95"/>
        <v>5.0000000000000001E-4</v>
      </c>
      <c r="P153" s="77"/>
      <c r="Q153" s="60"/>
      <c r="R153" s="77"/>
      <c r="S153" s="78">
        <f t="shared" si="82"/>
        <v>0</v>
      </c>
      <c r="T153" s="55">
        <f t="shared" si="82"/>
        <v>0</v>
      </c>
      <c r="U153" s="79">
        <f t="shared" si="102"/>
        <v>0</v>
      </c>
      <c r="V153" s="63">
        <f t="shared" si="103"/>
        <v>0</v>
      </c>
      <c r="W153" s="64">
        <f t="shared" si="104"/>
        <v>102</v>
      </c>
      <c r="X153" s="80">
        <f t="shared" si="104"/>
        <v>97</v>
      </c>
      <c r="Y153" s="75"/>
      <c r="Z153" s="60"/>
      <c r="AA153" s="112"/>
      <c r="AB153" s="112"/>
      <c r="AC153" s="112"/>
      <c r="AD153" s="75"/>
      <c r="AE153" s="81">
        <f t="shared" si="83"/>
        <v>0</v>
      </c>
      <c r="AF153" s="55">
        <f t="shared" si="84"/>
        <v>0</v>
      </c>
      <c r="AG153" s="76">
        <f t="shared" si="78"/>
        <v>0</v>
      </c>
      <c r="AH153" s="82">
        <f t="shared" si="79"/>
        <v>0</v>
      </c>
      <c r="AI153" s="83">
        <f t="shared" si="79"/>
        <v>0</v>
      </c>
      <c r="AJ153" s="83">
        <f t="shared" si="79"/>
        <v>0</v>
      </c>
      <c r="AK153" s="58">
        <f t="shared" si="79"/>
        <v>0</v>
      </c>
      <c r="AL153" s="82">
        <f t="shared" si="85"/>
        <v>0</v>
      </c>
      <c r="AM153" s="58">
        <f t="shared" si="86"/>
        <v>0</v>
      </c>
      <c r="AN153" s="74"/>
      <c r="AO153" s="84"/>
      <c r="AP153" s="74"/>
      <c r="AQ153" s="85"/>
      <c r="AR153" s="74"/>
      <c r="AS153" s="74"/>
      <c r="AT153" s="74"/>
      <c r="AU153" s="55" t="str">
        <f t="shared" si="96"/>
        <v/>
      </c>
      <c r="AV153" s="55" t="str">
        <f t="shared" ca="1" si="97"/>
        <v/>
      </c>
      <c r="AW153" s="55" t="str">
        <f t="shared" si="87"/>
        <v/>
      </c>
      <c r="AX153" s="55" t="str">
        <f t="shared" ca="1" si="88"/>
        <v/>
      </c>
      <c r="AY153" s="86"/>
      <c r="AZ153" s="86"/>
      <c r="BA153" s="55" t="str">
        <f t="shared" si="98"/>
        <v/>
      </c>
      <c r="BB153" s="86"/>
      <c r="BC153" s="86"/>
      <c r="BD153" s="55" t="str">
        <f t="shared" si="99"/>
        <v/>
      </c>
      <c r="BE153" s="74"/>
      <c r="BS153" s="118"/>
      <c r="BT153" s="118"/>
      <c r="BU153" s="118"/>
      <c r="BV153" s="118"/>
      <c r="BW153" s="118"/>
      <c r="BX153" s="118"/>
      <c r="BZ153" s="118"/>
      <c r="CB153" s="118"/>
      <c r="CC153" s="118"/>
      <c r="CD153" s="118"/>
    </row>
    <row r="154" spans="1:82" ht="17.399999999999999" customHeight="1">
      <c r="A154" s="72">
        <f t="shared" si="101"/>
        <v>21.4</v>
      </c>
      <c r="B154" s="111">
        <f t="shared" si="81"/>
        <v>144</v>
      </c>
      <c r="C154" s="60"/>
      <c r="D154" s="74"/>
      <c r="E154" s="75"/>
      <c r="F154" s="74"/>
      <c r="G154" s="54">
        <f t="shared" si="89"/>
        <v>0</v>
      </c>
      <c r="H154" s="55">
        <f t="shared" si="89"/>
        <v>0</v>
      </c>
      <c r="I154" s="76">
        <f t="shared" si="90"/>
        <v>0</v>
      </c>
      <c r="J154" s="58">
        <f t="shared" si="91"/>
        <v>0</v>
      </c>
      <c r="K154" s="58">
        <f t="shared" si="92"/>
        <v>0</v>
      </c>
      <c r="L154" s="58">
        <f t="shared" si="93"/>
        <v>0</v>
      </c>
      <c r="M154" s="58" t="str">
        <f t="shared" ca="1" si="94"/>
        <v/>
      </c>
      <c r="N154" s="58" t="str">
        <f t="shared" ca="1" si="94"/>
        <v/>
      </c>
      <c r="O154" s="58">
        <f t="shared" si="95"/>
        <v>5.0000000000000001E-4</v>
      </c>
      <c r="P154" s="77"/>
      <c r="Q154" s="60"/>
      <c r="R154" s="77"/>
      <c r="S154" s="78">
        <f t="shared" si="82"/>
        <v>0</v>
      </c>
      <c r="T154" s="55">
        <f t="shared" si="82"/>
        <v>0</v>
      </c>
      <c r="U154" s="79">
        <f t="shared" si="102"/>
        <v>0</v>
      </c>
      <c r="V154" s="63">
        <f t="shared" si="103"/>
        <v>0</v>
      </c>
      <c r="W154" s="64">
        <f t="shared" si="104"/>
        <v>102</v>
      </c>
      <c r="X154" s="80">
        <f t="shared" si="104"/>
        <v>97</v>
      </c>
      <c r="Y154" s="75"/>
      <c r="Z154" s="60"/>
      <c r="AA154" s="112"/>
      <c r="AB154" s="112"/>
      <c r="AC154" s="112"/>
      <c r="AD154" s="75"/>
      <c r="AE154" s="81">
        <f t="shared" si="83"/>
        <v>0</v>
      </c>
      <c r="AF154" s="55">
        <f t="shared" si="84"/>
        <v>0</v>
      </c>
      <c r="AG154" s="76">
        <f t="shared" si="78"/>
        <v>0</v>
      </c>
      <c r="AH154" s="82">
        <f t="shared" si="79"/>
        <v>0</v>
      </c>
      <c r="AI154" s="83">
        <f t="shared" si="79"/>
        <v>0</v>
      </c>
      <c r="AJ154" s="83">
        <f t="shared" si="79"/>
        <v>0</v>
      </c>
      <c r="AK154" s="58">
        <f t="shared" si="79"/>
        <v>0</v>
      </c>
      <c r="AL154" s="82">
        <f t="shared" si="85"/>
        <v>0</v>
      </c>
      <c r="AM154" s="58">
        <f t="shared" si="86"/>
        <v>0</v>
      </c>
      <c r="AN154" s="74"/>
      <c r="AO154" s="84"/>
      <c r="AP154" s="74"/>
      <c r="AQ154" s="85"/>
      <c r="AR154" s="74"/>
      <c r="AS154" s="74"/>
      <c r="AT154" s="74"/>
      <c r="AU154" s="55" t="str">
        <f t="shared" si="96"/>
        <v/>
      </c>
      <c r="AV154" s="55" t="str">
        <f t="shared" ca="1" si="97"/>
        <v/>
      </c>
      <c r="AW154" s="55" t="str">
        <f t="shared" si="87"/>
        <v/>
      </c>
      <c r="AX154" s="55" t="str">
        <f t="shared" ca="1" si="88"/>
        <v/>
      </c>
      <c r="AY154" s="86"/>
      <c r="AZ154" s="86"/>
      <c r="BA154" s="55" t="str">
        <f t="shared" si="98"/>
        <v/>
      </c>
      <c r="BB154" s="86"/>
      <c r="BC154" s="86"/>
      <c r="BD154" s="55" t="str">
        <f t="shared" si="99"/>
        <v/>
      </c>
      <c r="BE154" s="74"/>
      <c r="BS154" s="118"/>
      <c r="BT154" s="118"/>
      <c r="BU154" s="118"/>
      <c r="BV154" s="118"/>
      <c r="BW154" s="118"/>
      <c r="BX154" s="118"/>
      <c r="BZ154" s="118"/>
      <c r="CB154" s="118"/>
      <c r="CC154" s="118"/>
      <c r="CD154" s="118"/>
    </row>
    <row r="155" spans="1:82" ht="17.399999999999999" customHeight="1">
      <c r="A155" s="87">
        <f t="shared" si="101"/>
        <v>21.5</v>
      </c>
      <c r="B155" s="111">
        <f t="shared" si="81"/>
        <v>145</v>
      </c>
      <c r="C155" s="60"/>
      <c r="D155" s="74"/>
      <c r="E155" s="75"/>
      <c r="F155" s="74"/>
      <c r="G155" s="54">
        <f t="shared" si="89"/>
        <v>0</v>
      </c>
      <c r="H155" s="55">
        <f t="shared" si="89"/>
        <v>0</v>
      </c>
      <c r="I155" s="76">
        <f t="shared" si="90"/>
        <v>0</v>
      </c>
      <c r="J155" s="58">
        <f t="shared" si="91"/>
        <v>0</v>
      </c>
      <c r="K155" s="58">
        <f t="shared" si="92"/>
        <v>0</v>
      </c>
      <c r="L155" s="58">
        <f t="shared" si="93"/>
        <v>0</v>
      </c>
      <c r="M155" s="58" t="str">
        <f t="shared" ca="1" si="94"/>
        <v/>
      </c>
      <c r="N155" s="58" t="str">
        <f t="shared" ca="1" si="94"/>
        <v/>
      </c>
      <c r="O155" s="58">
        <f t="shared" si="95"/>
        <v>5.0000000000000001E-4</v>
      </c>
      <c r="P155" s="77"/>
      <c r="Q155" s="60"/>
      <c r="R155" s="77"/>
      <c r="S155" s="78">
        <f t="shared" si="82"/>
        <v>0</v>
      </c>
      <c r="T155" s="55">
        <f t="shared" si="82"/>
        <v>0</v>
      </c>
      <c r="U155" s="79">
        <f t="shared" si="102"/>
        <v>0</v>
      </c>
      <c r="V155" s="63">
        <f t="shared" si="103"/>
        <v>0</v>
      </c>
      <c r="W155" s="64">
        <f t="shared" si="104"/>
        <v>102</v>
      </c>
      <c r="X155" s="80">
        <f t="shared" si="104"/>
        <v>97</v>
      </c>
      <c r="Y155" s="75"/>
      <c r="Z155" s="60"/>
      <c r="AA155" s="112"/>
      <c r="AB155" s="112"/>
      <c r="AC155" s="112"/>
      <c r="AD155" s="75"/>
      <c r="AE155" s="81">
        <f t="shared" si="83"/>
        <v>0</v>
      </c>
      <c r="AF155" s="55">
        <f t="shared" si="84"/>
        <v>0</v>
      </c>
      <c r="AG155" s="76">
        <f t="shared" si="78"/>
        <v>0</v>
      </c>
      <c r="AH155" s="82">
        <f t="shared" si="79"/>
        <v>0</v>
      </c>
      <c r="AI155" s="83">
        <f t="shared" si="79"/>
        <v>0</v>
      </c>
      <c r="AJ155" s="83">
        <f t="shared" si="79"/>
        <v>0</v>
      </c>
      <c r="AK155" s="58">
        <f t="shared" si="79"/>
        <v>0</v>
      </c>
      <c r="AL155" s="82">
        <f t="shared" si="85"/>
        <v>0</v>
      </c>
      <c r="AM155" s="58">
        <f t="shared" si="86"/>
        <v>0</v>
      </c>
      <c r="AN155" s="74"/>
      <c r="AO155" s="84"/>
      <c r="AP155" s="74"/>
      <c r="AQ155" s="85"/>
      <c r="AR155" s="74"/>
      <c r="AS155" s="74"/>
      <c r="AT155" s="74"/>
      <c r="AU155" s="55" t="str">
        <f t="shared" si="96"/>
        <v/>
      </c>
      <c r="AV155" s="55" t="str">
        <f t="shared" ca="1" si="97"/>
        <v/>
      </c>
      <c r="AW155" s="55" t="str">
        <f t="shared" si="87"/>
        <v/>
      </c>
      <c r="AX155" s="55" t="str">
        <f t="shared" ca="1" si="88"/>
        <v/>
      </c>
      <c r="AY155" s="86"/>
      <c r="AZ155" s="86"/>
      <c r="BA155" s="55" t="str">
        <f t="shared" si="98"/>
        <v/>
      </c>
      <c r="BB155" s="86"/>
      <c r="BC155" s="86"/>
      <c r="BD155" s="55" t="str">
        <f t="shared" si="99"/>
        <v/>
      </c>
      <c r="BE155" s="74"/>
      <c r="BS155" s="118"/>
      <c r="BT155" s="118"/>
      <c r="BU155" s="118"/>
      <c r="BV155" s="118"/>
      <c r="BW155" s="118"/>
      <c r="BX155" s="118"/>
      <c r="BZ155" s="118"/>
      <c r="CB155" s="118"/>
      <c r="CC155" s="118"/>
      <c r="CD155" s="118"/>
    </row>
    <row r="156" spans="1:82" ht="17.399999999999999" customHeight="1">
      <c r="A156" s="72">
        <f t="shared" si="101"/>
        <v>21.6</v>
      </c>
      <c r="B156" s="111">
        <f t="shared" si="81"/>
        <v>146</v>
      </c>
      <c r="C156" s="60"/>
      <c r="D156" s="74"/>
      <c r="E156" s="75"/>
      <c r="F156" s="74"/>
      <c r="G156" s="54">
        <f t="shared" ref="G156:H171" si="105">G155-E156-C156</f>
        <v>0</v>
      </c>
      <c r="H156" s="55">
        <f t="shared" si="105"/>
        <v>0</v>
      </c>
      <c r="I156" s="76">
        <f t="shared" si="90"/>
        <v>0</v>
      </c>
      <c r="J156" s="58">
        <f t="shared" si="91"/>
        <v>0</v>
      </c>
      <c r="K156" s="58">
        <f t="shared" si="92"/>
        <v>0</v>
      </c>
      <c r="L156" s="58">
        <f t="shared" si="93"/>
        <v>0</v>
      </c>
      <c r="M156" s="58" t="str">
        <f t="shared" ca="1" si="94"/>
        <v/>
      </c>
      <c r="N156" s="58" t="str">
        <f t="shared" ca="1" si="94"/>
        <v/>
      </c>
      <c r="O156" s="58">
        <f t="shared" si="95"/>
        <v>5.0000000000000001E-4</v>
      </c>
      <c r="P156" s="77"/>
      <c r="Q156" s="60"/>
      <c r="R156" s="77"/>
      <c r="S156" s="78">
        <f t="shared" si="82"/>
        <v>0</v>
      </c>
      <c r="T156" s="55">
        <f t="shared" si="82"/>
        <v>0</v>
      </c>
      <c r="U156" s="79">
        <f t="shared" si="102"/>
        <v>0</v>
      </c>
      <c r="V156" s="63">
        <f t="shared" si="103"/>
        <v>0</v>
      </c>
      <c r="W156" s="64">
        <f t="shared" si="104"/>
        <v>102</v>
      </c>
      <c r="X156" s="80">
        <f t="shared" si="104"/>
        <v>97</v>
      </c>
      <c r="Y156" s="75"/>
      <c r="Z156" s="60"/>
      <c r="AA156" s="112"/>
      <c r="AB156" s="112"/>
      <c r="AC156" s="112"/>
      <c r="AD156" s="75"/>
      <c r="AE156" s="81">
        <f t="shared" si="83"/>
        <v>0</v>
      </c>
      <c r="AF156" s="55">
        <f t="shared" si="84"/>
        <v>0</v>
      </c>
      <c r="AG156" s="76">
        <f t="shared" si="78"/>
        <v>0</v>
      </c>
      <c r="AH156" s="82">
        <f t="shared" si="79"/>
        <v>0</v>
      </c>
      <c r="AI156" s="83">
        <f t="shared" si="79"/>
        <v>0</v>
      </c>
      <c r="AJ156" s="83">
        <f t="shared" si="79"/>
        <v>0</v>
      </c>
      <c r="AK156" s="58">
        <f t="shared" si="79"/>
        <v>0</v>
      </c>
      <c r="AL156" s="82">
        <f t="shared" si="85"/>
        <v>0</v>
      </c>
      <c r="AM156" s="58">
        <f t="shared" si="86"/>
        <v>0</v>
      </c>
      <c r="AN156" s="74"/>
      <c r="AO156" s="84"/>
      <c r="AP156" s="74"/>
      <c r="AQ156" s="85"/>
      <c r="AR156" s="74"/>
      <c r="AS156" s="74"/>
      <c r="AT156" s="74"/>
      <c r="AU156" s="55" t="str">
        <f t="shared" si="96"/>
        <v/>
      </c>
      <c r="AV156" s="55" t="str">
        <f t="shared" ca="1" si="97"/>
        <v/>
      </c>
      <c r="AW156" s="55" t="str">
        <f t="shared" si="87"/>
        <v/>
      </c>
      <c r="AX156" s="55" t="str">
        <f t="shared" ca="1" si="88"/>
        <v/>
      </c>
      <c r="AY156" s="86"/>
      <c r="AZ156" s="86"/>
      <c r="BA156" s="55" t="str">
        <f t="shared" si="98"/>
        <v/>
      </c>
      <c r="BB156" s="86"/>
      <c r="BC156" s="86"/>
      <c r="BD156" s="55" t="str">
        <f t="shared" si="99"/>
        <v/>
      </c>
      <c r="BE156" s="74"/>
      <c r="BS156" s="118"/>
      <c r="BT156" s="118"/>
      <c r="BU156" s="118"/>
      <c r="BV156" s="118"/>
      <c r="BW156" s="118"/>
      <c r="BX156" s="118"/>
      <c r="BZ156" s="118"/>
      <c r="CB156" s="118"/>
      <c r="CC156" s="118"/>
      <c r="CD156" s="118"/>
    </row>
    <row r="157" spans="1:82" ht="17.399999999999999" customHeight="1" thickBot="1">
      <c r="A157" s="87">
        <f t="shared" si="101"/>
        <v>21.700000000000003</v>
      </c>
      <c r="B157" s="113">
        <f t="shared" si="81"/>
        <v>147</v>
      </c>
      <c r="C157" s="89"/>
      <c r="D157" s="90"/>
      <c r="E157" s="91"/>
      <c r="F157" s="90"/>
      <c r="G157" s="92">
        <f t="shared" si="105"/>
        <v>0</v>
      </c>
      <c r="H157" s="93">
        <f t="shared" si="105"/>
        <v>0</v>
      </c>
      <c r="I157" s="94">
        <f t="shared" si="90"/>
        <v>0</v>
      </c>
      <c r="J157" s="95">
        <f t="shared" si="91"/>
        <v>0</v>
      </c>
      <c r="K157" s="95">
        <f t="shared" si="92"/>
        <v>0</v>
      </c>
      <c r="L157" s="95">
        <f t="shared" si="93"/>
        <v>0</v>
      </c>
      <c r="M157" s="95" t="str">
        <f t="shared" ca="1" si="94"/>
        <v/>
      </c>
      <c r="N157" s="95" t="str">
        <f t="shared" ca="1" si="94"/>
        <v/>
      </c>
      <c r="O157" s="95">
        <f t="shared" si="95"/>
        <v>5.0000000000000001E-4</v>
      </c>
      <c r="P157" s="96"/>
      <c r="Q157" s="89"/>
      <c r="R157" s="96"/>
      <c r="S157" s="78">
        <f t="shared" si="82"/>
        <v>0</v>
      </c>
      <c r="T157" s="55">
        <f t="shared" si="82"/>
        <v>0</v>
      </c>
      <c r="U157" s="97">
        <f t="shared" si="102"/>
        <v>0</v>
      </c>
      <c r="V157" s="98">
        <f t="shared" si="103"/>
        <v>0</v>
      </c>
      <c r="W157" s="99">
        <f t="shared" si="104"/>
        <v>102</v>
      </c>
      <c r="X157" s="100">
        <f t="shared" si="104"/>
        <v>97</v>
      </c>
      <c r="Y157" s="91"/>
      <c r="Z157" s="89"/>
      <c r="AA157" s="112"/>
      <c r="AB157" s="112"/>
      <c r="AC157" s="112"/>
      <c r="AD157" s="75"/>
      <c r="AE157" s="101">
        <f t="shared" si="83"/>
        <v>0</v>
      </c>
      <c r="AF157" s="93">
        <f t="shared" si="84"/>
        <v>0</v>
      </c>
      <c r="AG157" s="94">
        <f t="shared" si="78"/>
        <v>0</v>
      </c>
      <c r="AH157" s="102">
        <f t="shared" si="79"/>
        <v>0</v>
      </c>
      <c r="AI157" s="103">
        <f t="shared" si="79"/>
        <v>0</v>
      </c>
      <c r="AJ157" s="103">
        <f t="shared" si="79"/>
        <v>0</v>
      </c>
      <c r="AK157" s="95">
        <f t="shared" si="79"/>
        <v>0</v>
      </c>
      <c r="AL157" s="102">
        <f t="shared" si="85"/>
        <v>0</v>
      </c>
      <c r="AM157" s="95">
        <f t="shared" si="86"/>
        <v>0</v>
      </c>
      <c r="AN157" s="90"/>
      <c r="AO157" s="104"/>
      <c r="AP157" s="90"/>
      <c r="AQ157" s="105"/>
      <c r="AR157" s="90"/>
      <c r="AS157" s="90"/>
      <c r="AT157" s="90"/>
      <c r="AU157" s="93" t="str">
        <f t="shared" si="96"/>
        <v/>
      </c>
      <c r="AV157" s="93" t="str">
        <f t="shared" ca="1" si="97"/>
        <v/>
      </c>
      <c r="AW157" s="93" t="str">
        <f t="shared" si="87"/>
        <v/>
      </c>
      <c r="AX157" s="93" t="str">
        <f t="shared" ca="1" si="88"/>
        <v/>
      </c>
      <c r="AY157" s="106"/>
      <c r="AZ157" s="106"/>
      <c r="BA157" s="93" t="str">
        <f t="shared" si="98"/>
        <v/>
      </c>
      <c r="BB157" s="106"/>
      <c r="BC157" s="106"/>
      <c r="BD157" s="93" t="str">
        <f t="shared" si="99"/>
        <v/>
      </c>
      <c r="BE157" s="90"/>
      <c r="BS157" s="118"/>
      <c r="BT157" s="118"/>
      <c r="BU157" s="118"/>
      <c r="BV157" s="118"/>
      <c r="BW157" s="118"/>
      <c r="BX157" s="118"/>
      <c r="BZ157" s="118"/>
      <c r="CB157" s="118"/>
      <c r="CC157" s="118"/>
      <c r="CD157" s="118"/>
    </row>
    <row r="158" spans="1:82" ht="17.399999999999999" customHeight="1" thickTop="1">
      <c r="A158" s="107">
        <f>A151+1</f>
        <v>22.1</v>
      </c>
      <c r="B158" s="108">
        <f>B157+1</f>
        <v>148</v>
      </c>
      <c r="C158" s="51"/>
      <c r="D158" s="52"/>
      <c r="E158" s="53"/>
      <c r="F158" s="52"/>
      <c r="G158" s="54">
        <f t="shared" si="105"/>
        <v>0</v>
      </c>
      <c r="H158" s="55">
        <f t="shared" si="105"/>
        <v>0</v>
      </c>
      <c r="I158" s="56">
        <f t="shared" si="90"/>
        <v>0</v>
      </c>
      <c r="J158" s="57">
        <f t="shared" si="91"/>
        <v>0</v>
      </c>
      <c r="K158" s="57">
        <f t="shared" si="92"/>
        <v>0</v>
      </c>
      <c r="L158" s="57">
        <f t="shared" si="93"/>
        <v>0</v>
      </c>
      <c r="M158" s="58" t="str">
        <f t="shared" ca="1" si="94"/>
        <v/>
      </c>
      <c r="N158" s="58" t="str">
        <f t="shared" ca="1" si="94"/>
        <v/>
      </c>
      <c r="O158" s="58">
        <f t="shared" si="95"/>
        <v>5.0000000000000001E-4</v>
      </c>
      <c r="P158" s="77"/>
      <c r="Q158" s="60"/>
      <c r="R158" s="77"/>
      <c r="S158" s="109">
        <f t="shared" si="82"/>
        <v>0</v>
      </c>
      <c r="T158" s="61">
        <f t="shared" si="82"/>
        <v>0</v>
      </c>
      <c r="U158" s="62">
        <f t="shared" si="102"/>
        <v>0</v>
      </c>
      <c r="V158" s="63">
        <f t="shared" si="103"/>
        <v>0</v>
      </c>
      <c r="W158" s="64">
        <v>107</v>
      </c>
      <c r="X158" s="80">
        <v>102</v>
      </c>
      <c r="Y158" s="53"/>
      <c r="Z158" s="51"/>
      <c r="AA158" s="110"/>
      <c r="AB158" s="110"/>
      <c r="AC158" s="110"/>
      <c r="AD158" s="53"/>
      <c r="AE158" s="66">
        <f t="shared" si="83"/>
        <v>0</v>
      </c>
      <c r="AF158" s="61">
        <f t="shared" si="84"/>
        <v>0</v>
      </c>
      <c r="AG158" s="56">
        <f t="shared" si="78"/>
        <v>0</v>
      </c>
      <c r="AH158" s="67">
        <f t="shared" si="79"/>
        <v>0</v>
      </c>
      <c r="AI158" s="68">
        <f t="shared" si="79"/>
        <v>0</v>
      </c>
      <c r="AJ158" s="68">
        <f t="shared" si="79"/>
        <v>0</v>
      </c>
      <c r="AK158" s="57">
        <f t="shared" si="79"/>
        <v>0</v>
      </c>
      <c r="AL158" s="67">
        <f t="shared" si="85"/>
        <v>0</v>
      </c>
      <c r="AM158" s="57">
        <f t="shared" si="86"/>
        <v>0</v>
      </c>
      <c r="AN158" s="52"/>
      <c r="AO158" s="69"/>
      <c r="AP158" s="52"/>
      <c r="AQ158" s="70"/>
      <c r="AR158" s="52"/>
      <c r="AS158" s="52"/>
      <c r="AT158" s="52"/>
      <c r="AU158" s="61" t="str">
        <f t="shared" si="96"/>
        <v/>
      </c>
      <c r="AV158" s="61" t="str">
        <f t="shared" ca="1" si="97"/>
        <v/>
      </c>
      <c r="AW158" s="61" t="str">
        <f t="shared" si="87"/>
        <v/>
      </c>
      <c r="AX158" s="61" t="str">
        <f t="shared" ca="1" si="88"/>
        <v/>
      </c>
      <c r="AY158" s="71"/>
      <c r="AZ158" s="71"/>
      <c r="BA158" s="61" t="str">
        <f t="shared" si="98"/>
        <v/>
      </c>
      <c r="BB158" s="71"/>
      <c r="BC158" s="71"/>
      <c r="BD158" s="61" t="str">
        <f t="shared" si="99"/>
        <v/>
      </c>
      <c r="BE158" s="52"/>
      <c r="BS158" s="118"/>
      <c r="BT158" s="118"/>
      <c r="BU158" s="118"/>
      <c r="BV158" s="118"/>
      <c r="BW158" s="118"/>
      <c r="BX158" s="118"/>
      <c r="BZ158" s="118"/>
      <c r="CB158" s="118"/>
      <c r="CC158" s="118"/>
      <c r="CD158" s="118"/>
    </row>
    <row r="159" spans="1:82" ht="17.399999999999999" customHeight="1">
      <c r="A159" s="87">
        <f t="shared" si="101"/>
        <v>22.2</v>
      </c>
      <c r="B159" s="111">
        <f t="shared" si="81"/>
        <v>149</v>
      </c>
      <c r="C159" s="60"/>
      <c r="D159" s="74"/>
      <c r="E159" s="75"/>
      <c r="F159" s="74"/>
      <c r="G159" s="54">
        <f t="shared" si="105"/>
        <v>0</v>
      </c>
      <c r="H159" s="55">
        <f t="shared" si="105"/>
        <v>0</v>
      </c>
      <c r="I159" s="76">
        <f t="shared" si="90"/>
        <v>0</v>
      </c>
      <c r="J159" s="58">
        <f t="shared" si="91"/>
        <v>0</v>
      </c>
      <c r="K159" s="58">
        <f t="shared" si="92"/>
        <v>0</v>
      </c>
      <c r="L159" s="58">
        <f t="shared" si="93"/>
        <v>0</v>
      </c>
      <c r="M159" s="58" t="str">
        <f t="shared" ca="1" si="94"/>
        <v/>
      </c>
      <c r="N159" s="58" t="str">
        <f t="shared" ca="1" si="94"/>
        <v/>
      </c>
      <c r="O159" s="58">
        <f t="shared" si="95"/>
        <v>5.0000000000000001E-4</v>
      </c>
      <c r="P159" s="77"/>
      <c r="Q159" s="60"/>
      <c r="R159" s="77"/>
      <c r="S159" s="78">
        <f t="shared" si="82"/>
        <v>0</v>
      </c>
      <c r="T159" s="55">
        <f t="shared" si="82"/>
        <v>0</v>
      </c>
      <c r="U159" s="79">
        <f t="shared" si="102"/>
        <v>0</v>
      </c>
      <c r="V159" s="63">
        <f t="shared" si="103"/>
        <v>0</v>
      </c>
      <c r="W159" s="64">
        <f t="shared" ref="W159:X164" si="106">W158</f>
        <v>107</v>
      </c>
      <c r="X159" s="80">
        <f t="shared" si="106"/>
        <v>102</v>
      </c>
      <c r="Y159" s="75"/>
      <c r="Z159" s="60"/>
      <c r="AA159" s="112"/>
      <c r="AB159" s="112"/>
      <c r="AC159" s="112"/>
      <c r="AD159" s="75"/>
      <c r="AE159" s="81">
        <f t="shared" si="83"/>
        <v>0</v>
      </c>
      <c r="AF159" s="55">
        <f t="shared" si="84"/>
        <v>0</v>
      </c>
      <c r="AG159" s="76">
        <f t="shared" si="78"/>
        <v>0</v>
      </c>
      <c r="AH159" s="82">
        <f t="shared" si="79"/>
        <v>0</v>
      </c>
      <c r="AI159" s="83">
        <f t="shared" si="79"/>
        <v>0</v>
      </c>
      <c r="AJ159" s="83">
        <f t="shared" si="79"/>
        <v>0</v>
      </c>
      <c r="AK159" s="58">
        <f t="shared" si="79"/>
        <v>0</v>
      </c>
      <c r="AL159" s="82">
        <f t="shared" si="85"/>
        <v>0</v>
      </c>
      <c r="AM159" s="58">
        <f t="shared" si="86"/>
        <v>0</v>
      </c>
      <c r="AN159" s="74"/>
      <c r="AO159" s="84"/>
      <c r="AP159" s="74"/>
      <c r="AQ159" s="85"/>
      <c r="AR159" s="74"/>
      <c r="AS159" s="74"/>
      <c r="AT159" s="74"/>
      <c r="AU159" s="55" t="str">
        <f t="shared" si="96"/>
        <v/>
      </c>
      <c r="AV159" s="55" t="str">
        <f t="shared" ca="1" si="97"/>
        <v/>
      </c>
      <c r="AW159" s="55" t="str">
        <f t="shared" si="87"/>
        <v/>
      </c>
      <c r="AX159" s="55" t="str">
        <f t="shared" ca="1" si="88"/>
        <v/>
      </c>
      <c r="AY159" s="86"/>
      <c r="AZ159" s="86"/>
      <c r="BA159" s="55" t="str">
        <f t="shared" si="98"/>
        <v/>
      </c>
      <c r="BB159" s="86"/>
      <c r="BC159" s="86"/>
      <c r="BD159" s="55" t="str">
        <f t="shared" si="99"/>
        <v/>
      </c>
      <c r="BE159" s="74"/>
      <c r="BS159" s="118"/>
      <c r="BT159" s="118"/>
      <c r="BU159" s="118"/>
      <c r="BV159" s="118"/>
      <c r="BW159" s="118"/>
      <c r="BX159" s="118"/>
      <c r="BZ159" s="118"/>
      <c r="CB159" s="118"/>
      <c r="CC159" s="118"/>
      <c r="CD159" s="118"/>
    </row>
    <row r="160" spans="1:82" ht="17.399999999999999" customHeight="1">
      <c r="A160" s="72">
        <f t="shared" si="101"/>
        <v>22.3</v>
      </c>
      <c r="B160" s="111">
        <f t="shared" si="81"/>
        <v>150</v>
      </c>
      <c r="C160" s="60"/>
      <c r="D160" s="74"/>
      <c r="E160" s="75"/>
      <c r="F160" s="74"/>
      <c r="G160" s="54">
        <f t="shared" si="105"/>
        <v>0</v>
      </c>
      <c r="H160" s="55">
        <f t="shared" si="105"/>
        <v>0</v>
      </c>
      <c r="I160" s="76">
        <f t="shared" si="90"/>
        <v>0</v>
      </c>
      <c r="J160" s="58">
        <f t="shared" si="91"/>
        <v>0</v>
      </c>
      <c r="K160" s="58">
        <f t="shared" si="92"/>
        <v>0</v>
      </c>
      <c r="L160" s="58">
        <f t="shared" si="93"/>
        <v>0</v>
      </c>
      <c r="M160" s="58" t="str">
        <f t="shared" ca="1" si="94"/>
        <v/>
      </c>
      <c r="N160" s="58" t="str">
        <f t="shared" ca="1" si="94"/>
        <v/>
      </c>
      <c r="O160" s="58">
        <f t="shared" si="95"/>
        <v>5.0000000000000001E-4</v>
      </c>
      <c r="P160" s="77"/>
      <c r="Q160" s="60"/>
      <c r="R160" s="77"/>
      <c r="S160" s="78">
        <f t="shared" si="82"/>
        <v>0</v>
      </c>
      <c r="T160" s="55">
        <f t="shared" si="82"/>
        <v>0</v>
      </c>
      <c r="U160" s="79">
        <f t="shared" si="102"/>
        <v>0</v>
      </c>
      <c r="V160" s="63">
        <f t="shared" si="103"/>
        <v>0</v>
      </c>
      <c r="W160" s="64">
        <f t="shared" si="106"/>
        <v>107</v>
      </c>
      <c r="X160" s="80">
        <f t="shared" si="106"/>
        <v>102</v>
      </c>
      <c r="Y160" s="75"/>
      <c r="Z160" s="60"/>
      <c r="AA160" s="112"/>
      <c r="AB160" s="112"/>
      <c r="AC160" s="112"/>
      <c r="AD160" s="75"/>
      <c r="AE160" s="81">
        <f t="shared" si="83"/>
        <v>0</v>
      </c>
      <c r="AF160" s="55">
        <f t="shared" si="84"/>
        <v>0</v>
      </c>
      <c r="AG160" s="76">
        <f t="shared" si="78"/>
        <v>0</v>
      </c>
      <c r="AH160" s="82">
        <f t="shared" si="79"/>
        <v>0</v>
      </c>
      <c r="AI160" s="83">
        <f t="shared" si="79"/>
        <v>0</v>
      </c>
      <c r="AJ160" s="83">
        <f t="shared" si="79"/>
        <v>0</v>
      </c>
      <c r="AK160" s="58">
        <f t="shared" si="79"/>
        <v>0</v>
      </c>
      <c r="AL160" s="82">
        <f t="shared" si="85"/>
        <v>0</v>
      </c>
      <c r="AM160" s="58">
        <f t="shared" si="86"/>
        <v>0</v>
      </c>
      <c r="AN160" s="74"/>
      <c r="AO160" s="84"/>
      <c r="AP160" s="74"/>
      <c r="AQ160" s="85"/>
      <c r="AR160" s="74"/>
      <c r="AS160" s="74"/>
      <c r="AT160" s="74"/>
      <c r="AU160" s="55" t="str">
        <f t="shared" si="96"/>
        <v/>
      </c>
      <c r="AV160" s="55" t="str">
        <f t="shared" ca="1" si="97"/>
        <v/>
      </c>
      <c r="AW160" s="55" t="str">
        <f t="shared" si="87"/>
        <v/>
      </c>
      <c r="AX160" s="55" t="str">
        <f t="shared" ca="1" si="88"/>
        <v/>
      </c>
      <c r="AY160" s="86"/>
      <c r="AZ160" s="86"/>
      <c r="BA160" s="55" t="str">
        <f t="shared" si="98"/>
        <v/>
      </c>
      <c r="BB160" s="86"/>
      <c r="BC160" s="86"/>
      <c r="BD160" s="55" t="str">
        <f t="shared" si="99"/>
        <v/>
      </c>
      <c r="BE160" s="74"/>
      <c r="BS160" s="118"/>
      <c r="BT160" s="118"/>
      <c r="BU160" s="118"/>
      <c r="BV160" s="118"/>
      <c r="BW160" s="118"/>
      <c r="BX160" s="118"/>
      <c r="BZ160" s="118"/>
      <c r="CB160" s="118"/>
      <c r="CC160" s="118"/>
      <c r="CD160" s="118"/>
    </row>
    <row r="161" spans="1:82" ht="17.399999999999999" customHeight="1">
      <c r="A161" s="87">
        <f t="shared" si="101"/>
        <v>22.4</v>
      </c>
      <c r="B161" s="111">
        <f t="shared" si="81"/>
        <v>151</v>
      </c>
      <c r="C161" s="60"/>
      <c r="D161" s="74"/>
      <c r="E161" s="75"/>
      <c r="F161" s="74"/>
      <c r="G161" s="54">
        <f t="shared" si="105"/>
        <v>0</v>
      </c>
      <c r="H161" s="55">
        <f t="shared" si="105"/>
        <v>0</v>
      </c>
      <c r="I161" s="76">
        <f t="shared" si="90"/>
        <v>0</v>
      </c>
      <c r="J161" s="58">
        <f t="shared" si="91"/>
        <v>0</v>
      </c>
      <c r="K161" s="58">
        <f t="shared" si="92"/>
        <v>0</v>
      </c>
      <c r="L161" s="58">
        <f t="shared" si="93"/>
        <v>0</v>
      </c>
      <c r="M161" s="58" t="str">
        <f t="shared" ca="1" si="94"/>
        <v/>
      </c>
      <c r="N161" s="58" t="str">
        <f t="shared" ca="1" si="94"/>
        <v/>
      </c>
      <c r="O161" s="58">
        <f t="shared" si="95"/>
        <v>5.0000000000000001E-4</v>
      </c>
      <c r="P161" s="77"/>
      <c r="Q161" s="60"/>
      <c r="R161" s="77"/>
      <c r="S161" s="78">
        <f t="shared" si="82"/>
        <v>0</v>
      </c>
      <c r="T161" s="55">
        <f t="shared" si="82"/>
        <v>0</v>
      </c>
      <c r="U161" s="79">
        <f t="shared" si="102"/>
        <v>0</v>
      </c>
      <c r="V161" s="63">
        <f t="shared" si="103"/>
        <v>0</v>
      </c>
      <c r="W161" s="64">
        <f t="shared" si="106"/>
        <v>107</v>
      </c>
      <c r="X161" s="80">
        <f t="shared" si="106"/>
        <v>102</v>
      </c>
      <c r="Y161" s="75"/>
      <c r="Z161" s="60"/>
      <c r="AA161" s="112"/>
      <c r="AB161" s="112"/>
      <c r="AC161" s="112"/>
      <c r="AD161" s="75"/>
      <c r="AE161" s="81">
        <f t="shared" si="83"/>
        <v>0</v>
      </c>
      <c r="AF161" s="55">
        <f t="shared" si="84"/>
        <v>0</v>
      </c>
      <c r="AG161" s="76">
        <f t="shared" si="78"/>
        <v>0</v>
      </c>
      <c r="AH161" s="82">
        <f t="shared" si="79"/>
        <v>0</v>
      </c>
      <c r="AI161" s="83">
        <f t="shared" si="79"/>
        <v>0</v>
      </c>
      <c r="AJ161" s="83">
        <f t="shared" si="79"/>
        <v>0</v>
      </c>
      <c r="AK161" s="58">
        <f t="shared" si="79"/>
        <v>0</v>
      </c>
      <c r="AL161" s="82">
        <f t="shared" si="85"/>
        <v>0</v>
      </c>
      <c r="AM161" s="58">
        <f t="shared" si="86"/>
        <v>0</v>
      </c>
      <c r="AN161" s="74"/>
      <c r="AO161" s="84"/>
      <c r="AP161" s="74"/>
      <c r="AQ161" s="85"/>
      <c r="AR161" s="74"/>
      <c r="AS161" s="74"/>
      <c r="AT161" s="74"/>
      <c r="AU161" s="55" t="str">
        <f t="shared" si="96"/>
        <v/>
      </c>
      <c r="AV161" s="55" t="str">
        <f t="shared" ca="1" si="97"/>
        <v/>
      </c>
      <c r="AW161" s="55" t="str">
        <f t="shared" si="87"/>
        <v/>
      </c>
      <c r="AX161" s="55" t="str">
        <f t="shared" ca="1" si="88"/>
        <v/>
      </c>
      <c r="AY161" s="86"/>
      <c r="AZ161" s="86"/>
      <c r="BA161" s="55" t="str">
        <f t="shared" si="98"/>
        <v/>
      </c>
      <c r="BB161" s="86"/>
      <c r="BC161" s="86"/>
      <c r="BD161" s="55" t="str">
        <f t="shared" si="99"/>
        <v/>
      </c>
      <c r="BE161" s="74"/>
      <c r="BS161" s="118"/>
      <c r="BT161" s="118"/>
      <c r="BU161" s="118"/>
      <c r="BV161" s="118"/>
      <c r="BW161" s="118"/>
      <c r="BX161" s="118"/>
      <c r="BZ161" s="118"/>
      <c r="CB161" s="118"/>
      <c r="CC161" s="118"/>
      <c r="CD161" s="118"/>
    </row>
    <row r="162" spans="1:82" ht="17.399999999999999" customHeight="1">
      <c r="A162" s="72">
        <f t="shared" si="101"/>
        <v>22.5</v>
      </c>
      <c r="B162" s="111">
        <f t="shared" si="81"/>
        <v>152</v>
      </c>
      <c r="C162" s="60"/>
      <c r="D162" s="74"/>
      <c r="E162" s="75"/>
      <c r="F162" s="74"/>
      <c r="G162" s="54">
        <f t="shared" si="105"/>
        <v>0</v>
      </c>
      <c r="H162" s="55">
        <f t="shared" si="105"/>
        <v>0</v>
      </c>
      <c r="I162" s="76">
        <f t="shared" si="90"/>
        <v>0</v>
      </c>
      <c r="J162" s="58">
        <f t="shared" si="91"/>
        <v>0</v>
      </c>
      <c r="K162" s="58">
        <f t="shared" si="92"/>
        <v>0</v>
      </c>
      <c r="L162" s="58">
        <f t="shared" si="93"/>
        <v>0</v>
      </c>
      <c r="M162" s="58" t="str">
        <f t="shared" ca="1" si="94"/>
        <v/>
      </c>
      <c r="N162" s="58" t="str">
        <f t="shared" ca="1" si="94"/>
        <v/>
      </c>
      <c r="O162" s="58">
        <f t="shared" si="95"/>
        <v>5.0000000000000001E-4</v>
      </c>
      <c r="P162" s="77"/>
      <c r="Q162" s="60"/>
      <c r="R162" s="77"/>
      <c r="S162" s="78">
        <f t="shared" si="82"/>
        <v>0</v>
      </c>
      <c r="T162" s="55">
        <f t="shared" si="82"/>
        <v>0</v>
      </c>
      <c r="U162" s="79">
        <f t="shared" si="102"/>
        <v>0</v>
      </c>
      <c r="V162" s="63">
        <f t="shared" si="103"/>
        <v>0</v>
      </c>
      <c r="W162" s="64">
        <f t="shared" si="106"/>
        <v>107</v>
      </c>
      <c r="X162" s="80">
        <f t="shared" si="106"/>
        <v>102</v>
      </c>
      <c r="Y162" s="75"/>
      <c r="Z162" s="60"/>
      <c r="AA162" s="112"/>
      <c r="AB162" s="112"/>
      <c r="AC162" s="112"/>
      <c r="AD162" s="75"/>
      <c r="AE162" s="81">
        <f t="shared" si="83"/>
        <v>0</v>
      </c>
      <c r="AF162" s="55">
        <f t="shared" si="84"/>
        <v>0</v>
      </c>
      <c r="AG162" s="76">
        <f t="shared" si="78"/>
        <v>0</v>
      </c>
      <c r="AH162" s="82">
        <f t="shared" si="79"/>
        <v>0</v>
      </c>
      <c r="AI162" s="83">
        <f t="shared" si="79"/>
        <v>0</v>
      </c>
      <c r="AJ162" s="83">
        <f t="shared" si="79"/>
        <v>0</v>
      </c>
      <c r="AK162" s="58">
        <f t="shared" si="79"/>
        <v>0</v>
      </c>
      <c r="AL162" s="82">
        <f t="shared" si="85"/>
        <v>0</v>
      </c>
      <c r="AM162" s="58">
        <f t="shared" si="86"/>
        <v>0</v>
      </c>
      <c r="AN162" s="74"/>
      <c r="AO162" s="84"/>
      <c r="AP162" s="74"/>
      <c r="AQ162" s="85"/>
      <c r="AR162" s="74"/>
      <c r="AS162" s="74"/>
      <c r="AT162" s="74"/>
      <c r="AU162" s="55" t="str">
        <f t="shared" si="96"/>
        <v/>
      </c>
      <c r="AV162" s="55" t="str">
        <f t="shared" ca="1" si="97"/>
        <v/>
      </c>
      <c r="AW162" s="55" t="str">
        <f t="shared" si="87"/>
        <v/>
      </c>
      <c r="AX162" s="55" t="str">
        <f t="shared" ca="1" si="88"/>
        <v/>
      </c>
      <c r="AY162" s="86"/>
      <c r="AZ162" s="86"/>
      <c r="BA162" s="55" t="str">
        <f t="shared" si="98"/>
        <v/>
      </c>
      <c r="BB162" s="86"/>
      <c r="BC162" s="86"/>
      <c r="BD162" s="55" t="str">
        <f t="shared" si="99"/>
        <v/>
      </c>
      <c r="BE162" s="74"/>
      <c r="BS162" s="118"/>
      <c r="BT162" s="118"/>
      <c r="BU162" s="118"/>
      <c r="BV162" s="118"/>
      <c r="BW162" s="118"/>
      <c r="BX162" s="118"/>
      <c r="BZ162" s="118"/>
      <c r="CB162" s="118"/>
      <c r="CC162" s="118"/>
      <c r="CD162" s="118"/>
    </row>
    <row r="163" spans="1:82" ht="17.399999999999999" customHeight="1">
      <c r="A163" s="87">
        <f t="shared" si="101"/>
        <v>22.6</v>
      </c>
      <c r="B163" s="111">
        <f t="shared" si="81"/>
        <v>153</v>
      </c>
      <c r="C163" s="60"/>
      <c r="D163" s="74"/>
      <c r="E163" s="75"/>
      <c r="F163" s="74"/>
      <c r="G163" s="54">
        <f t="shared" si="105"/>
        <v>0</v>
      </c>
      <c r="H163" s="55">
        <f t="shared" si="105"/>
        <v>0</v>
      </c>
      <c r="I163" s="76">
        <f t="shared" si="90"/>
        <v>0</v>
      </c>
      <c r="J163" s="58">
        <f t="shared" si="91"/>
        <v>0</v>
      </c>
      <c r="K163" s="58">
        <f t="shared" si="92"/>
        <v>0</v>
      </c>
      <c r="L163" s="58">
        <f t="shared" si="93"/>
        <v>0</v>
      </c>
      <c r="M163" s="58" t="str">
        <f t="shared" ca="1" si="94"/>
        <v/>
      </c>
      <c r="N163" s="58" t="str">
        <f t="shared" ca="1" si="94"/>
        <v/>
      </c>
      <c r="O163" s="58">
        <f t="shared" si="95"/>
        <v>5.0000000000000001E-4</v>
      </c>
      <c r="P163" s="77"/>
      <c r="Q163" s="60"/>
      <c r="R163" s="77"/>
      <c r="S163" s="78">
        <f t="shared" si="82"/>
        <v>0</v>
      </c>
      <c r="T163" s="55">
        <f t="shared" si="82"/>
        <v>0</v>
      </c>
      <c r="U163" s="79">
        <f t="shared" si="102"/>
        <v>0</v>
      </c>
      <c r="V163" s="63">
        <f t="shared" si="103"/>
        <v>0</v>
      </c>
      <c r="W163" s="64">
        <f t="shared" si="106"/>
        <v>107</v>
      </c>
      <c r="X163" s="80">
        <f t="shared" si="106"/>
        <v>102</v>
      </c>
      <c r="Y163" s="75"/>
      <c r="Z163" s="60"/>
      <c r="AA163" s="112"/>
      <c r="AB163" s="112"/>
      <c r="AC163" s="112"/>
      <c r="AD163" s="75"/>
      <c r="AE163" s="81">
        <f t="shared" si="83"/>
        <v>0</v>
      </c>
      <c r="AF163" s="55">
        <f t="shared" si="84"/>
        <v>0</v>
      </c>
      <c r="AG163" s="76">
        <f t="shared" si="78"/>
        <v>0</v>
      </c>
      <c r="AH163" s="82">
        <f t="shared" si="79"/>
        <v>0</v>
      </c>
      <c r="AI163" s="83">
        <f t="shared" si="79"/>
        <v>0</v>
      </c>
      <c r="AJ163" s="83">
        <f t="shared" si="79"/>
        <v>0</v>
      </c>
      <c r="AK163" s="58">
        <f t="shared" si="79"/>
        <v>0</v>
      </c>
      <c r="AL163" s="82">
        <f t="shared" si="85"/>
        <v>0</v>
      </c>
      <c r="AM163" s="58">
        <f t="shared" si="86"/>
        <v>0</v>
      </c>
      <c r="AN163" s="74"/>
      <c r="AO163" s="84"/>
      <c r="AP163" s="74"/>
      <c r="AQ163" s="85"/>
      <c r="AR163" s="74"/>
      <c r="AS163" s="74"/>
      <c r="AT163" s="74"/>
      <c r="AU163" s="55" t="str">
        <f t="shared" si="96"/>
        <v/>
      </c>
      <c r="AV163" s="55" t="str">
        <f t="shared" ca="1" si="97"/>
        <v/>
      </c>
      <c r="AW163" s="55" t="str">
        <f t="shared" si="87"/>
        <v/>
      </c>
      <c r="AX163" s="55" t="str">
        <f t="shared" ca="1" si="88"/>
        <v/>
      </c>
      <c r="AY163" s="86"/>
      <c r="AZ163" s="86"/>
      <c r="BA163" s="55" t="str">
        <f t="shared" si="98"/>
        <v/>
      </c>
      <c r="BB163" s="86"/>
      <c r="BC163" s="86"/>
      <c r="BD163" s="55" t="str">
        <f t="shared" si="99"/>
        <v/>
      </c>
      <c r="BE163" s="74"/>
      <c r="BS163" s="118"/>
      <c r="BT163" s="118"/>
      <c r="BU163" s="118"/>
      <c r="BV163" s="118"/>
      <c r="BW163" s="118"/>
      <c r="BX163" s="118"/>
      <c r="BZ163" s="118"/>
      <c r="CB163" s="118"/>
      <c r="CC163" s="118"/>
      <c r="CD163" s="118"/>
    </row>
    <row r="164" spans="1:82" ht="17.399999999999999" customHeight="1" thickBot="1">
      <c r="A164" s="72">
        <f t="shared" si="101"/>
        <v>22.700000000000003</v>
      </c>
      <c r="B164" s="113">
        <f t="shared" si="81"/>
        <v>154</v>
      </c>
      <c r="C164" s="89"/>
      <c r="D164" s="90"/>
      <c r="E164" s="91"/>
      <c r="F164" s="90"/>
      <c r="G164" s="92">
        <f t="shared" si="105"/>
        <v>0</v>
      </c>
      <c r="H164" s="93">
        <f t="shared" si="105"/>
        <v>0</v>
      </c>
      <c r="I164" s="94">
        <f t="shared" si="90"/>
        <v>0</v>
      </c>
      <c r="J164" s="95">
        <f t="shared" si="91"/>
        <v>0</v>
      </c>
      <c r="K164" s="95">
        <f t="shared" si="92"/>
        <v>0</v>
      </c>
      <c r="L164" s="95">
        <f t="shared" si="93"/>
        <v>0</v>
      </c>
      <c r="M164" s="95" t="str">
        <f t="shared" ca="1" si="94"/>
        <v/>
      </c>
      <c r="N164" s="95" t="str">
        <f t="shared" ca="1" si="94"/>
        <v/>
      </c>
      <c r="O164" s="95">
        <f t="shared" si="95"/>
        <v>5.0000000000000001E-4</v>
      </c>
      <c r="P164" s="96"/>
      <c r="Q164" s="89"/>
      <c r="R164" s="96"/>
      <c r="S164" s="78">
        <f t="shared" si="82"/>
        <v>0</v>
      </c>
      <c r="T164" s="55">
        <f t="shared" si="82"/>
        <v>0</v>
      </c>
      <c r="U164" s="97">
        <f t="shared" si="102"/>
        <v>0</v>
      </c>
      <c r="V164" s="98">
        <f t="shared" si="103"/>
        <v>0</v>
      </c>
      <c r="W164" s="99">
        <f t="shared" si="106"/>
        <v>107</v>
      </c>
      <c r="X164" s="100">
        <f t="shared" si="106"/>
        <v>102</v>
      </c>
      <c r="Y164" s="91"/>
      <c r="Z164" s="89"/>
      <c r="AA164" s="112"/>
      <c r="AB164" s="112"/>
      <c r="AC164" s="112"/>
      <c r="AD164" s="75"/>
      <c r="AE164" s="101">
        <f t="shared" si="83"/>
        <v>0</v>
      </c>
      <c r="AF164" s="93">
        <f t="shared" si="84"/>
        <v>0</v>
      </c>
      <c r="AG164" s="94">
        <f t="shared" si="78"/>
        <v>0</v>
      </c>
      <c r="AH164" s="102">
        <f t="shared" si="79"/>
        <v>0</v>
      </c>
      <c r="AI164" s="103">
        <f t="shared" si="79"/>
        <v>0</v>
      </c>
      <c r="AJ164" s="103">
        <f t="shared" si="79"/>
        <v>0</v>
      </c>
      <c r="AK164" s="95">
        <f t="shared" si="79"/>
        <v>0</v>
      </c>
      <c r="AL164" s="102">
        <f t="shared" si="85"/>
        <v>0</v>
      </c>
      <c r="AM164" s="95">
        <f t="shared" si="86"/>
        <v>0</v>
      </c>
      <c r="AN164" s="90"/>
      <c r="AO164" s="104"/>
      <c r="AP164" s="90"/>
      <c r="AQ164" s="105"/>
      <c r="AR164" s="90"/>
      <c r="AS164" s="90"/>
      <c r="AT164" s="90"/>
      <c r="AU164" s="93" t="str">
        <f t="shared" si="96"/>
        <v/>
      </c>
      <c r="AV164" s="93" t="str">
        <f t="shared" ca="1" si="97"/>
        <v/>
      </c>
      <c r="AW164" s="93" t="str">
        <f t="shared" si="87"/>
        <v/>
      </c>
      <c r="AX164" s="93" t="str">
        <f t="shared" ca="1" si="88"/>
        <v/>
      </c>
      <c r="AY164" s="106"/>
      <c r="AZ164" s="106"/>
      <c r="BA164" s="93" t="str">
        <f t="shared" si="98"/>
        <v/>
      </c>
      <c r="BB164" s="106"/>
      <c r="BC164" s="106"/>
      <c r="BD164" s="93" t="str">
        <f t="shared" si="99"/>
        <v/>
      </c>
      <c r="BE164" s="90"/>
      <c r="BS164" s="118"/>
      <c r="BT164" s="118"/>
      <c r="BU164" s="118"/>
      <c r="BV164" s="118"/>
      <c r="BW164" s="118"/>
      <c r="BX164" s="118"/>
      <c r="BZ164" s="118"/>
      <c r="CB164" s="118"/>
      <c r="CC164" s="118"/>
      <c r="CD164" s="118"/>
    </row>
    <row r="165" spans="1:82" ht="17.399999999999999" customHeight="1" thickTop="1">
      <c r="A165" s="49">
        <f>A158+1</f>
        <v>23.1</v>
      </c>
      <c r="B165" s="108">
        <f>B164+1</f>
        <v>155</v>
      </c>
      <c r="C165" s="51"/>
      <c r="D165" s="52"/>
      <c r="E165" s="53"/>
      <c r="F165" s="52"/>
      <c r="G165" s="54">
        <f t="shared" si="105"/>
        <v>0</v>
      </c>
      <c r="H165" s="55">
        <f t="shared" si="105"/>
        <v>0</v>
      </c>
      <c r="I165" s="56">
        <f t="shared" si="90"/>
        <v>0</v>
      </c>
      <c r="J165" s="57">
        <f t="shared" si="91"/>
        <v>0</v>
      </c>
      <c r="K165" s="57">
        <f t="shared" si="92"/>
        <v>0</v>
      </c>
      <c r="L165" s="57">
        <f t="shared" si="93"/>
        <v>0</v>
      </c>
      <c r="M165" s="58" t="str">
        <f t="shared" ca="1" si="94"/>
        <v/>
      </c>
      <c r="N165" s="58" t="str">
        <f t="shared" ca="1" si="94"/>
        <v/>
      </c>
      <c r="O165" s="58">
        <f t="shared" si="95"/>
        <v>5.0000000000000001E-4</v>
      </c>
      <c r="P165" s="77"/>
      <c r="Q165" s="60"/>
      <c r="R165" s="77"/>
      <c r="S165" s="109">
        <f t="shared" si="82"/>
        <v>0</v>
      </c>
      <c r="T165" s="61">
        <f t="shared" si="82"/>
        <v>0</v>
      </c>
      <c r="U165" s="62">
        <f t="shared" si="102"/>
        <v>0</v>
      </c>
      <c r="V165" s="63">
        <f t="shared" si="103"/>
        <v>0</v>
      </c>
      <c r="W165" s="64">
        <v>112</v>
      </c>
      <c r="X165" s="80">
        <v>106</v>
      </c>
      <c r="Y165" s="53"/>
      <c r="Z165" s="51"/>
      <c r="AA165" s="110"/>
      <c r="AB165" s="110"/>
      <c r="AC165" s="110"/>
      <c r="AD165" s="53"/>
      <c r="AE165" s="66">
        <f t="shared" si="83"/>
        <v>0</v>
      </c>
      <c r="AF165" s="61">
        <f t="shared" si="84"/>
        <v>0</v>
      </c>
      <c r="AG165" s="56">
        <f t="shared" si="78"/>
        <v>0</v>
      </c>
      <c r="AH165" s="67">
        <f t="shared" si="79"/>
        <v>0</v>
      </c>
      <c r="AI165" s="68">
        <f t="shared" si="79"/>
        <v>0</v>
      </c>
      <c r="AJ165" s="68">
        <f t="shared" si="79"/>
        <v>0</v>
      </c>
      <c r="AK165" s="57">
        <f t="shared" si="79"/>
        <v>0</v>
      </c>
      <c r="AL165" s="67">
        <f t="shared" si="85"/>
        <v>0</v>
      </c>
      <c r="AM165" s="57">
        <f t="shared" si="86"/>
        <v>0</v>
      </c>
      <c r="AN165" s="52"/>
      <c r="AO165" s="69"/>
      <c r="AP165" s="52"/>
      <c r="AQ165" s="70"/>
      <c r="AR165" s="52"/>
      <c r="AS165" s="52"/>
      <c r="AT165" s="52"/>
      <c r="AU165" s="61" t="str">
        <f t="shared" si="96"/>
        <v/>
      </c>
      <c r="AV165" s="61" t="str">
        <f t="shared" ca="1" si="97"/>
        <v/>
      </c>
      <c r="AW165" s="61" t="str">
        <f t="shared" si="87"/>
        <v/>
      </c>
      <c r="AX165" s="61" t="str">
        <f t="shared" ca="1" si="88"/>
        <v/>
      </c>
      <c r="AY165" s="71"/>
      <c r="AZ165" s="71"/>
      <c r="BA165" s="61" t="str">
        <f t="shared" si="98"/>
        <v/>
      </c>
      <c r="BB165" s="71"/>
      <c r="BC165" s="71"/>
      <c r="BD165" s="61" t="str">
        <f t="shared" si="99"/>
        <v/>
      </c>
      <c r="BE165" s="52"/>
      <c r="BS165" s="118"/>
      <c r="BT165" s="118"/>
      <c r="BU165" s="118"/>
      <c r="BV165" s="118"/>
      <c r="BW165" s="118"/>
      <c r="BX165" s="118"/>
      <c r="BZ165" s="118"/>
      <c r="CB165" s="118"/>
      <c r="CC165" s="118"/>
      <c r="CD165" s="118"/>
    </row>
    <row r="166" spans="1:82" ht="17.399999999999999" customHeight="1">
      <c r="A166" s="72">
        <f t="shared" si="101"/>
        <v>23.2</v>
      </c>
      <c r="B166" s="111">
        <f t="shared" si="81"/>
        <v>156</v>
      </c>
      <c r="C166" s="60"/>
      <c r="D166" s="74"/>
      <c r="E166" s="75"/>
      <c r="F166" s="74"/>
      <c r="G166" s="54">
        <f t="shared" si="105"/>
        <v>0</v>
      </c>
      <c r="H166" s="55">
        <f t="shared" si="105"/>
        <v>0</v>
      </c>
      <c r="I166" s="76">
        <f t="shared" si="90"/>
        <v>0</v>
      </c>
      <c r="J166" s="58">
        <f t="shared" si="91"/>
        <v>0</v>
      </c>
      <c r="K166" s="58">
        <f t="shared" si="92"/>
        <v>0</v>
      </c>
      <c r="L166" s="58">
        <f t="shared" si="93"/>
        <v>0</v>
      </c>
      <c r="M166" s="58" t="str">
        <f t="shared" ca="1" si="94"/>
        <v/>
      </c>
      <c r="N166" s="58" t="str">
        <f t="shared" ca="1" si="94"/>
        <v/>
      </c>
      <c r="O166" s="58">
        <f t="shared" si="95"/>
        <v>5.0000000000000001E-4</v>
      </c>
      <c r="P166" s="77"/>
      <c r="Q166" s="60"/>
      <c r="R166" s="77"/>
      <c r="S166" s="78">
        <f t="shared" si="82"/>
        <v>0</v>
      </c>
      <c r="T166" s="55">
        <f t="shared" si="82"/>
        <v>0</v>
      </c>
      <c r="U166" s="79">
        <f t="shared" si="102"/>
        <v>0</v>
      </c>
      <c r="V166" s="63">
        <f t="shared" si="103"/>
        <v>0</v>
      </c>
      <c r="W166" s="64">
        <f t="shared" ref="W166:X171" si="107">W165</f>
        <v>112</v>
      </c>
      <c r="X166" s="80">
        <f t="shared" si="107"/>
        <v>106</v>
      </c>
      <c r="Y166" s="75"/>
      <c r="Z166" s="60"/>
      <c r="AA166" s="112"/>
      <c r="AB166" s="112"/>
      <c r="AC166" s="112"/>
      <c r="AD166" s="75"/>
      <c r="AE166" s="81">
        <f t="shared" si="83"/>
        <v>0</v>
      </c>
      <c r="AF166" s="55">
        <f t="shared" si="84"/>
        <v>0</v>
      </c>
      <c r="AG166" s="76">
        <f t="shared" si="78"/>
        <v>0</v>
      </c>
      <c r="AH166" s="82">
        <f t="shared" si="79"/>
        <v>0</v>
      </c>
      <c r="AI166" s="83">
        <f t="shared" si="79"/>
        <v>0</v>
      </c>
      <c r="AJ166" s="83">
        <f t="shared" si="79"/>
        <v>0</v>
      </c>
      <c r="AK166" s="58">
        <f t="shared" si="79"/>
        <v>0</v>
      </c>
      <c r="AL166" s="82">
        <f t="shared" si="85"/>
        <v>0</v>
      </c>
      <c r="AM166" s="58">
        <f t="shared" si="86"/>
        <v>0</v>
      </c>
      <c r="AN166" s="74"/>
      <c r="AO166" s="84"/>
      <c r="AP166" s="74"/>
      <c r="AQ166" s="85"/>
      <c r="AR166" s="74"/>
      <c r="AS166" s="74"/>
      <c r="AT166" s="74"/>
      <c r="AU166" s="55" t="str">
        <f t="shared" si="96"/>
        <v/>
      </c>
      <c r="AV166" s="55" t="str">
        <f t="shared" ca="1" si="97"/>
        <v/>
      </c>
      <c r="AW166" s="55" t="str">
        <f t="shared" si="87"/>
        <v/>
      </c>
      <c r="AX166" s="55" t="str">
        <f t="shared" ca="1" si="88"/>
        <v/>
      </c>
      <c r="AY166" s="86"/>
      <c r="AZ166" s="86"/>
      <c r="BA166" s="55" t="str">
        <f t="shared" si="98"/>
        <v/>
      </c>
      <c r="BB166" s="86"/>
      <c r="BC166" s="86"/>
      <c r="BD166" s="55" t="str">
        <f t="shared" si="99"/>
        <v/>
      </c>
      <c r="BE166" s="74"/>
      <c r="BS166" s="118"/>
      <c r="BT166" s="118"/>
      <c r="BU166" s="118"/>
      <c r="BV166" s="118"/>
      <c r="BW166" s="118"/>
      <c r="BX166" s="118"/>
      <c r="BZ166" s="118"/>
      <c r="CB166" s="118"/>
      <c r="CC166" s="118"/>
      <c r="CD166" s="118"/>
    </row>
    <row r="167" spans="1:82" ht="17.399999999999999" customHeight="1">
      <c r="A167" s="87">
        <f t="shared" si="101"/>
        <v>23.3</v>
      </c>
      <c r="B167" s="111">
        <f t="shared" si="81"/>
        <v>157</v>
      </c>
      <c r="C167" s="60"/>
      <c r="D167" s="74"/>
      <c r="E167" s="75"/>
      <c r="F167" s="74"/>
      <c r="G167" s="54">
        <f t="shared" si="105"/>
        <v>0</v>
      </c>
      <c r="H167" s="55">
        <f t="shared" si="105"/>
        <v>0</v>
      </c>
      <c r="I167" s="76">
        <f t="shared" si="90"/>
        <v>0</v>
      </c>
      <c r="J167" s="58">
        <f t="shared" si="91"/>
        <v>0</v>
      </c>
      <c r="K167" s="58">
        <f t="shared" si="92"/>
        <v>0</v>
      </c>
      <c r="L167" s="58">
        <f t="shared" si="93"/>
        <v>0</v>
      </c>
      <c r="M167" s="58" t="str">
        <f t="shared" ca="1" si="94"/>
        <v/>
      </c>
      <c r="N167" s="58" t="str">
        <f t="shared" ca="1" si="94"/>
        <v/>
      </c>
      <c r="O167" s="58">
        <f t="shared" si="95"/>
        <v>5.0000000000000001E-4</v>
      </c>
      <c r="P167" s="77"/>
      <c r="Q167" s="60"/>
      <c r="R167" s="77"/>
      <c r="S167" s="78">
        <f t="shared" si="82"/>
        <v>0</v>
      </c>
      <c r="T167" s="55">
        <f t="shared" si="82"/>
        <v>0</v>
      </c>
      <c r="U167" s="79">
        <f t="shared" si="102"/>
        <v>0</v>
      </c>
      <c r="V167" s="63">
        <f t="shared" si="103"/>
        <v>0</v>
      </c>
      <c r="W167" s="64">
        <f t="shared" si="107"/>
        <v>112</v>
      </c>
      <c r="X167" s="80">
        <f t="shared" si="107"/>
        <v>106</v>
      </c>
      <c r="Y167" s="75"/>
      <c r="Z167" s="60"/>
      <c r="AA167" s="112"/>
      <c r="AB167" s="112"/>
      <c r="AC167" s="112"/>
      <c r="AD167" s="75"/>
      <c r="AE167" s="81">
        <f t="shared" si="83"/>
        <v>0</v>
      </c>
      <c r="AF167" s="55">
        <f t="shared" si="84"/>
        <v>0</v>
      </c>
      <c r="AG167" s="76">
        <f t="shared" si="78"/>
        <v>0</v>
      </c>
      <c r="AH167" s="82">
        <f t="shared" si="79"/>
        <v>0</v>
      </c>
      <c r="AI167" s="83">
        <f t="shared" si="79"/>
        <v>0</v>
      </c>
      <c r="AJ167" s="83">
        <f t="shared" si="79"/>
        <v>0</v>
      </c>
      <c r="AK167" s="58">
        <f t="shared" si="79"/>
        <v>0</v>
      </c>
      <c r="AL167" s="82">
        <f t="shared" si="85"/>
        <v>0</v>
      </c>
      <c r="AM167" s="58">
        <f t="shared" si="86"/>
        <v>0</v>
      </c>
      <c r="AN167" s="74"/>
      <c r="AO167" s="84"/>
      <c r="AP167" s="74"/>
      <c r="AQ167" s="85"/>
      <c r="AR167" s="74"/>
      <c r="AS167" s="74"/>
      <c r="AT167" s="74"/>
      <c r="AU167" s="55" t="str">
        <f t="shared" si="96"/>
        <v/>
      </c>
      <c r="AV167" s="55" t="str">
        <f t="shared" ca="1" si="97"/>
        <v/>
      </c>
      <c r="AW167" s="55" t="str">
        <f t="shared" si="87"/>
        <v/>
      </c>
      <c r="AX167" s="55" t="str">
        <f t="shared" ca="1" si="88"/>
        <v/>
      </c>
      <c r="AY167" s="86"/>
      <c r="AZ167" s="86"/>
      <c r="BA167" s="55" t="str">
        <f t="shared" si="98"/>
        <v/>
      </c>
      <c r="BB167" s="86"/>
      <c r="BC167" s="86"/>
      <c r="BD167" s="55" t="str">
        <f t="shared" si="99"/>
        <v/>
      </c>
      <c r="BE167" s="74"/>
      <c r="BS167" s="118"/>
      <c r="BT167" s="118"/>
      <c r="BU167" s="118"/>
      <c r="BV167" s="118"/>
      <c r="BW167" s="118"/>
      <c r="BX167" s="118"/>
      <c r="BZ167" s="118"/>
      <c r="CB167" s="118"/>
      <c r="CC167" s="118"/>
      <c r="CD167" s="118"/>
    </row>
    <row r="168" spans="1:82" ht="17.399999999999999" customHeight="1">
      <c r="A168" s="72">
        <f t="shared" si="101"/>
        <v>23.4</v>
      </c>
      <c r="B168" s="111">
        <f t="shared" si="81"/>
        <v>158</v>
      </c>
      <c r="C168" s="60"/>
      <c r="D168" s="74"/>
      <c r="E168" s="75"/>
      <c r="F168" s="74"/>
      <c r="G168" s="54">
        <f t="shared" si="105"/>
        <v>0</v>
      </c>
      <c r="H168" s="55">
        <f t="shared" si="105"/>
        <v>0</v>
      </c>
      <c r="I168" s="76">
        <f t="shared" si="90"/>
        <v>0</v>
      </c>
      <c r="J168" s="58">
        <f t="shared" si="91"/>
        <v>0</v>
      </c>
      <c r="K168" s="58">
        <f t="shared" si="92"/>
        <v>0</v>
      </c>
      <c r="L168" s="58">
        <f t="shared" si="93"/>
        <v>0</v>
      </c>
      <c r="M168" s="58" t="str">
        <f t="shared" ca="1" si="94"/>
        <v/>
      </c>
      <c r="N168" s="58" t="str">
        <f t="shared" ca="1" si="94"/>
        <v/>
      </c>
      <c r="O168" s="58">
        <f t="shared" si="95"/>
        <v>5.0000000000000001E-4</v>
      </c>
      <c r="P168" s="77"/>
      <c r="Q168" s="60"/>
      <c r="R168" s="77"/>
      <c r="S168" s="78">
        <f t="shared" si="82"/>
        <v>0</v>
      </c>
      <c r="T168" s="55">
        <f t="shared" si="82"/>
        <v>0</v>
      </c>
      <c r="U168" s="79">
        <f t="shared" si="102"/>
        <v>0</v>
      </c>
      <c r="V168" s="63">
        <f t="shared" si="103"/>
        <v>0</v>
      </c>
      <c r="W168" s="64">
        <f t="shared" si="107"/>
        <v>112</v>
      </c>
      <c r="X168" s="80">
        <f t="shared" si="107"/>
        <v>106</v>
      </c>
      <c r="Y168" s="75"/>
      <c r="Z168" s="60"/>
      <c r="AA168" s="112"/>
      <c r="AB168" s="112"/>
      <c r="AC168" s="112"/>
      <c r="AD168" s="75"/>
      <c r="AE168" s="81">
        <f t="shared" si="83"/>
        <v>0</v>
      </c>
      <c r="AF168" s="55">
        <f t="shared" si="84"/>
        <v>0</v>
      </c>
      <c r="AG168" s="76">
        <f t="shared" si="78"/>
        <v>0</v>
      </c>
      <c r="AH168" s="82">
        <f t="shared" si="79"/>
        <v>0</v>
      </c>
      <c r="AI168" s="83">
        <f t="shared" si="79"/>
        <v>0</v>
      </c>
      <c r="AJ168" s="83">
        <f t="shared" si="79"/>
        <v>0</v>
      </c>
      <c r="AK168" s="58">
        <f t="shared" si="79"/>
        <v>0</v>
      </c>
      <c r="AL168" s="82">
        <f t="shared" si="85"/>
        <v>0</v>
      </c>
      <c r="AM168" s="58">
        <f t="shared" si="86"/>
        <v>0</v>
      </c>
      <c r="AN168" s="74"/>
      <c r="AO168" s="84"/>
      <c r="AP168" s="74"/>
      <c r="AQ168" s="85"/>
      <c r="AR168" s="74"/>
      <c r="AS168" s="74"/>
      <c r="AT168" s="74"/>
      <c r="AU168" s="55" t="str">
        <f t="shared" si="96"/>
        <v/>
      </c>
      <c r="AV168" s="55" t="str">
        <f t="shared" ca="1" si="97"/>
        <v/>
      </c>
      <c r="AW168" s="55" t="str">
        <f t="shared" si="87"/>
        <v/>
      </c>
      <c r="AX168" s="55" t="str">
        <f t="shared" ca="1" si="88"/>
        <v/>
      </c>
      <c r="AY168" s="86"/>
      <c r="AZ168" s="86"/>
      <c r="BA168" s="55" t="str">
        <f t="shared" si="98"/>
        <v/>
      </c>
      <c r="BB168" s="86"/>
      <c r="BC168" s="86"/>
      <c r="BD168" s="55" t="str">
        <f t="shared" si="99"/>
        <v/>
      </c>
      <c r="BE168" s="74"/>
      <c r="BS168" s="118"/>
      <c r="BT168" s="118"/>
      <c r="BU168" s="118"/>
      <c r="BV168" s="118"/>
      <c r="BW168" s="118"/>
      <c r="BX168" s="118"/>
      <c r="BZ168" s="118"/>
      <c r="CB168" s="118"/>
      <c r="CC168" s="118"/>
      <c r="CD168" s="118"/>
    </row>
    <row r="169" spans="1:82" ht="17.399999999999999" customHeight="1">
      <c r="A169" s="87">
        <f t="shared" si="101"/>
        <v>23.5</v>
      </c>
      <c r="B169" s="111">
        <f t="shared" si="81"/>
        <v>159</v>
      </c>
      <c r="C169" s="60"/>
      <c r="D169" s="74"/>
      <c r="E169" s="75"/>
      <c r="F169" s="74"/>
      <c r="G169" s="54">
        <f t="shared" si="105"/>
        <v>0</v>
      </c>
      <c r="H169" s="55">
        <f t="shared" si="105"/>
        <v>0</v>
      </c>
      <c r="I169" s="76">
        <f t="shared" si="90"/>
        <v>0</v>
      </c>
      <c r="J169" s="58">
        <f t="shared" si="91"/>
        <v>0</v>
      </c>
      <c r="K169" s="58">
        <f t="shared" si="92"/>
        <v>0</v>
      </c>
      <c r="L169" s="58">
        <f t="shared" si="93"/>
        <v>0</v>
      </c>
      <c r="M169" s="58" t="str">
        <f t="shared" ca="1" si="94"/>
        <v/>
      </c>
      <c r="N169" s="58" t="str">
        <f t="shared" ca="1" si="94"/>
        <v/>
      </c>
      <c r="O169" s="58">
        <f t="shared" si="95"/>
        <v>5.0000000000000001E-4</v>
      </c>
      <c r="P169" s="77"/>
      <c r="Q169" s="60"/>
      <c r="R169" s="77"/>
      <c r="S169" s="78">
        <f t="shared" si="82"/>
        <v>0</v>
      </c>
      <c r="T169" s="55">
        <f t="shared" si="82"/>
        <v>0</v>
      </c>
      <c r="U169" s="79">
        <f t="shared" si="102"/>
        <v>0</v>
      </c>
      <c r="V169" s="63">
        <f t="shared" si="103"/>
        <v>0</v>
      </c>
      <c r="W169" s="64">
        <f t="shared" si="107"/>
        <v>112</v>
      </c>
      <c r="X169" s="80">
        <f t="shared" si="107"/>
        <v>106</v>
      </c>
      <c r="Y169" s="75"/>
      <c r="Z169" s="60"/>
      <c r="AA169" s="112"/>
      <c r="AB169" s="112"/>
      <c r="AC169" s="112"/>
      <c r="AD169" s="75"/>
      <c r="AE169" s="81">
        <f t="shared" si="83"/>
        <v>0</v>
      </c>
      <c r="AF169" s="55">
        <f t="shared" si="84"/>
        <v>0</v>
      </c>
      <c r="AG169" s="76">
        <f t="shared" si="78"/>
        <v>0</v>
      </c>
      <c r="AH169" s="82">
        <f t="shared" si="79"/>
        <v>0</v>
      </c>
      <c r="AI169" s="83">
        <f t="shared" si="79"/>
        <v>0</v>
      </c>
      <c r="AJ169" s="83">
        <f t="shared" si="79"/>
        <v>0</v>
      </c>
      <c r="AK169" s="58">
        <f t="shared" si="79"/>
        <v>0</v>
      </c>
      <c r="AL169" s="82">
        <f t="shared" si="85"/>
        <v>0</v>
      </c>
      <c r="AM169" s="58">
        <f t="shared" si="86"/>
        <v>0</v>
      </c>
      <c r="AN169" s="74"/>
      <c r="AO169" s="84"/>
      <c r="AP169" s="74"/>
      <c r="AQ169" s="85"/>
      <c r="AR169" s="74"/>
      <c r="AS169" s="74"/>
      <c r="AT169" s="74"/>
      <c r="AU169" s="55" t="str">
        <f t="shared" si="96"/>
        <v/>
      </c>
      <c r="AV169" s="55" t="str">
        <f t="shared" ca="1" si="97"/>
        <v/>
      </c>
      <c r="AW169" s="55" t="str">
        <f t="shared" si="87"/>
        <v/>
      </c>
      <c r="AX169" s="55" t="str">
        <f t="shared" ca="1" si="88"/>
        <v/>
      </c>
      <c r="AY169" s="86"/>
      <c r="AZ169" s="86"/>
      <c r="BA169" s="55" t="str">
        <f t="shared" si="98"/>
        <v/>
      </c>
      <c r="BB169" s="86"/>
      <c r="BC169" s="86"/>
      <c r="BD169" s="55" t="str">
        <f t="shared" si="99"/>
        <v/>
      </c>
      <c r="BE169" s="74"/>
      <c r="BS169" s="118"/>
      <c r="BT169" s="118"/>
      <c r="BU169" s="118"/>
      <c r="BV169" s="118"/>
      <c r="BW169" s="118"/>
      <c r="BX169" s="118"/>
      <c r="BZ169" s="118"/>
      <c r="CB169" s="118"/>
      <c r="CC169" s="118"/>
      <c r="CD169" s="118"/>
    </row>
    <row r="170" spans="1:82" ht="17.399999999999999" customHeight="1">
      <c r="A170" s="72">
        <f t="shared" si="101"/>
        <v>23.6</v>
      </c>
      <c r="B170" s="111">
        <f t="shared" si="81"/>
        <v>160</v>
      </c>
      <c r="C170" s="60"/>
      <c r="D170" s="74"/>
      <c r="E170" s="75"/>
      <c r="F170" s="74"/>
      <c r="G170" s="54">
        <f t="shared" si="105"/>
        <v>0</v>
      </c>
      <c r="H170" s="55">
        <f t="shared" si="105"/>
        <v>0</v>
      </c>
      <c r="I170" s="76">
        <f t="shared" si="90"/>
        <v>0</v>
      </c>
      <c r="J170" s="58">
        <f t="shared" si="91"/>
        <v>0</v>
      </c>
      <c r="K170" s="58">
        <f t="shared" si="92"/>
        <v>0</v>
      </c>
      <c r="L170" s="58">
        <f t="shared" si="93"/>
        <v>0</v>
      </c>
      <c r="M170" s="58" t="str">
        <f t="shared" ca="1" si="94"/>
        <v/>
      </c>
      <c r="N170" s="58" t="str">
        <f t="shared" ca="1" si="94"/>
        <v/>
      </c>
      <c r="O170" s="58">
        <f t="shared" si="95"/>
        <v>5.0000000000000001E-4</v>
      </c>
      <c r="P170" s="77"/>
      <c r="Q170" s="60"/>
      <c r="R170" s="77"/>
      <c r="S170" s="78">
        <f t="shared" si="82"/>
        <v>0</v>
      </c>
      <c r="T170" s="55">
        <f t="shared" si="82"/>
        <v>0</v>
      </c>
      <c r="U170" s="79">
        <f t="shared" si="102"/>
        <v>0</v>
      </c>
      <c r="V170" s="63">
        <f t="shared" si="103"/>
        <v>0</v>
      </c>
      <c r="W170" s="64">
        <f t="shared" si="107"/>
        <v>112</v>
      </c>
      <c r="X170" s="80">
        <f t="shared" si="107"/>
        <v>106</v>
      </c>
      <c r="Y170" s="75"/>
      <c r="Z170" s="60"/>
      <c r="AA170" s="112"/>
      <c r="AB170" s="112"/>
      <c r="AC170" s="112"/>
      <c r="AD170" s="75"/>
      <c r="AE170" s="81">
        <f t="shared" si="83"/>
        <v>0</v>
      </c>
      <c r="AF170" s="55">
        <f t="shared" si="84"/>
        <v>0</v>
      </c>
      <c r="AG170" s="76">
        <f t="shared" si="78"/>
        <v>0</v>
      </c>
      <c r="AH170" s="82">
        <f t="shared" si="79"/>
        <v>0</v>
      </c>
      <c r="AI170" s="83">
        <f t="shared" si="79"/>
        <v>0</v>
      </c>
      <c r="AJ170" s="83">
        <f t="shared" si="79"/>
        <v>0</v>
      </c>
      <c r="AK170" s="58">
        <f t="shared" si="79"/>
        <v>0</v>
      </c>
      <c r="AL170" s="82">
        <f t="shared" si="85"/>
        <v>0</v>
      </c>
      <c r="AM170" s="58">
        <f t="shared" si="86"/>
        <v>0</v>
      </c>
      <c r="AN170" s="74"/>
      <c r="AO170" s="84"/>
      <c r="AP170" s="74"/>
      <c r="AQ170" s="85"/>
      <c r="AR170" s="74"/>
      <c r="AS170" s="74"/>
      <c r="AT170" s="74"/>
      <c r="AU170" s="55" t="str">
        <f t="shared" si="96"/>
        <v/>
      </c>
      <c r="AV170" s="55" t="str">
        <f t="shared" ca="1" si="97"/>
        <v/>
      </c>
      <c r="AW170" s="55" t="str">
        <f t="shared" si="87"/>
        <v/>
      </c>
      <c r="AX170" s="55" t="str">
        <f t="shared" ca="1" si="88"/>
        <v/>
      </c>
      <c r="AY170" s="86"/>
      <c r="AZ170" s="86"/>
      <c r="BA170" s="55" t="str">
        <f t="shared" si="98"/>
        <v/>
      </c>
      <c r="BB170" s="86"/>
      <c r="BC170" s="86"/>
      <c r="BD170" s="55" t="str">
        <f t="shared" si="99"/>
        <v/>
      </c>
      <c r="BE170" s="74"/>
      <c r="BS170" s="118"/>
      <c r="BT170" s="118"/>
      <c r="BU170" s="118"/>
      <c r="BV170" s="118"/>
      <c r="BW170" s="118"/>
      <c r="BX170" s="118"/>
      <c r="BZ170" s="118"/>
      <c r="CB170" s="118"/>
      <c r="CC170" s="118"/>
      <c r="CD170" s="118"/>
    </row>
    <row r="171" spans="1:82" ht="17.399999999999999" customHeight="1" thickBot="1">
      <c r="A171" s="87">
        <f t="shared" si="101"/>
        <v>23.700000000000003</v>
      </c>
      <c r="B171" s="113">
        <f t="shared" si="81"/>
        <v>161</v>
      </c>
      <c r="C171" s="89"/>
      <c r="D171" s="90"/>
      <c r="E171" s="91"/>
      <c r="F171" s="90"/>
      <c r="G171" s="92">
        <f t="shared" si="105"/>
        <v>0</v>
      </c>
      <c r="H171" s="93">
        <f t="shared" si="105"/>
        <v>0</v>
      </c>
      <c r="I171" s="94">
        <f t="shared" si="90"/>
        <v>0</v>
      </c>
      <c r="J171" s="95">
        <f t="shared" si="91"/>
        <v>0</v>
      </c>
      <c r="K171" s="95">
        <f t="shared" si="92"/>
        <v>0</v>
      </c>
      <c r="L171" s="95">
        <f t="shared" si="93"/>
        <v>0</v>
      </c>
      <c r="M171" s="95" t="str">
        <f t="shared" ca="1" si="94"/>
        <v/>
      </c>
      <c r="N171" s="95" t="str">
        <f t="shared" ca="1" si="94"/>
        <v/>
      </c>
      <c r="O171" s="95">
        <f t="shared" si="95"/>
        <v>5.0000000000000001E-4</v>
      </c>
      <c r="P171" s="96"/>
      <c r="Q171" s="89"/>
      <c r="R171" s="96"/>
      <c r="S171" s="78">
        <f t="shared" si="82"/>
        <v>0</v>
      </c>
      <c r="T171" s="55">
        <f t="shared" si="82"/>
        <v>0</v>
      </c>
      <c r="U171" s="97">
        <f t="shared" si="102"/>
        <v>0</v>
      </c>
      <c r="V171" s="98">
        <f t="shared" si="103"/>
        <v>0</v>
      </c>
      <c r="W171" s="99">
        <f t="shared" si="107"/>
        <v>112</v>
      </c>
      <c r="X171" s="100">
        <f t="shared" si="107"/>
        <v>106</v>
      </c>
      <c r="Y171" s="91"/>
      <c r="Z171" s="89"/>
      <c r="AA171" s="112"/>
      <c r="AB171" s="112"/>
      <c r="AC171" s="112"/>
      <c r="AD171" s="75"/>
      <c r="AE171" s="101">
        <f t="shared" si="83"/>
        <v>0</v>
      </c>
      <c r="AF171" s="93">
        <f t="shared" si="84"/>
        <v>0</v>
      </c>
      <c r="AG171" s="94">
        <f t="shared" si="78"/>
        <v>0</v>
      </c>
      <c r="AH171" s="102">
        <f t="shared" si="79"/>
        <v>0</v>
      </c>
      <c r="AI171" s="103">
        <f t="shared" si="79"/>
        <v>0</v>
      </c>
      <c r="AJ171" s="103">
        <f t="shared" si="79"/>
        <v>0</v>
      </c>
      <c r="AK171" s="95">
        <f t="shared" si="79"/>
        <v>0</v>
      </c>
      <c r="AL171" s="102">
        <f t="shared" si="85"/>
        <v>0</v>
      </c>
      <c r="AM171" s="95">
        <f t="shared" si="86"/>
        <v>0</v>
      </c>
      <c r="AN171" s="90"/>
      <c r="AO171" s="104"/>
      <c r="AP171" s="90"/>
      <c r="AQ171" s="105"/>
      <c r="AR171" s="90"/>
      <c r="AS171" s="90"/>
      <c r="AT171" s="90"/>
      <c r="AU171" s="93" t="str">
        <f t="shared" si="96"/>
        <v/>
      </c>
      <c r="AV171" s="93" t="str">
        <f t="shared" ca="1" si="97"/>
        <v/>
      </c>
      <c r="AW171" s="93" t="str">
        <f t="shared" si="87"/>
        <v/>
      </c>
      <c r="AX171" s="93" t="str">
        <f t="shared" ca="1" si="88"/>
        <v/>
      </c>
      <c r="AY171" s="106"/>
      <c r="AZ171" s="106"/>
      <c r="BA171" s="93" t="str">
        <f t="shared" si="98"/>
        <v/>
      </c>
      <c r="BB171" s="106"/>
      <c r="BC171" s="106"/>
      <c r="BD171" s="93" t="str">
        <f t="shared" si="99"/>
        <v/>
      </c>
      <c r="BE171" s="90"/>
      <c r="BS171" s="118"/>
      <c r="BT171" s="118"/>
      <c r="BU171" s="118"/>
      <c r="BV171" s="118"/>
      <c r="BW171" s="118"/>
      <c r="BX171" s="118"/>
      <c r="BZ171" s="118"/>
      <c r="CB171" s="118"/>
      <c r="CC171" s="118"/>
      <c r="CD171" s="118"/>
    </row>
    <row r="172" spans="1:82" ht="17.399999999999999" customHeight="1" thickTop="1">
      <c r="A172" s="107">
        <f>A165+1</f>
        <v>24.1</v>
      </c>
      <c r="B172" s="108">
        <f>B171+1</f>
        <v>162</v>
      </c>
      <c r="C172" s="51"/>
      <c r="D172" s="52"/>
      <c r="E172" s="53"/>
      <c r="F172" s="52"/>
      <c r="G172" s="54">
        <f t="shared" ref="G172:H187" si="108">G171-E172-C172</f>
        <v>0</v>
      </c>
      <c r="H172" s="55">
        <f t="shared" si="108"/>
        <v>0</v>
      </c>
      <c r="I172" s="56">
        <f t="shared" si="90"/>
        <v>0</v>
      </c>
      <c r="J172" s="57">
        <f t="shared" si="91"/>
        <v>0</v>
      </c>
      <c r="K172" s="57">
        <f t="shared" si="92"/>
        <v>0</v>
      </c>
      <c r="L172" s="57">
        <f t="shared" si="93"/>
        <v>0</v>
      </c>
      <c r="M172" s="58" t="str">
        <f t="shared" ca="1" si="94"/>
        <v/>
      </c>
      <c r="N172" s="58" t="str">
        <f t="shared" ca="1" si="94"/>
        <v/>
      </c>
      <c r="O172" s="58">
        <f t="shared" si="95"/>
        <v>5.0000000000000001E-4</v>
      </c>
      <c r="P172" s="77"/>
      <c r="Q172" s="60"/>
      <c r="R172" s="77"/>
      <c r="S172" s="109">
        <f t="shared" si="82"/>
        <v>0</v>
      </c>
      <c r="T172" s="61">
        <f t="shared" si="82"/>
        <v>0</v>
      </c>
      <c r="U172" s="62">
        <f t="shared" si="102"/>
        <v>0</v>
      </c>
      <c r="V172" s="63">
        <f t="shared" si="103"/>
        <v>0</v>
      </c>
      <c r="W172" s="64">
        <v>118</v>
      </c>
      <c r="X172" s="80">
        <v>110</v>
      </c>
      <c r="Y172" s="53"/>
      <c r="Z172" s="51"/>
      <c r="AA172" s="110"/>
      <c r="AB172" s="110"/>
      <c r="AC172" s="110"/>
      <c r="AD172" s="53"/>
      <c r="AE172" s="66">
        <f t="shared" si="83"/>
        <v>0</v>
      </c>
      <c r="AF172" s="61">
        <f t="shared" si="84"/>
        <v>0</v>
      </c>
      <c r="AG172" s="56">
        <f t="shared" si="78"/>
        <v>0</v>
      </c>
      <c r="AH172" s="67">
        <f t="shared" si="79"/>
        <v>0</v>
      </c>
      <c r="AI172" s="68">
        <f t="shared" si="79"/>
        <v>0</v>
      </c>
      <c r="AJ172" s="68">
        <f t="shared" si="79"/>
        <v>0</v>
      </c>
      <c r="AK172" s="57">
        <f t="shared" si="79"/>
        <v>0</v>
      </c>
      <c r="AL172" s="67">
        <f t="shared" si="85"/>
        <v>0</v>
      </c>
      <c r="AM172" s="57">
        <f t="shared" si="86"/>
        <v>0</v>
      </c>
      <c r="AN172" s="52"/>
      <c r="AO172" s="69"/>
      <c r="AP172" s="52"/>
      <c r="AQ172" s="70"/>
      <c r="AR172" s="52"/>
      <c r="AS172" s="52"/>
      <c r="AT172" s="52"/>
      <c r="AU172" s="61" t="str">
        <f t="shared" si="96"/>
        <v/>
      </c>
      <c r="AV172" s="61" t="str">
        <f t="shared" ca="1" si="97"/>
        <v/>
      </c>
      <c r="AW172" s="61" t="str">
        <f t="shared" si="87"/>
        <v/>
      </c>
      <c r="AX172" s="61" t="str">
        <f t="shared" ca="1" si="88"/>
        <v/>
      </c>
      <c r="AY172" s="71"/>
      <c r="AZ172" s="71"/>
      <c r="BA172" s="61" t="str">
        <f t="shared" si="98"/>
        <v/>
      </c>
      <c r="BB172" s="71"/>
      <c r="BC172" s="71"/>
      <c r="BD172" s="61" t="str">
        <f t="shared" si="99"/>
        <v/>
      </c>
      <c r="BE172" s="52"/>
      <c r="BS172" s="118"/>
      <c r="BT172" s="118"/>
      <c r="BU172" s="118"/>
      <c r="BV172" s="118"/>
      <c r="BW172" s="118"/>
      <c r="BX172" s="118"/>
      <c r="BZ172" s="118"/>
      <c r="CB172" s="118"/>
      <c r="CC172" s="118"/>
      <c r="CD172" s="118"/>
    </row>
    <row r="173" spans="1:82" ht="17.399999999999999" customHeight="1">
      <c r="A173" s="87">
        <f t="shared" si="101"/>
        <v>24.2</v>
      </c>
      <c r="B173" s="111">
        <f t="shared" si="81"/>
        <v>163</v>
      </c>
      <c r="C173" s="60"/>
      <c r="D173" s="74"/>
      <c r="E173" s="75"/>
      <c r="F173" s="74"/>
      <c r="G173" s="54">
        <f t="shared" si="108"/>
        <v>0</v>
      </c>
      <c r="H173" s="55">
        <f t="shared" si="108"/>
        <v>0</v>
      </c>
      <c r="I173" s="76">
        <f t="shared" si="90"/>
        <v>0</v>
      </c>
      <c r="J173" s="58">
        <f t="shared" si="91"/>
        <v>0</v>
      </c>
      <c r="K173" s="58">
        <f t="shared" si="92"/>
        <v>0</v>
      </c>
      <c r="L173" s="58">
        <f t="shared" si="93"/>
        <v>0</v>
      </c>
      <c r="M173" s="58" t="str">
        <f t="shared" ca="1" si="94"/>
        <v/>
      </c>
      <c r="N173" s="58" t="str">
        <f t="shared" ca="1" si="94"/>
        <v/>
      </c>
      <c r="O173" s="58">
        <f t="shared" si="95"/>
        <v>5.0000000000000001E-4</v>
      </c>
      <c r="P173" s="77"/>
      <c r="Q173" s="60"/>
      <c r="R173" s="77"/>
      <c r="S173" s="78">
        <f t="shared" si="82"/>
        <v>0</v>
      </c>
      <c r="T173" s="55">
        <f t="shared" si="82"/>
        <v>0</v>
      </c>
      <c r="U173" s="79">
        <f t="shared" si="102"/>
        <v>0</v>
      </c>
      <c r="V173" s="63">
        <f t="shared" si="103"/>
        <v>0</v>
      </c>
      <c r="W173" s="64">
        <f t="shared" ref="W173:X178" si="109">W172</f>
        <v>118</v>
      </c>
      <c r="X173" s="80">
        <f t="shared" si="109"/>
        <v>110</v>
      </c>
      <c r="Y173" s="75"/>
      <c r="Z173" s="60"/>
      <c r="AA173" s="112"/>
      <c r="AB173" s="112"/>
      <c r="AC173" s="112"/>
      <c r="AD173" s="75"/>
      <c r="AE173" s="81">
        <f t="shared" si="83"/>
        <v>0</v>
      </c>
      <c r="AF173" s="55">
        <f t="shared" si="84"/>
        <v>0</v>
      </c>
      <c r="AG173" s="76">
        <f t="shared" si="78"/>
        <v>0</v>
      </c>
      <c r="AH173" s="82">
        <f t="shared" si="79"/>
        <v>0</v>
      </c>
      <c r="AI173" s="83">
        <f t="shared" si="79"/>
        <v>0</v>
      </c>
      <c r="AJ173" s="83">
        <f t="shared" si="79"/>
        <v>0</v>
      </c>
      <c r="AK173" s="58">
        <f t="shared" si="79"/>
        <v>0</v>
      </c>
      <c r="AL173" s="82">
        <f t="shared" si="85"/>
        <v>0</v>
      </c>
      <c r="AM173" s="58">
        <f t="shared" si="86"/>
        <v>0</v>
      </c>
      <c r="AN173" s="74"/>
      <c r="AO173" s="84"/>
      <c r="AP173" s="74"/>
      <c r="AQ173" s="85"/>
      <c r="AR173" s="74"/>
      <c r="AS173" s="74"/>
      <c r="AT173" s="74"/>
      <c r="AU173" s="55" t="str">
        <f t="shared" si="96"/>
        <v/>
      </c>
      <c r="AV173" s="55" t="str">
        <f t="shared" ca="1" si="97"/>
        <v/>
      </c>
      <c r="AW173" s="55" t="str">
        <f t="shared" si="87"/>
        <v/>
      </c>
      <c r="AX173" s="55" t="str">
        <f t="shared" ca="1" si="88"/>
        <v/>
      </c>
      <c r="AY173" s="86"/>
      <c r="AZ173" s="86"/>
      <c r="BA173" s="55" t="str">
        <f t="shared" si="98"/>
        <v/>
      </c>
      <c r="BB173" s="86"/>
      <c r="BC173" s="86"/>
      <c r="BD173" s="55" t="str">
        <f t="shared" si="99"/>
        <v/>
      </c>
      <c r="BE173" s="74"/>
      <c r="BS173" s="118"/>
      <c r="BT173" s="118"/>
      <c r="BU173" s="118"/>
      <c r="BV173" s="118"/>
      <c r="BW173" s="118"/>
      <c r="BX173" s="118"/>
      <c r="BZ173" s="118"/>
      <c r="CB173" s="118"/>
      <c r="CC173" s="118"/>
      <c r="CD173" s="118"/>
    </row>
    <row r="174" spans="1:82" ht="17.399999999999999" customHeight="1">
      <c r="A174" s="72">
        <f t="shared" si="101"/>
        <v>24.3</v>
      </c>
      <c r="B174" s="111">
        <f t="shared" si="81"/>
        <v>164</v>
      </c>
      <c r="C174" s="60"/>
      <c r="D174" s="74"/>
      <c r="E174" s="75"/>
      <c r="F174" s="74"/>
      <c r="G174" s="54">
        <f t="shared" si="108"/>
        <v>0</v>
      </c>
      <c r="H174" s="55">
        <f t="shared" si="108"/>
        <v>0</v>
      </c>
      <c r="I174" s="76">
        <f t="shared" si="90"/>
        <v>0</v>
      </c>
      <c r="J174" s="58">
        <f t="shared" si="91"/>
        <v>0</v>
      </c>
      <c r="K174" s="58">
        <f t="shared" si="92"/>
        <v>0</v>
      </c>
      <c r="L174" s="58">
        <f t="shared" si="93"/>
        <v>0</v>
      </c>
      <c r="M174" s="58" t="str">
        <f t="shared" ca="1" si="94"/>
        <v/>
      </c>
      <c r="N174" s="58" t="str">
        <f t="shared" ca="1" si="94"/>
        <v/>
      </c>
      <c r="O174" s="58">
        <f t="shared" si="95"/>
        <v>5.0000000000000001E-4</v>
      </c>
      <c r="P174" s="77"/>
      <c r="Q174" s="60"/>
      <c r="R174" s="77"/>
      <c r="S174" s="78">
        <f t="shared" si="82"/>
        <v>0</v>
      </c>
      <c r="T174" s="55">
        <f t="shared" si="82"/>
        <v>0</v>
      </c>
      <c r="U174" s="79">
        <f t="shared" si="102"/>
        <v>0</v>
      </c>
      <c r="V174" s="63">
        <f t="shared" si="103"/>
        <v>0</v>
      </c>
      <c r="W174" s="64">
        <f t="shared" si="109"/>
        <v>118</v>
      </c>
      <c r="X174" s="80">
        <f t="shared" si="109"/>
        <v>110</v>
      </c>
      <c r="Y174" s="75"/>
      <c r="Z174" s="60"/>
      <c r="AA174" s="112"/>
      <c r="AB174" s="112"/>
      <c r="AC174" s="112"/>
      <c r="AD174" s="75"/>
      <c r="AE174" s="81">
        <f t="shared" si="83"/>
        <v>0</v>
      </c>
      <c r="AF174" s="55">
        <f t="shared" si="84"/>
        <v>0</v>
      </c>
      <c r="AG174" s="76">
        <f t="shared" si="78"/>
        <v>0</v>
      </c>
      <c r="AH174" s="82">
        <f t="shared" si="79"/>
        <v>0</v>
      </c>
      <c r="AI174" s="83">
        <f t="shared" si="79"/>
        <v>0</v>
      </c>
      <c r="AJ174" s="83">
        <f t="shared" si="79"/>
        <v>0</v>
      </c>
      <c r="AK174" s="58">
        <f t="shared" si="79"/>
        <v>0</v>
      </c>
      <c r="AL174" s="82">
        <f t="shared" si="85"/>
        <v>0</v>
      </c>
      <c r="AM174" s="58">
        <f t="shared" si="86"/>
        <v>0</v>
      </c>
      <c r="AN174" s="74"/>
      <c r="AO174" s="84"/>
      <c r="AP174" s="74"/>
      <c r="AQ174" s="85"/>
      <c r="AR174" s="74"/>
      <c r="AS174" s="74"/>
      <c r="AT174" s="74"/>
      <c r="AU174" s="55" t="str">
        <f t="shared" si="96"/>
        <v/>
      </c>
      <c r="AV174" s="55" t="str">
        <f t="shared" ca="1" si="97"/>
        <v/>
      </c>
      <c r="AW174" s="55" t="str">
        <f t="shared" si="87"/>
        <v/>
      </c>
      <c r="AX174" s="55" t="str">
        <f t="shared" ca="1" si="88"/>
        <v/>
      </c>
      <c r="AY174" s="86"/>
      <c r="AZ174" s="86"/>
      <c r="BA174" s="55" t="str">
        <f t="shared" si="98"/>
        <v/>
      </c>
      <c r="BB174" s="86"/>
      <c r="BC174" s="86"/>
      <c r="BD174" s="55" t="str">
        <f t="shared" si="99"/>
        <v/>
      </c>
      <c r="BE174" s="74"/>
      <c r="BS174" s="118"/>
      <c r="BT174" s="118"/>
      <c r="BU174" s="118"/>
      <c r="BV174" s="118"/>
      <c r="BW174" s="118"/>
      <c r="BX174" s="118"/>
      <c r="BZ174" s="118"/>
      <c r="CB174" s="118"/>
      <c r="CC174" s="118"/>
      <c r="CD174" s="118"/>
    </row>
    <row r="175" spans="1:82" ht="17.399999999999999" customHeight="1">
      <c r="A175" s="87">
        <f t="shared" si="101"/>
        <v>24.4</v>
      </c>
      <c r="B175" s="111">
        <f t="shared" si="81"/>
        <v>165</v>
      </c>
      <c r="C175" s="60"/>
      <c r="D175" s="74"/>
      <c r="E175" s="75"/>
      <c r="F175" s="74"/>
      <c r="G175" s="54">
        <f t="shared" si="108"/>
        <v>0</v>
      </c>
      <c r="H175" s="55">
        <f t="shared" si="108"/>
        <v>0</v>
      </c>
      <c r="I175" s="76">
        <f t="shared" si="90"/>
        <v>0</v>
      </c>
      <c r="J175" s="58">
        <f t="shared" si="91"/>
        <v>0</v>
      </c>
      <c r="K175" s="58">
        <f t="shared" si="92"/>
        <v>0</v>
      </c>
      <c r="L175" s="58">
        <f t="shared" si="93"/>
        <v>0</v>
      </c>
      <c r="M175" s="58" t="str">
        <f t="shared" ca="1" si="94"/>
        <v/>
      </c>
      <c r="N175" s="58" t="str">
        <f t="shared" ca="1" si="94"/>
        <v/>
      </c>
      <c r="O175" s="58">
        <f t="shared" si="95"/>
        <v>5.0000000000000001E-4</v>
      </c>
      <c r="P175" s="77"/>
      <c r="Q175" s="60"/>
      <c r="R175" s="77"/>
      <c r="S175" s="78">
        <f t="shared" si="82"/>
        <v>0</v>
      </c>
      <c r="T175" s="55">
        <f t="shared" si="82"/>
        <v>0</v>
      </c>
      <c r="U175" s="79">
        <f t="shared" si="102"/>
        <v>0</v>
      </c>
      <c r="V175" s="63">
        <f t="shared" si="103"/>
        <v>0</v>
      </c>
      <c r="W175" s="64">
        <f t="shared" si="109"/>
        <v>118</v>
      </c>
      <c r="X175" s="80">
        <f t="shared" si="109"/>
        <v>110</v>
      </c>
      <c r="Y175" s="75"/>
      <c r="Z175" s="60"/>
      <c r="AA175" s="112"/>
      <c r="AB175" s="112"/>
      <c r="AC175" s="112"/>
      <c r="AD175" s="75"/>
      <c r="AE175" s="81">
        <f t="shared" si="83"/>
        <v>0</v>
      </c>
      <c r="AF175" s="55">
        <f t="shared" si="84"/>
        <v>0</v>
      </c>
      <c r="AG175" s="76">
        <f t="shared" si="78"/>
        <v>0</v>
      </c>
      <c r="AH175" s="82">
        <f t="shared" si="79"/>
        <v>0</v>
      </c>
      <c r="AI175" s="83">
        <f t="shared" si="79"/>
        <v>0</v>
      </c>
      <c r="AJ175" s="83">
        <f t="shared" si="79"/>
        <v>0</v>
      </c>
      <c r="AK175" s="58">
        <f t="shared" si="79"/>
        <v>0</v>
      </c>
      <c r="AL175" s="82">
        <f t="shared" si="85"/>
        <v>0</v>
      </c>
      <c r="AM175" s="58">
        <f t="shared" si="86"/>
        <v>0</v>
      </c>
      <c r="AN175" s="74"/>
      <c r="AO175" s="84"/>
      <c r="AP175" s="74"/>
      <c r="AQ175" s="85"/>
      <c r="AR175" s="74"/>
      <c r="AS175" s="74"/>
      <c r="AT175" s="74"/>
      <c r="AU175" s="55" t="str">
        <f t="shared" si="96"/>
        <v/>
      </c>
      <c r="AV175" s="55" t="str">
        <f t="shared" ca="1" si="97"/>
        <v/>
      </c>
      <c r="AW175" s="55" t="str">
        <f t="shared" si="87"/>
        <v/>
      </c>
      <c r="AX175" s="55" t="str">
        <f t="shared" ca="1" si="88"/>
        <v/>
      </c>
      <c r="AY175" s="86"/>
      <c r="AZ175" s="86"/>
      <c r="BA175" s="55" t="str">
        <f t="shared" si="98"/>
        <v/>
      </c>
      <c r="BB175" s="86"/>
      <c r="BC175" s="86"/>
      <c r="BD175" s="55" t="str">
        <f t="shared" si="99"/>
        <v/>
      </c>
      <c r="BE175" s="74"/>
      <c r="BS175" s="118"/>
      <c r="BT175" s="118"/>
      <c r="BU175" s="118"/>
      <c r="BV175" s="118"/>
      <c r="BW175" s="118"/>
      <c r="BX175" s="118"/>
      <c r="BZ175" s="118"/>
      <c r="CB175" s="118"/>
      <c r="CC175" s="118"/>
      <c r="CD175" s="118"/>
    </row>
    <row r="176" spans="1:82" ht="17.399999999999999" customHeight="1">
      <c r="A176" s="72">
        <f t="shared" si="101"/>
        <v>24.5</v>
      </c>
      <c r="B176" s="111">
        <f t="shared" si="81"/>
        <v>166</v>
      </c>
      <c r="C176" s="60"/>
      <c r="D176" s="74"/>
      <c r="E176" s="75"/>
      <c r="F176" s="74"/>
      <c r="G176" s="54">
        <f t="shared" si="108"/>
        <v>0</v>
      </c>
      <c r="H176" s="55">
        <f t="shared" si="108"/>
        <v>0</v>
      </c>
      <c r="I176" s="76">
        <f t="shared" si="90"/>
        <v>0</v>
      </c>
      <c r="J176" s="58">
        <f t="shared" si="91"/>
        <v>0</v>
      </c>
      <c r="K176" s="58">
        <f t="shared" si="92"/>
        <v>0</v>
      </c>
      <c r="L176" s="58">
        <f t="shared" si="93"/>
        <v>0</v>
      </c>
      <c r="M176" s="58" t="str">
        <f t="shared" ca="1" si="94"/>
        <v/>
      </c>
      <c r="N176" s="58" t="str">
        <f t="shared" ca="1" si="94"/>
        <v/>
      </c>
      <c r="O176" s="58">
        <f t="shared" si="95"/>
        <v>5.0000000000000001E-4</v>
      </c>
      <c r="P176" s="77"/>
      <c r="Q176" s="60"/>
      <c r="R176" s="77"/>
      <c r="S176" s="78">
        <f t="shared" si="82"/>
        <v>0</v>
      </c>
      <c r="T176" s="55">
        <f t="shared" si="82"/>
        <v>0</v>
      </c>
      <c r="U176" s="79">
        <f t="shared" si="102"/>
        <v>0</v>
      </c>
      <c r="V176" s="63">
        <f t="shared" si="103"/>
        <v>0</v>
      </c>
      <c r="W176" s="64">
        <f t="shared" si="109"/>
        <v>118</v>
      </c>
      <c r="X176" s="80">
        <f t="shared" si="109"/>
        <v>110</v>
      </c>
      <c r="Y176" s="75"/>
      <c r="Z176" s="60"/>
      <c r="AA176" s="112"/>
      <c r="AB176" s="112"/>
      <c r="AC176" s="112"/>
      <c r="AD176" s="75"/>
      <c r="AE176" s="81">
        <f t="shared" si="83"/>
        <v>0</v>
      </c>
      <c r="AF176" s="55">
        <f t="shared" si="84"/>
        <v>0</v>
      </c>
      <c r="AG176" s="76">
        <f t="shared" si="78"/>
        <v>0</v>
      </c>
      <c r="AH176" s="82">
        <f t="shared" si="79"/>
        <v>0</v>
      </c>
      <c r="AI176" s="83">
        <f t="shared" si="79"/>
        <v>0</v>
      </c>
      <c r="AJ176" s="83">
        <f t="shared" si="79"/>
        <v>0</v>
      </c>
      <c r="AK176" s="58">
        <f t="shared" si="79"/>
        <v>0</v>
      </c>
      <c r="AL176" s="82">
        <f t="shared" si="85"/>
        <v>0</v>
      </c>
      <c r="AM176" s="58">
        <f t="shared" si="86"/>
        <v>0</v>
      </c>
      <c r="AN176" s="74"/>
      <c r="AO176" s="84"/>
      <c r="AP176" s="74"/>
      <c r="AQ176" s="85"/>
      <c r="AR176" s="74"/>
      <c r="AS176" s="74"/>
      <c r="AT176" s="74"/>
      <c r="AU176" s="55" t="str">
        <f t="shared" si="96"/>
        <v/>
      </c>
      <c r="AV176" s="55" t="str">
        <f t="shared" ca="1" si="97"/>
        <v/>
      </c>
      <c r="AW176" s="55" t="str">
        <f t="shared" si="87"/>
        <v/>
      </c>
      <c r="AX176" s="55" t="str">
        <f t="shared" ca="1" si="88"/>
        <v/>
      </c>
      <c r="AY176" s="86"/>
      <c r="AZ176" s="86"/>
      <c r="BA176" s="55" t="str">
        <f t="shared" si="98"/>
        <v/>
      </c>
      <c r="BB176" s="86"/>
      <c r="BC176" s="86"/>
      <c r="BD176" s="55" t="str">
        <f t="shared" si="99"/>
        <v/>
      </c>
      <c r="BE176" s="74"/>
      <c r="BS176" s="118"/>
      <c r="BT176" s="118"/>
      <c r="BU176" s="118"/>
      <c r="BV176" s="118"/>
      <c r="BW176" s="118"/>
      <c r="BX176" s="118"/>
      <c r="BZ176" s="118"/>
      <c r="CB176" s="118"/>
      <c r="CC176" s="118"/>
      <c r="CD176" s="118"/>
    </row>
    <row r="177" spans="1:82" ht="17.399999999999999" customHeight="1">
      <c r="A177" s="87">
        <f t="shared" si="101"/>
        <v>24.6</v>
      </c>
      <c r="B177" s="111">
        <f t="shared" si="81"/>
        <v>167</v>
      </c>
      <c r="C177" s="60"/>
      <c r="D177" s="74"/>
      <c r="E177" s="75"/>
      <c r="F177" s="74"/>
      <c r="G177" s="54">
        <f t="shared" si="108"/>
        <v>0</v>
      </c>
      <c r="H177" s="55">
        <f t="shared" si="108"/>
        <v>0</v>
      </c>
      <c r="I177" s="76">
        <f t="shared" si="90"/>
        <v>0</v>
      </c>
      <c r="J177" s="58">
        <f t="shared" si="91"/>
        <v>0</v>
      </c>
      <c r="K177" s="58">
        <f t="shared" si="92"/>
        <v>0</v>
      </c>
      <c r="L177" s="58">
        <f t="shared" si="93"/>
        <v>0</v>
      </c>
      <c r="M177" s="58" t="str">
        <f t="shared" ca="1" si="94"/>
        <v/>
      </c>
      <c r="N177" s="58" t="str">
        <f t="shared" ca="1" si="94"/>
        <v/>
      </c>
      <c r="O177" s="58">
        <f t="shared" si="95"/>
        <v>5.0000000000000001E-4</v>
      </c>
      <c r="P177" s="77"/>
      <c r="Q177" s="60"/>
      <c r="R177" s="77"/>
      <c r="S177" s="78">
        <f t="shared" si="82"/>
        <v>0</v>
      </c>
      <c r="T177" s="55">
        <f t="shared" si="82"/>
        <v>0</v>
      </c>
      <c r="U177" s="79">
        <f t="shared" si="102"/>
        <v>0</v>
      </c>
      <c r="V177" s="63">
        <f t="shared" si="103"/>
        <v>0</v>
      </c>
      <c r="W177" s="64">
        <f t="shared" si="109"/>
        <v>118</v>
      </c>
      <c r="X177" s="80">
        <f t="shared" si="109"/>
        <v>110</v>
      </c>
      <c r="Y177" s="75"/>
      <c r="Z177" s="60"/>
      <c r="AA177" s="112"/>
      <c r="AB177" s="112"/>
      <c r="AC177" s="112"/>
      <c r="AD177" s="75"/>
      <c r="AE177" s="81">
        <f t="shared" si="83"/>
        <v>0</v>
      </c>
      <c r="AF177" s="55">
        <f t="shared" si="84"/>
        <v>0</v>
      </c>
      <c r="AG177" s="76">
        <f t="shared" si="78"/>
        <v>0</v>
      </c>
      <c r="AH177" s="82">
        <f t="shared" si="79"/>
        <v>0</v>
      </c>
      <c r="AI177" s="83">
        <f t="shared" si="79"/>
        <v>0</v>
      </c>
      <c r="AJ177" s="83">
        <f t="shared" si="79"/>
        <v>0</v>
      </c>
      <c r="AK177" s="58">
        <f t="shared" si="79"/>
        <v>0</v>
      </c>
      <c r="AL177" s="82">
        <f t="shared" si="85"/>
        <v>0</v>
      </c>
      <c r="AM177" s="58">
        <f t="shared" si="86"/>
        <v>0</v>
      </c>
      <c r="AN177" s="74"/>
      <c r="AO177" s="84"/>
      <c r="AP177" s="74"/>
      <c r="AQ177" s="85"/>
      <c r="AR177" s="74"/>
      <c r="AS177" s="74"/>
      <c r="AT177" s="74"/>
      <c r="AU177" s="55" t="str">
        <f t="shared" si="96"/>
        <v/>
      </c>
      <c r="AV177" s="55" t="str">
        <f t="shared" ca="1" si="97"/>
        <v/>
      </c>
      <c r="AW177" s="55" t="str">
        <f t="shared" si="87"/>
        <v/>
      </c>
      <c r="AX177" s="55" t="str">
        <f t="shared" ca="1" si="88"/>
        <v/>
      </c>
      <c r="AY177" s="86"/>
      <c r="AZ177" s="86"/>
      <c r="BA177" s="55" t="str">
        <f t="shared" si="98"/>
        <v/>
      </c>
      <c r="BB177" s="86"/>
      <c r="BC177" s="86"/>
      <c r="BD177" s="55" t="str">
        <f t="shared" si="99"/>
        <v/>
      </c>
      <c r="BE177" s="74"/>
      <c r="BS177" s="118"/>
      <c r="BT177" s="118"/>
      <c r="BU177" s="118"/>
      <c r="BV177" s="118"/>
      <c r="BW177" s="118"/>
      <c r="BX177" s="118"/>
      <c r="BZ177" s="118"/>
      <c r="CB177" s="118"/>
      <c r="CC177" s="118"/>
      <c r="CD177" s="118"/>
    </row>
    <row r="178" spans="1:82" ht="17.399999999999999" customHeight="1" thickBot="1">
      <c r="A178" s="72">
        <f t="shared" si="101"/>
        <v>24.700000000000003</v>
      </c>
      <c r="B178" s="113">
        <f t="shared" si="81"/>
        <v>168</v>
      </c>
      <c r="C178" s="89"/>
      <c r="D178" s="90"/>
      <c r="E178" s="91"/>
      <c r="F178" s="90"/>
      <c r="G178" s="92">
        <f t="shared" si="108"/>
        <v>0</v>
      </c>
      <c r="H178" s="93">
        <f t="shared" si="108"/>
        <v>0</v>
      </c>
      <c r="I178" s="94">
        <f t="shared" si="90"/>
        <v>0</v>
      </c>
      <c r="J178" s="95">
        <f t="shared" si="91"/>
        <v>0</v>
      </c>
      <c r="K178" s="95">
        <f t="shared" si="92"/>
        <v>0</v>
      </c>
      <c r="L178" s="95">
        <f t="shared" si="93"/>
        <v>0</v>
      </c>
      <c r="M178" s="95" t="str">
        <f t="shared" ca="1" si="94"/>
        <v/>
      </c>
      <c r="N178" s="95" t="str">
        <f t="shared" ca="1" si="94"/>
        <v/>
      </c>
      <c r="O178" s="95">
        <f t="shared" si="95"/>
        <v>5.0000000000000001E-4</v>
      </c>
      <c r="P178" s="96"/>
      <c r="Q178" s="89"/>
      <c r="R178" s="96"/>
      <c r="S178" s="78">
        <f t="shared" si="82"/>
        <v>0</v>
      </c>
      <c r="T178" s="55">
        <f t="shared" si="82"/>
        <v>0</v>
      </c>
      <c r="U178" s="97">
        <f t="shared" si="102"/>
        <v>0</v>
      </c>
      <c r="V178" s="98">
        <f t="shared" si="103"/>
        <v>0</v>
      </c>
      <c r="W178" s="99">
        <f t="shared" si="109"/>
        <v>118</v>
      </c>
      <c r="X178" s="100">
        <f t="shared" si="109"/>
        <v>110</v>
      </c>
      <c r="Y178" s="91"/>
      <c r="Z178" s="89"/>
      <c r="AA178" s="112"/>
      <c r="AB178" s="112"/>
      <c r="AC178" s="112"/>
      <c r="AD178" s="75"/>
      <c r="AE178" s="101">
        <f t="shared" si="83"/>
        <v>0</v>
      </c>
      <c r="AF178" s="93">
        <f t="shared" si="84"/>
        <v>0</v>
      </c>
      <c r="AG178" s="94">
        <f t="shared" si="78"/>
        <v>0</v>
      </c>
      <c r="AH178" s="102">
        <f t="shared" si="79"/>
        <v>0</v>
      </c>
      <c r="AI178" s="103">
        <f t="shared" si="79"/>
        <v>0</v>
      </c>
      <c r="AJ178" s="103">
        <f t="shared" si="79"/>
        <v>0</v>
      </c>
      <c r="AK178" s="95">
        <f t="shared" si="79"/>
        <v>0</v>
      </c>
      <c r="AL178" s="102">
        <f t="shared" si="85"/>
        <v>0</v>
      </c>
      <c r="AM178" s="95">
        <f t="shared" si="86"/>
        <v>0</v>
      </c>
      <c r="AN178" s="90"/>
      <c r="AO178" s="104"/>
      <c r="AP178" s="90"/>
      <c r="AQ178" s="105"/>
      <c r="AR178" s="90"/>
      <c r="AS178" s="90"/>
      <c r="AT178" s="90"/>
      <c r="AU178" s="93" t="str">
        <f t="shared" si="96"/>
        <v/>
      </c>
      <c r="AV178" s="93" t="str">
        <f t="shared" ca="1" si="97"/>
        <v/>
      </c>
      <c r="AW178" s="93" t="str">
        <f t="shared" si="87"/>
        <v/>
      </c>
      <c r="AX178" s="93" t="str">
        <f t="shared" ca="1" si="88"/>
        <v/>
      </c>
      <c r="AY178" s="106"/>
      <c r="AZ178" s="106"/>
      <c r="BA178" s="93" t="str">
        <f t="shared" si="98"/>
        <v/>
      </c>
      <c r="BB178" s="106"/>
      <c r="BC178" s="106"/>
      <c r="BD178" s="93" t="str">
        <f t="shared" si="99"/>
        <v/>
      </c>
      <c r="BE178" s="90"/>
      <c r="BS178" s="118"/>
      <c r="BT178" s="118"/>
      <c r="BU178" s="118"/>
      <c r="BV178" s="118"/>
      <c r="BW178" s="118"/>
      <c r="BX178" s="118"/>
      <c r="BZ178" s="118"/>
      <c r="CB178" s="118"/>
      <c r="CC178" s="118"/>
      <c r="CD178" s="118"/>
    </row>
    <row r="179" spans="1:82" ht="17.399999999999999" customHeight="1" thickTop="1">
      <c r="A179" s="49">
        <f>A172+1</f>
        <v>25.1</v>
      </c>
      <c r="B179" s="108">
        <f>B178+1</f>
        <v>169</v>
      </c>
      <c r="C179" s="51"/>
      <c r="D179" s="52"/>
      <c r="E179" s="53"/>
      <c r="F179" s="52"/>
      <c r="G179" s="54">
        <f t="shared" si="108"/>
        <v>0</v>
      </c>
      <c r="H179" s="55">
        <f t="shared" si="108"/>
        <v>0</v>
      </c>
      <c r="I179" s="56">
        <f t="shared" si="90"/>
        <v>0</v>
      </c>
      <c r="J179" s="57">
        <f t="shared" si="91"/>
        <v>0</v>
      </c>
      <c r="K179" s="57">
        <f t="shared" si="92"/>
        <v>0</v>
      </c>
      <c r="L179" s="57">
        <f t="shared" si="93"/>
        <v>0</v>
      </c>
      <c r="M179" s="58" t="str">
        <f t="shared" ca="1" si="94"/>
        <v/>
      </c>
      <c r="N179" s="58" t="str">
        <f t="shared" ca="1" si="94"/>
        <v/>
      </c>
      <c r="O179" s="58">
        <f t="shared" si="95"/>
        <v>5.0000000000000001E-4</v>
      </c>
      <c r="P179" s="77"/>
      <c r="Q179" s="60"/>
      <c r="R179" s="77"/>
      <c r="S179" s="109">
        <f t="shared" si="82"/>
        <v>0</v>
      </c>
      <c r="T179" s="61">
        <f t="shared" si="82"/>
        <v>0</v>
      </c>
      <c r="U179" s="62">
        <f t="shared" si="102"/>
        <v>0</v>
      </c>
      <c r="V179" s="63">
        <f t="shared" si="103"/>
        <v>0</v>
      </c>
      <c r="W179" s="64">
        <v>121</v>
      </c>
      <c r="X179" s="80">
        <v>115</v>
      </c>
      <c r="Y179" s="53"/>
      <c r="Z179" s="51"/>
      <c r="AA179" s="110"/>
      <c r="AB179" s="110"/>
      <c r="AC179" s="110"/>
      <c r="AD179" s="53"/>
      <c r="AE179" s="66">
        <f t="shared" si="83"/>
        <v>0</v>
      </c>
      <c r="AF179" s="61">
        <f t="shared" si="84"/>
        <v>0</v>
      </c>
      <c r="AG179" s="56">
        <f t="shared" si="78"/>
        <v>0</v>
      </c>
      <c r="AH179" s="67">
        <f t="shared" si="79"/>
        <v>0</v>
      </c>
      <c r="AI179" s="68">
        <f t="shared" si="79"/>
        <v>0</v>
      </c>
      <c r="AJ179" s="68">
        <f t="shared" si="79"/>
        <v>0</v>
      </c>
      <c r="AK179" s="57">
        <f t="shared" si="79"/>
        <v>0</v>
      </c>
      <c r="AL179" s="67">
        <f t="shared" si="85"/>
        <v>0</v>
      </c>
      <c r="AM179" s="57">
        <f t="shared" si="86"/>
        <v>0</v>
      </c>
      <c r="AN179" s="52"/>
      <c r="AO179" s="69"/>
      <c r="AP179" s="52"/>
      <c r="AQ179" s="70"/>
      <c r="AR179" s="52"/>
      <c r="AS179" s="52"/>
      <c r="AT179" s="52"/>
      <c r="AU179" s="61" t="str">
        <f t="shared" si="96"/>
        <v/>
      </c>
      <c r="AV179" s="61" t="str">
        <f t="shared" ca="1" si="97"/>
        <v/>
      </c>
      <c r="AW179" s="61" t="str">
        <f t="shared" si="87"/>
        <v/>
      </c>
      <c r="AX179" s="61" t="str">
        <f t="shared" ca="1" si="88"/>
        <v/>
      </c>
      <c r="AY179" s="71"/>
      <c r="AZ179" s="71"/>
      <c r="BA179" s="61" t="str">
        <f t="shared" si="98"/>
        <v/>
      </c>
      <c r="BB179" s="71"/>
      <c r="BC179" s="71"/>
      <c r="BD179" s="61" t="str">
        <f t="shared" si="99"/>
        <v/>
      </c>
      <c r="BE179" s="52"/>
      <c r="BS179" s="118"/>
      <c r="BT179" s="118"/>
      <c r="BU179" s="118"/>
      <c r="BV179" s="118"/>
      <c r="BW179" s="118"/>
      <c r="BX179" s="118"/>
      <c r="BZ179" s="118"/>
      <c r="CB179" s="118"/>
      <c r="CC179" s="118"/>
      <c r="CD179" s="118"/>
    </row>
    <row r="180" spans="1:82" ht="17.399999999999999" customHeight="1">
      <c r="A180" s="72">
        <f t="shared" si="101"/>
        <v>25.2</v>
      </c>
      <c r="B180" s="111">
        <f t="shared" si="81"/>
        <v>170</v>
      </c>
      <c r="C180" s="60"/>
      <c r="D180" s="74"/>
      <c r="E180" s="75"/>
      <c r="F180" s="74"/>
      <c r="G180" s="54">
        <f t="shared" si="108"/>
        <v>0</v>
      </c>
      <c r="H180" s="55">
        <f t="shared" si="108"/>
        <v>0</v>
      </c>
      <c r="I180" s="76">
        <f t="shared" si="90"/>
        <v>0</v>
      </c>
      <c r="J180" s="58">
        <f t="shared" si="91"/>
        <v>0</v>
      </c>
      <c r="K180" s="58">
        <f t="shared" si="92"/>
        <v>0</v>
      </c>
      <c r="L180" s="58">
        <f t="shared" si="93"/>
        <v>0</v>
      </c>
      <c r="M180" s="58" t="str">
        <f t="shared" ca="1" si="94"/>
        <v/>
      </c>
      <c r="N180" s="58" t="str">
        <f t="shared" ca="1" si="94"/>
        <v/>
      </c>
      <c r="O180" s="58">
        <f t="shared" si="95"/>
        <v>5.0000000000000001E-4</v>
      </c>
      <c r="P180" s="77"/>
      <c r="Q180" s="60"/>
      <c r="R180" s="77"/>
      <c r="S180" s="78">
        <f t="shared" si="82"/>
        <v>0</v>
      </c>
      <c r="T180" s="55">
        <f t="shared" si="82"/>
        <v>0</v>
      </c>
      <c r="U180" s="79">
        <f t="shared" si="102"/>
        <v>0</v>
      </c>
      <c r="V180" s="63">
        <f t="shared" si="103"/>
        <v>0</v>
      </c>
      <c r="W180" s="64">
        <f t="shared" ref="W180:X185" si="110">W179</f>
        <v>121</v>
      </c>
      <c r="X180" s="80">
        <f t="shared" si="110"/>
        <v>115</v>
      </c>
      <c r="Y180" s="75"/>
      <c r="Z180" s="60"/>
      <c r="AA180" s="112"/>
      <c r="AB180" s="112"/>
      <c r="AC180" s="112"/>
      <c r="AD180" s="75"/>
      <c r="AE180" s="81">
        <f t="shared" si="83"/>
        <v>0</v>
      </c>
      <c r="AF180" s="55">
        <f t="shared" si="84"/>
        <v>0</v>
      </c>
      <c r="AG180" s="76">
        <f t="shared" si="78"/>
        <v>0</v>
      </c>
      <c r="AH180" s="82">
        <f t="shared" si="79"/>
        <v>0</v>
      </c>
      <c r="AI180" s="83">
        <f t="shared" si="79"/>
        <v>0</v>
      </c>
      <c r="AJ180" s="83">
        <f t="shared" si="79"/>
        <v>0</v>
      </c>
      <c r="AK180" s="58">
        <f t="shared" si="79"/>
        <v>0</v>
      </c>
      <c r="AL180" s="82">
        <f t="shared" si="85"/>
        <v>0</v>
      </c>
      <c r="AM180" s="58">
        <f t="shared" si="86"/>
        <v>0</v>
      </c>
      <c r="AN180" s="74"/>
      <c r="AO180" s="84"/>
      <c r="AP180" s="74"/>
      <c r="AQ180" s="85"/>
      <c r="AR180" s="74"/>
      <c r="AS180" s="74"/>
      <c r="AT180" s="74"/>
      <c r="AU180" s="55" t="str">
        <f t="shared" si="96"/>
        <v/>
      </c>
      <c r="AV180" s="55" t="str">
        <f t="shared" ca="1" si="97"/>
        <v/>
      </c>
      <c r="AW180" s="55" t="str">
        <f t="shared" si="87"/>
        <v/>
      </c>
      <c r="AX180" s="55" t="str">
        <f t="shared" ca="1" si="88"/>
        <v/>
      </c>
      <c r="AY180" s="86"/>
      <c r="AZ180" s="86"/>
      <c r="BA180" s="55" t="str">
        <f t="shared" si="98"/>
        <v/>
      </c>
      <c r="BB180" s="86"/>
      <c r="BC180" s="86"/>
      <c r="BD180" s="55" t="str">
        <f t="shared" si="99"/>
        <v/>
      </c>
      <c r="BE180" s="74"/>
      <c r="BS180" s="118"/>
      <c r="BT180" s="118"/>
      <c r="BU180" s="118"/>
      <c r="BV180" s="118"/>
      <c r="BW180" s="118"/>
      <c r="BX180" s="118"/>
      <c r="BZ180" s="118"/>
      <c r="CB180" s="118"/>
      <c r="CC180" s="118"/>
      <c r="CD180" s="118"/>
    </row>
    <row r="181" spans="1:82" ht="17.399999999999999" customHeight="1">
      <c r="A181" s="87">
        <f t="shared" si="101"/>
        <v>25.3</v>
      </c>
      <c r="B181" s="111">
        <f t="shared" si="81"/>
        <v>171</v>
      </c>
      <c r="C181" s="60"/>
      <c r="D181" s="74"/>
      <c r="E181" s="75"/>
      <c r="F181" s="74"/>
      <c r="G181" s="54">
        <f t="shared" si="108"/>
        <v>0</v>
      </c>
      <c r="H181" s="55">
        <f t="shared" si="108"/>
        <v>0</v>
      </c>
      <c r="I181" s="76">
        <f t="shared" si="90"/>
        <v>0</v>
      </c>
      <c r="J181" s="58">
        <f t="shared" si="91"/>
        <v>0</v>
      </c>
      <c r="K181" s="58">
        <f t="shared" si="92"/>
        <v>0</v>
      </c>
      <c r="L181" s="58">
        <f t="shared" si="93"/>
        <v>0</v>
      </c>
      <c r="M181" s="58" t="str">
        <f t="shared" ca="1" si="94"/>
        <v/>
      </c>
      <c r="N181" s="58" t="str">
        <f t="shared" ca="1" si="94"/>
        <v/>
      </c>
      <c r="O181" s="58">
        <f t="shared" si="95"/>
        <v>5.0000000000000001E-4</v>
      </c>
      <c r="P181" s="77"/>
      <c r="Q181" s="60"/>
      <c r="R181" s="77"/>
      <c r="S181" s="78">
        <f t="shared" si="82"/>
        <v>0</v>
      </c>
      <c r="T181" s="55">
        <f t="shared" si="82"/>
        <v>0</v>
      </c>
      <c r="U181" s="79">
        <f t="shared" si="102"/>
        <v>0</v>
      </c>
      <c r="V181" s="63">
        <f t="shared" si="103"/>
        <v>0</v>
      </c>
      <c r="W181" s="64">
        <f t="shared" si="110"/>
        <v>121</v>
      </c>
      <c r="X181" s="80">
        <f t="shared" si="110"/>
        <v>115</v>
      </c>
      <c r="Y181" s="75"/>
      <c r="Z181" s="60"/>
      <c r="AA181" s="112"/>
      <c r="AB181" s="112"/>
      <c r="AC181" s="112"/>
      <c r="AD181" s="75"/>
      <c r="AE181" s="81">
        <f t="shared" si="83"/>
        <v>0</v>
      </c>
      <c r="AF181" s="55">
        <f t="shared" si="84"/>
        <v>0</v>
      </c>
      <c r="AG181" s="76">
        <f t="shared" si="78"/>
        <v>0</v>
      </c>
      <c r="AH181" s="82">
        <f t="shared" si="79"/>
        <v>0</v>
      </c>
      <c r="AI181" s="83">
        <f t="shared" si="79"/>
        <v>0</v>
      </c>
      <c r="AJ181" s="83">
        <f t="shared" si="79"/>
        <v>0</v>
      </c>
      <c r="AK181" s="58">
        <f t="shared" si="79"/>
        <v>0</v>
      </c>
      <c r="AL181" s="82">
        <f t="shared" si="85"/>
        <v>0</v>
      </c>
      <c r="AM181" s="58">
        <f t="shared" si="86"/>
        <v>0</v>
      </c>
      <c r="AN181" s="74"/>
      <c r="AO181" s="84"/>
      <c r="AP181" s="74"/>
      <c r="AQ181" s="85"/>
      <c r="AR181" s="74"/>
      <c r="AS181" s="74"/>
      <c r="AT181" s="74"/>
      <c r="AU181" s="55" t="str">
        <f t="shared" si="96"/>
        <v/>
      </c>
      <c r="AV181" s="55" t="str">
        <f t="shared" ca="1" si="97"/>
        <v/>
      </c>
      <c r="AW181" s="55" t="str">
        <f t="shared" si="87"/>
        <v/>
      </c>
      <c r="AX181" s="55" t="str">
        <f t="shared" ca="1" si="88"/>
        <v/>
      </c>
      <c r="AY181" s="86"/>
      <c r="AZ181" s="86"/>
      <c r="BA181" s="55" t="str">
        <f t="shared" si="98"/>
        <v/>
      </c>
      <c r="BB181" s="86"/>
      <c r="BC181" s="86"/>
      <c r="BD181" s="55" t="str">
        <f t="shared" si="99"/>
        <v/>
      </c>
      <c r="BE181" s="74"/>
      <c r="BS181" s="118"/>
      <c r="BT181" s="118"/>
      <c r="BU181" s="118"/>
      <c r="BV181" s="118"/>
      <c r="BW181" s="118"/>
      <c r="BX181" s="118"/>
      <c r="BZ181" s="118"/>
      <c r="CB181" s="118"/>
      <c r="CC181" s="118"/>
      <c r="CD181" s="118"/>
    </row>
    <row r="182" spans="1:82" ht="17.399999999999999" customHeight="1">
      <c r="A182" s="72">
        <f t="shared" si="101"/>
        <v>25.4</v>
      </c>
      <c r="B182" s="111">
        <f t="shared" si="81"/>
        <v>172</v>
      </c>
      <c r="C182" s="60"/>
      <c r="D182" s="74"/>
      <c r="E182" s="75"/>
      <c r="F182" s="74"/>
      <c r="G182" s="54">
        <f t="shared" si="108"/>
        <v>0</v>
      </c>
      <c r="H182" s="55">
        <f t="shared" si="108"/>
        <v>0</v>
      </c>
      <c r="I182" s="76">
        <f t="shared" si="90"/>
        <v>0</v>
      </c>
      <c r="J182" s="58">
        <f t="shared" si="91"/>
        <v>0</v>
      </c>
      <c r="K182" s="58">
        <f t="shared" si="92"/>
        <v>0</v>
      </c>
      <c r="L182" s="58">
        <f t="shared" si="93"/>
        <v>0</v>
      </c>
      <c r="M182" s="58" t="str">
        <f t="shared" ca="1" si="94"/>
        <v/>
      </c>
      <c r="N182" s="58" t="str">
        <f t="shared" ca="1" si="94"/>
        <v/>
      </c>
      <c r="O182" s="58">
        <f t="shared" si="95"/>
        <v>5.0000000000000001E-4</v>
      </c>
      <c r="P182" s="77"/>
      <c r="Q182" s="60"/>
      <c r="R182" s="77"/>
      <c r="S182" s="78">
        <f t="shared" si="82"/>
        <v>0</v>
      </c>
      <c r="T182" s="55">
        <f t="shared" si="82"/>
        <v>0</v>
      </c>
      <c r="U182" s="79">
        <f t="shared" si="102"/>
        <v>0</v>
      </c>
      <c r="V182" s="63">
        <f t="shared" si="103"/>
        <v>0</v>
      </c>
      <c r="W182" s="64">
        <f t="shared" si="110"/>
        <v>121</v>
      </c>
      <c r="X182" s="80">
        <f t="shared" si="110"/>
        <v>115</v>
      </c>
      <c r="Y182" s="75"/>
      <c r="Z182" s="60"/>
      <c r="AA182" s="112"/>
      <c r="AB182" s="112"/>
      <c r="AC182" s="112"/>
      <c r="AD182" s="75"/>
      <c r="AE182" s="81">
        <f t="shared" si="83"/>
        <v>0</v>
      </c>
      <c r="AF182" s="55">
        <f t="shared" si="84"/>
        <v>0</v>
      </c>
      <c r="AG182" s="76">
        <f t="shared" si="78"/>
        <v>0</v>
      </c>
      <c r="AH182" s="82">
        <f t="shared" si="79"/>
        <v>0</v>
      </c>
      <c r="AI182" s="83">
        <f t="shared" si="79"/>
        <v>0</v>
      </c>
      <c r="AJ182" s="83">
        <f t="shared" si="79"/>
        <v>0</v>
      </c>
      <c r="AK182" s="58">
        <f t="shared" si="79"/>
        <v>0</v>
      </c>
      <c r="AL182" s="82">
        <f t="shared" si="85"/>
        <v>0</v>
      </c>
      <c r="AM182" s="58">
        <f t="shared" si="86"/>
        <v>0</v>
      </c>
      <c r="AN182" s="74"/>
      <c r="AO182" s="84"/>
      <c r="AP182" s="74"/>
      <c r="AQ182" s="85"/>
      <c r="AR182" s="74"/>
      <c r="AS182" s="74"/>
      <c r="AT182" s="74"/>
      <c r="AU182" s="55" t="str">
        <f t="shared" si="96"/>
        <v/>
      </c>
      <c r="AV182" s="55" t="str">
        <f t="shared" ca="1" si="97"/>
        <v/>
      </c>
      <c r="AW182" s="55" t="str">
        <f t="shared" si="87"/>
        <v/>
      </c>
      <c r="AX182" s="55" t="str">
        <f t="shared" ca="1" si="88"/>
        <v/>
      </c>
      <c r="AY182" s="86"/>
      <c r="AZ182" s="86"/>
      <c r="BA182" s="55" t="str">
        <f t="shared" si="98"/>
        <v/>
      </c>
      <c r="BB182" s="86"/>
      <c r="BC182" s="86"/>
      <c r="BD182" s="55" t="str">
        <f t="shared" si="99"/>
        <v/>
      </c>
      <c r="BE182" s="74"/>
      <c r="BS182" s="118"/>
      <c r="BT182" s="118"/>
      <c r="BU182" s="118"/>
      <c r="BV182" s="118"/>
      <c r="BW182" s="118"/>
      <c r="BX182" s="118"/>
      <c r="BZ182" s="118"/>
      <c r="CB182" s="118"/>
      <c r="CC182" s="118"/>
      <c r="CD182" s="118"/>
    </row>
    <row r="183" spans="1:82" ht="17.399999999999999" customHeight="1">
      <c r="A183" s="87">
        <f t="shared" si="101"/>
        <v>25.5</v>
      </c>
      <c r="B183" s="111">
        <f t="shared" si="81"/>
        <v>173</v>
      </c>
      <c r="C183" s="60"/>
      <c r="D183" s="74"/>
      <c r="E183" s="75"/>
      <c r="F183" s="74"/>
      <c r="G183" s="54">
        <f t="shared" si="108"/>
        <v>0</v>
      </c>
      <c r="H183" s="55">
        <f t="shared" si="108"/>
        <v>0</v>
      </c>
      <c r="I183" s="76">
        <f t="shared" si="90"/>
        <v>0</v>
      </c>
      <c r="J183" s="58">
        <f t="shared" si="91"/>
        <v>0</v>
      </c>
      <c r="K183" s="58">
        <f t="shared" si="92"/>
        <v>0</v>
      </c>
      <c r="L183" s="58">
        <f t="shared" si="93"/>
        <v>0</v>
      </c>
      <c r="M183" s="58" t="str">
        <f t="shared" ca="1" si="94"/>
        <v/>
      </c>
      <c r="N183" s="58" t="str">
        <f t="shared" ca="1" si="94"/>
        <v/>
      </c>
      <c r="O183" s="58">
        <f t="shared" si="95"/>
        <v>5.0000000000000001E-4</v>
      </c>
      <c r="P183" s="77"/>
      <c r="Q183" s="60"/>
      <c r="R183" s="77"/>
      <c r="S183" s="78">
        <f t="shared" si="82"/>
        <v>0</v>
      </c>
      <c r="T183" s="55">
        <f t="shared" si="82"/>
        <v>0</v>
      </c>
      <c r="U183" s="79">
        <f t="shared" si="102"/>
        <v>0</v>
      </c>
      <c r="V183" s="63">
        <f t="shared" si="103"/>
        <v>0</v>
      </c>
      <c r="W183" s="64">
        <f t="shared" si="110"/>
        <v>121</v>
      </c>
      <c r="X183" s="80">
        <f t="shared" si="110"/>
        <v>115</v>
      </c>
      <c r="Y183" s="75"/>
      <c r="Z183" s="60"/>
      <c r="AA183" s="112"/>
      <c r="AB183" s="112"/>
      <c r="AC183" s="112"/>
      <c r="AD183" s="75"/>
      <c r="AE183" s="81">
        <f t="shared" si="83"/>
        <v>0</v>
      </c>
      <c r="AF183" s="55">
        <f t="shared" si="84"/>
        <v>0</v>
      </c>
      <c r="AG183" s="76">
        <f t="shared" si="78"/>
        <v>0</v>
      </c>
      <c r="AH183" s="82">
        <f t="shared" si="79"/>
        <v>0</v>
      </c>
      <c r="AI183" s="83">
        <f t="shared" si="79"/>
        <v>0</v>
      </c>
      <c r="AJ183" s="83">
        <f t="shared" si="79"/>
        <v>0</v>
      </c>
      <c r="AK183" s="58">
        <f t="shared" si="79"/>
        <v>0</v>
      </c>
      <c r="AL183" s="82">
        <f t="shared" si="85"/>
        <v>0</v>
      </c>
      <c r="AM183" s="58">
        <f t="shared" si="86"/>
        <v>0</v>
      </c>
      <c r="AN183" s="74"/>
      <c r="AO183" s="84"/>
      <c r="AP183" s="74"/>
      <c r="AQ183" s="85"/>
      <c r="AR183" s="74"/>
      <c r="AS183" s="74"/>
      <c r="AT183" s="74"/>
      <c r="AU183" s="55" t="str">
        <f t="shared" si="96"/>
        <v/>
      </c>
      <c r="AV183" s="55" t="str">
        <f t="shared" ca="1" si="97"/>
        <v/>
      </c>
      <c r="AW183" s="55" t="str">
        <f t="shared" si="87"/>
        <v/>
      </c>
      <c r="AX183" s="55" t="str">
        <f t="shared" ca="1" si="88"/>
        <v/>
      </c>
      <c r="AY183" s="86"/>
      <c r="AZ183" s="86"/>
      <c r="BA183" s="55" t="str">
        <f t="shared" si="98"/>
        <v/>
      </c>
      <c r="BB183" s="86"/>
      <c r="BC183" s="86"/>
      <c r="BD183" s="55" t="str">
        <f t="shared" si="99"/>
        <v/>
      </c>
      <c r="BE183" s="74"/>
      <c r="BS183" s="118"/>
      <c r="BT183" s="118"/>
      <c r="BU183" s="118"/>
      <c r="BV183" s="118"/>
      <c r="BW183" s="118"/>
      <c r="BX183" s="118"/>
      <c r="BZ183" s="118"/>
      <c r="CB183" s="118"/>
      <c r="CC183" s="118"/>
      <c r="CD183" s="118"/>
    </row>
    <row r="184" spans="1:82" ht="17.399999999999999" customHeight="1">
      <c r="A184" s="72">
        <f t="shared" si="101"/>
        <v>25.6</v>
      </c>
      <c r="B184" s="111">
        <f t="shared" si="81"/>
        <v>174</v>
      </c>
      <c r="C184" s="60"/>
      <c r="D184" s="74"/>
      <c r="E184" s="75"/>
      <c r="F184" s="74"/>
      <c r="G184" s="54">
        <f t="shared" si="108"/>
        <v>0</v>
      </c>
      <c r="H184" s="55">
        <f t="shared" si="108"/>
        <v>0</v>
      </c>
      <c r="I184" s="76">
        <f t="shared" si="90"/>
        <v>0</v>
      </c>
      <c r="J184" s="58">
        <f t="shared" si="91"/>
        <v>0</v>
      </c>
      <c r="K184" s="58">
        <f t="shared" si="92"/>
        <v>0</v>
      </c>
      <c r="L184" s="58">
        <f t="shared" si="93"/>
        <v>0</v>
      </c>
      <c r="M184" s="58" t="str">
        <f t="shared" ca="1" si="94"/>
        <v/>
      </c>
      <c r="N184" s="58" t="str">
        <f t="shared" ca="1" si="94"/>
        <v/>
      </c>
      <c r="O184" s="58">
        <f t="shared" si="95"/>
        <v>5.0000000000000001E-4</v>
      </c>
      <c r="P184" s="77"/>
      <c r="Q184" s="60"/>
      <c r="R184" s="77"/>
      <c r="S184" s="78">
        <f t="shared" si="82"/>
        <v>0</v>
      </c>
      <c r="T184" s="55">
        <f t="shared" si="82"/>
        <v>0</v>
      </c>
      <c r="U184" s="79">
        <f t="shared" si="102"/>
        <v>0</v>
      </c>
      <c r="V184" s="63">
        <f t="shared" si="103"/>
        <v>0</v>
      </c>
      <c r="W184" s="64">
        <f t="shared" si="110"/>
        <v>121</v>
      </c>
      <c r="X184" s="80">
        <f t="shared" si="110"/>
        <v>115</v>
      </c>
      <c r="Y184" s="75"/>
      <c r="Z184" s="60"/>
      <c r="AA184" s="112"/>
      <c r="AB184" s="112"/>
      <c r="AC184" s="112"/>
      <c r="AD184" s="75"/>
      <c r="AE184" s="81">
        <f t="shared" si="83"/>
        <v>0</v>
      </c>
      <c r="AF184" s="55">
        <f t="shared" si="84"/>
        <v>0</v>
      </c>
      <c r="AG184" s="76">
        <f t="shared" si="78"/>
        <v>0</v>
      </c>
      <c r="AH184" s="82">
        <f t="shared" si="79"/>
        <v>0</v>
      </c>
      <c r="AI184" s="83">
        <f t="shared" si="79"/>
        <v>0</v>
      </c>
      <c r="AJ184" s="83">
        <f t="shared" si="79"/>
        <v>0</v>
      </c>
      <c r="AK184" s="58">
        <f t="shared" si="79"/>
        <v>0</v>
      </c>
      <c r="AL184" s="82">
        <f t="shared" si="85"/>
        <v>0</v>
      </c>
      <c r="AM184" s="58">
        <f t="shared" si="86"/>
        <v>0</v>
      </c>
      <c r="AN184" s="74"/>
      <c r="AO184" s="84"/>
      <c r="AP184" s="74"/>
      <c r="AQ184" s="85"/>
      <c r="AR184" s="74"/>
      <c r="AS184" s="74"/>
      <c r="AT184" s="74"/>
      <c r="AU184" s="55" t="str">
        <f t="shared" si="96"/>
        <v/>
      </c>
      <c r="AV184" s="55" t="str">
        <f t="shared" ca="1" si="97"/>
        <v/>
      </c>
      <c r="AW184" s="55" t="str">
        <f t="shared" si="87"/>
        <v/>
      </c>
      <c r="AX184" s="55" t="str">
        <f t="shared" ca="1" si="88"/>
        <v/>
      </c>
      <c r="AY184" s="86"/>
      <c r="AZ184" s="86"/>
      <c r="BA184" s="55" t="str">
        <f t="shared" si="98"/>
        <v/>
      </c>
      <c r="BB184" s="86"/>
      <c r="BC184" s="86"/>
      <c r="BD184" s="55" t="str">
        <f t="shared" si="99"/>
        <v/>
      </c>
      <c r="BE184" s="74"/>
      <c r="BS184" s="118"/>
      <c r="BT184" s="118"/>
      <c r="BU184" s="118"/>
      <c r="BV184" s="118"/>
      <c r="BW184" s="118"/>
      <c r="BX184" s="118"/>
      <c r="BZ184" s="118"/>
      <c r="CB184" s="118"/>
      <c r="CC184" s="118"/>
      <c r="CD184" s="118"/>
    </row>
    <row r="185" spans="1:82" ht="17.399999999999999" customHeight="1" thickBot="1">
      <c r="A185" s="87">
        <f t="shared" si="101"/>
        <v>25.700000000000003</v>
      </c>
      <c r="B185" s="113">
        <f t="shared" si="81"/>
        <v>175</v>
      </c>
      <c r="C185" s="89"/>
      <c r="D185" s="90"/>
      <c r="E185" s="91"/>
      <c r="F185" s="90"/>
      <c r="G185" s="92">
        <f t="shared" si="108"/>
        <v>0</v>
      </c>
      <c r="H185" s="93">
        <f t="shared" si="108"/>
        <v>0</v>
      </c>
      <c r="I185" s="94">
        <f t="shared" si="90"/>
        <v>0</v>
      </c>
      <c r="J185" s="95">
        <f t="shared" si="91"/>
        <v>0</v>
      </c>
      <c r="K185" s="95">
        <f t="shared" si="92"/>
        <v>0</v>
      </c>
      <c r="L185" s="95">
        <f t="shared" si="93"/>
        <v>0</v>
      </c>
      <c r="M185" s="95" t="str">
        <f t="shared" ca="1" si="94"/>
        <v/>
      </c>
      <c r="N185" s="95" t="str">
        <f t="shared" ca="1" si="94"/>
        <v/>
      </c>
      <c r="O185" s="95">
        <f t="shared" si="95"/>
        <v>5.0000000000000001E-4</v>
      </c>
      <c r="P185" s="96"/>
      <c r="Q185" s="89"/>
      <c r="R185" s="96"/>
      <c r="S185" s="78">
        <f t="shared" si="82"/>
        <v>0</v>
      </c>
      <c r="T185" s="55">
        <f t="shared" si="82"/>
        <v>0</v>
      </c>
      <c r="U185" s="97">
        <f t="shared" si="102"/>
        <v>0</v>
      </c>
      <c r="V185" s="98">
        <f t="shared" si="103"/>
        <v>0</v>
      </c>
      <c r="W185" s="99">
        <f t="shared" si="110"/>
        <v>121</v>
      </c>
      <c r="X185" s="100">
        <f t="shared" si="110"/>
        <v>115</v>
      </c>
      <c r="Y185" s="91"/>
      <c r="Z185" s="89"/>
      <c r="AA185" s="112"/>
      <c r="AB185" s="112"/>
      <c r="AC185" s="112"/>
      <c r="AD185" s="75"/>
      <c r="AE185" s="101">
        <f t="shared" si="83"/>
        <v>0</v>
      </c>
      <c r="AF185" s="93">
        <f t="shared" si="84"/>
        <v>0</v>
      </c>
      <c r="AG185" s="94">
        <f t="shared" si="78"/>
        <v>0</v>
      </c>
      <c r="AH185" s="102">
        <f t="shared" si="79"/>
        <v>0</v>
      </c>
      <c r="AI185" s="103">
        <f t="shared" si="79"/>
        <v>0</v>
      </c>
      <c r="AJ185" s="103">
        <f t="shared" si="79"/>
        <v>0</v>
      </c>
      <c r="AK185" s="95">
        <f t="shared" si="79"/>
        <v>0</v>
      </c>
      <c r="AL185" s="102">
        <f t="shared" si="85"/>
        <v>0</v>
      </c>
      <c r="AM185" s="95">
        <f t="shared" si="86"/>
        <v>0</v>
      </c>
      <c r="AN185" s="90"/>
      <c r="AO185" s="104"/>
      <c r="AP185" s="90"/>
      <c r="AQ185" s="105"/>
      <c r="AR185" s="90"/>
      <c r="AS185" s="90"/>
      <c r="AT185" s="90"/>
      <c r="AU185" s="93" t="str">
        <f t="shared" si="96"/>
        <v/>
      </c>
      <c r="AV185" s="93" t="str">
        <f t="shared" ca="1" si="97"/>
        <v/>
      </c>
      <c r="AW185" s="93" t="str">
        <f t="shared" si="87"/>
        <v/>
      </c>
      <c r="AX185" s="93" t="str">
        <f t="shared" ca="1" si="88"/>
        <v/>
      </c>
      <c r="AY185" s="106"/>
      <c r="AZ185" s="106"/>
      <c r="BA185" s="93" t="str">
        <f t="shared" si="98"/>
        <v/>
      </c>
      <c r="BB185" s="106"/>
      <c r="BC185" s="106"/>
      <c r="BD185" s="93" t="str">
        <f t="shared" si="99"/>
        <v/>
      </c>
      <c r="BE185" s="90"/>
      <c r="BS185" s="118"/>
      <c r="BT185" s="118"/>
      <c r="BU185" s="118"/>
      <c r="BV185" s="118"/>
      <c r="BW185" s="118"/>
      <c r="BX185" s="118"/>
      <c r="BZ185" s="118"/>
      <c r="CB185" s="118"/>
      <c r="CC185" s="118"/>
      <c r="CD185" s="118"/>
    </row>
    <row r="186" spans="1:82" ht="17.399999999999999" customHeight="1" thickTop="1">
      <c r="A186" s="107">
        <f>A179+1</f>
        <v>26.1</v>
      </c>
      <c r="B186" s="108">
        <f>B185+1</f>
        <v>176</v>
      </c>
      <c r="C186" s="51"/>
      <c r="D186" s="52"/>
      <c r="E186" s="53"/>
      <c r="F186" s="52"/>
      <c r="G186" s="54">
        <f t="shared" si="108"/>
        <v>0</v>
      </c>
      <c r="H186" s="55">
        <f t="shared" si="108"/>
        <v>0</v>
      </c>
      <c r="I186" s="56">
        <f t="shared" si="90"/>
        <v>0</v>
      </c>
      <c r="J186" s="57">
        <f t="shared" si="91"/>
        <v>0</v>
      </c>
      <c r="K186" s="57">
        <f t="shared" si="92"/>
        <v>0</v>
      </c>
      <c r="L186" s="57">
        <f t="shared" si="93"/>
        <v>0</v>
      </c>
      <c r="M186" s="58" t="str">
        <f t="shared" ca="1" si="94"/>
        <v/>
      </c>
      <c r="N186" s="58" t="str">
        <f t="shared" ca="1" si="94"/>
        <v/>
      </c>
      <c r="O186" s="58">
        <f t="shared" si="95"/>
        <v>5.0000000000000001E-4</v>
      </c>
      <c r="P186" s="77"/>
      <c r="Q186" s="60"/>
      <c r="R186" s="77"/>
      <c r="S186" s="109">
        <f t="shared" si="82"/>
        <v>0</v>
      </c>
      <c r="T186" s="61">
        <f t="shared" si="82"/>
        <v>0</v>
      </c>
      <c r="U186" s="62">
        <f t="shared" si="102"/>
        <v>0</v>
      </c>
      <c r="V186" s="63">
        <f t="shared" si="103"/>
        <v>0</v>
      </c>
      <c r="W186" s="64">
        <v>123</v>
      </c>
      <c r="X186" s="80">
        <v>126</v>
      </c>
      <c r="Y186" s="53"/>
      <c r="Z186" s="51"/>
      <c r="AA186" s="110"/>
      <c r="AB186" s="110"/>
      <c r="AC186" s="110"/>
      <c r="AD186" s="53"/>
      <c r="AE186" s="66">
        <f t="shared" si="83"/>
        <v>0</v>
      </c>
      <c r="AF186" s="61">
        <f t="shared" si="84"/>
        <v>0</v>
      </c>
      <c r="AG186" s="56">
        <f t="shared" si="78"/>
        <v>0</v>
      </c>
      <c r="AH186" s="67">
        <f t="shared" si="79"/>
        <v>0</v>
      </c>
      <c r="AI186" s="68">
        <f t="shared" si="79"/>
        <v>0</v>
      </c>
      <c r="AJ186" s="68">
        <f t="shared" si="79"/>
        <v>0</v>
      </c>
      <c r="AK186" s="57">
        <f t="shared" si="79"/>
        <v>0</v>
      </c>
      <c r="AL186" s="67">
        <f t="shared" si="85"/>
        <v>0</v>
      </c>
      <c r="AM186" s="57">
        <f t="shared" si="86"/>
        <v>0</v>
      </c>
      <c r="AN186" s="52"/>
      <c r="AO186" s="69"/>
      <c r="AP186" s="52"/>
      <c r="AQ186" s="70"/>
      <c r="AR186" s="52"/>
      <c r="AS186" s="52"/>
      <c r="AT186" s="52"/>
      <c r="AU186" s="61" t="str">
        <f t="shared" si="96"/>
        <v/>
      </c>
      <c r="AV186" s="61" t="str">
        <f t="shared" ca="1" si="97"/>
        <v/>
      </c>
      <c r="AW186" s="61" t="str">
        <f t="shared" si="87"/>
        <v/>
      </c>
      <c r="AX186" s="61" t="str">
        <f t="shared" ca="1" si="88"/>
        <v/>
      </c>
      <c r="AY186" s="71"/>
      <c r="AZ186" s="71"/>
      <c r="BA186" s="61" t="str">
        <f t="shared" si="98"/>
        <v/>
      </c>
      <c r="BB186" s="71"/>
      <c r="BC186" s="71"/>
      <c r="BD186" s="61" t="str">
        <f t="shared" si="99"/>
        <v/>
      </c>
      <c r="BE186" s="52"/>
      <c r="BS186" s="118"/>
      <c r="BT186" s="118"/>
      <c r="BU186" s="118"/>
      <c r="BV186" s="118"/>
      <c r="BW186" s="118"/>
      <c r="BX186" s="118"/>
      <c r="BZ186" s="118"/>
      <c r="CB186" s="118"/>
      <c r="CC186" s="118"/>
      <c r="CD186" s="118"/>
    </row>
    <row r="187" spans="1:82" ht="17.399999999999999" customHeight="1">
      <c r="A187" s="87">
        <f t="shared" si="101"/>
        <v>26.2</v>
      </c>
      <c r="B187" s="111">
        <f t="shared" si="81"/>
        <v>177</v>
      </c>
      <c r="C187" s="60"/>
      <c r="D187" s="74"/>
      <c r="E187" s="75"/>
      <c r="F187" s="74"/>
      <c r="G187" s="54">
        <f t="shared" si="108"/>
        <v>0</v>
      </c>
      <c r="H187" s="55">
        <f t="shared" si="108"/>
        <v>0</v>
      </c>
      <c r="I187" s="76">
        <f t="shared" si="90"/>
        <v>0</v>
      </c>
      <c r="J187" s="58">
        <f t="shared" si="91"/>
        <v>0</v>
      </c>
      <c r="K187" s="58">
        <f t="shared" si="92"/>
        <v>0</v>
      </c>
      <c r="L187" s="58">
        <f t="shared" si="93"/>
        <v>0</v>
      </c>
      <c r="M187" s="58" t="str">
        <f t="shared" ca="1" si="94"/>
        <v/>
      </c>
      <c r="N187" s="58" t="str">
        <f t="shared" ca="1" si="94"/>
        <v/>
      </c>
      <c r="O187" s="58">
        <f t="shared" si="95"/>
        <v>5.0000000000000001E-4</v>
      </c>
      <c r="P187" s="77"/>
      <c r="Q187" s="60"/>
      <c r="R187" s="77"/>
      <c r="S187" s="78">
        <f t="shared" si="82"/>
        <v>0</v>
      </c>
      <c r="T187" s="55">
        <f t="shared" si="82"/>
        <v>0</v>
      </c>
      <c r="U187" s="79">
        <f t="shared" si="102"/>
        <v>0</v>
      </c>
      <c r="V187" s="63">
        <f t="shared" si="103"/>
        <v>0</v>
      </c>
      <c r="W187" s="64">
        <f t="shared" ref="W187:X192" si="111">W186</f>
        <v>123</v>
      </c>
      <c r="X187" s="80">
        <f t="shared" si="111"/>
        <v>126</v>
      </c>
      <c r="Y187" s="75"/>
      <c r="Z187" s="60"/>
      <c r="AA187" s="112"/>
      <c r="AB187" s="112"/>
      <c r="AC187" s="112"/>
      <c r="AD187" s="75"/>
      <c r="AE187" s="81">
        <f t="shared" si="83"/>
        <v>0</v>
      </c>
      <c r="AF187" s="55">
        <f t="shared" si="84"/>
        <v>0</v>
      </c>
      <c r="AG187" s="76">
        <f t="shared" si="78"/>
        <v>0</v>
      </c>
      <c r="AH187" s="82">
        <f t="shared" si="79"/>
        <v>0</v>
      </c>
      <c r="AI187" s="83">
        <f t="shared" si="79"/>
        <v>0</v>
      </c>
      <c r="AJ187" s="83">
        <f t="shared" si="79"/>
        <v>0</v>
      </c>
      <c r="AK187" s="58">
        <f t="shared" si="79"/>
        <v>0</v>
      </c>
      <c r="AL187" s="82">
        <f t="shared" si="85"/>
        <v>0</v>
      </c>
      <c r="AM187" s="58">
        <f t="shared" si="86"/>
        <v>0</v>
      </c>
      <c r="AN187" s="74"/>
      <c r="AO187" s="84"/>
      <c r="AP187" s="74"/>
      <c r="AQ187" s="85"/>
      <c r="AR187" s="74"/>
      <c r="AS187" s="74"/>
      <c r="AT187" s="74"/>
      <c r="AU187" s="55" t="str">
        <f t="shared" si="96"/>
        <v/>
      </c>
      <c r="AV187" s="55" t="str">
        <f t="shared" ca="1" si="97"/>
        <v/>
      </c>
      <c r="AW187" s="55" t="str">
        <f t="shared" si="87"/>
        <v/>
      </c>
      <c r="AX187" s="55" t="str">
        <f t="shared" ca="1" si="88"/>
        <v/>
      </c>
      <c r="AY187" s="86"/>
      <c r="AZ187" s="86"/>
      <c r="BA187" s="55" t="str">
        <f t="shared" si="98"/>
        <v/>
      </c>
      <c r="BB187" s="86"/>
      <c r="BC187" s="86"/>
      <c r="BD187" s="55" t="str">
        <f t="shared" si="99"/>
        <v/>
      </c>
      <c r="BE187" s="74"/>
      <c r="BS187" s="118"/>
      <c r="BT187" s="118"/>
      <c r="BU187" s="118"/>
      <c r="BV187" s="118"/>
      <c r="BW187" s="118"/>
      <c r="BX187" s="118"/>
      <c r="BZ187" s="118"/>
      <c r="CB187" s="118"/>
      <c r="CC187" s="118"/>
      <c r="CD187" s="118"/>
    </row>
    <row r="188" spans="1:82" ht="17.399999999999999" customHeight="1">
      <c r="A188" s="72">
        <f t="shared" si="101"/>
        <v>26.3</v>
      </c>
      <c r="B188" s="111">
        <f t="shared" si="81"/>
        <v>178</v>
      </c>
      <c r="C188" s="60"/>
      <c r="D188" s="74"/>
      <c r="E188" s="75"/>
      <c r="F188" s="74"/>
      <c r="G188" s="54">
        <f t="shared" ref="G188:H203" si="112">G187-E188-C188</f>
        <v>0</v>
      </c>
      <c r="H188" s="55">
        <f t="shared" si="112"/>
        <v>0</v>
      </c>
      <c r="I188" s="76">
        <f t="shared" si="90"/>
        <v>0</v>
      </c>
      <c r="J188" s="58">
        <f t="shared" si="91"/>
        <v>0</v>
      </c>
      <c r="K188" s="58">
        <f t="shared" si="92"/>
        <v>0</v>
      </c>
      <c r="L188" s="58">
        <f t="shared" si="93"/>
        <v>0</v>
      </c>
      <c r="M188" s="58" t="str">
        <f t="shared" ca="1" si="94"/>
        <v/>
      </c>
      <c r="N188" s="58" t="str">
        <f t="shared" ca="1" si="94"/>
        <v/>
      </c>
      <c r="O188" s="58">
        <f t="shared" si="95"/>
        <v>5.0000000000000001E-4</v>
      </c>
      <c r="P188" s="77"/>
      <c r="Q188" s="60"/>
      <c r="R188" s="77"/>
      <c r="S188" s="78">
        <f t="shared" si="82"/>
        <v>0</v>
      </c>
      <c r="T188" s="55">
        <f t="shared" si="82"/>
        <v>0</v>
      </c>
      <c r="U188" s="79">
        <f t="shared" si="102"/>
        <v>0</v>
      </c>
      <c r="V188" s="63">
        <f t="shared" si="103"/>
        <v>0</v>
      </c>
      <c r="W188" s="64">
        <f t="shared" si="111"/>
        <v>123</v>
      </c>
      <c r="X188" s="80">
        <f t="shared" si="111"/>
        <v>126</v>
      </c>
      <c r="Y188" s="75"/>
      <c r="Z188" s="60"/>
      <c r="AA188" s="112"/>
      <c r="AB188" s="112"/>
      <c r="AC188" s="112"/>
      <c r="AD188" s="75"/>
      <c r="AE188" s="81">
        <f t="shared" si="83"/>
        <v>0</v>
      </c>
      <c r="AF188" s="55">
        <f t="shared" si="84"/>
        <v>0</v>
      </c>
      <c r="AG188" s="76">
        <f t="shared" si="78"/>
        <v>0</v>
      </c>
      <c r="AH188" s="82">
        <f t="shared" si="79"/>
        <v>0</v>
      </c>
      <c r="AI188" s="83">
        <f t="shared" si="79"/>
        <v>0</v>
      </c>
      <c r="AJ188" s="83">
        <f t="shared" si="79"/>
        <v>0</v>
      </c>
      <c r="AK188" s="58">
        <f t="shared" si="79"/>
        <v>0</v>
      </c>
      <c r="AL188" s="82">
        <f t="shared" si="85"/>
        <v>0</v>
      </c>
      <c r="AM188" s="58">
        <f t="shared" si="86"/>
        <v>0</v>
      </c>
      <c r="AN188" s="74"/>
      <c r="AO188" s="84"/>
      <c r="AP188" s="74"/>
      <c r="AQ188" s="85"/>
      <c r="AR188" s="74"/>
      <c r="AS188" s="74"/>
      <c r="AT188" s="74"/>
      <c r="AU188" s="55" t="str">
        <f t="shared" si="96"/>
        <v/>
      </c>
      <c r="AV188" s="55" t="str">
        <f t="shared" ca="1" si="97"/>
        <v/>
      </c>
      <c r="AW188" s="55" t="str">
        <f t="shared" si="87"/>
        <v/>
      </c>
      <c r="AX188" s="55" t="str">
        <f t="shared" ca="1" si="88"/>
        <v/>
      </c>
      <c r="AY188" s="86"/>
      <c r="AZ188" s="86"/>
      <c r="BA188" s="55" t="str">
        <f t="shared" si="98"/>
        <v/>
      </c>
      <c r="BB188" s="86"/>
      <c r="BC188" s="86"/>
      <c r="BD188" s="55" t="str">
        <f t="shared" si="99"/>
        <v/>
      </c>
      <c r="BE188" s="74"/>
      <c r="BS188" s="118"/>
      <c r="BT188" s="118"/>
      <c r="BU188" s="118"/>
      <c r="BV188" s="118"/>
      <c r="BW188" s="118"/>
      <c r="BX188" s="118"/>
      <c r="BZ188" s="118"/>
      <c r="CB188" s="118"/>
      <c r="CC188" s="118"/>
      <c r="CD188" s="118"/>
    </row>
    <row r="189" spans="1:82" ht="17.399999999999999" customHeight="1">
      <c r="A189" s="87">
        <f t="shared" si="101"/>
        <v>26.4</v>
      </c>
      <c r="B189" s="111">
        <f t="shared" si="81"/>
        <v>179</v>
      </c>
      <c r="C189" s="60"/>
      <c r="D189" s="74"/>
      <c r="E189" s="75"/>
      <c r="F189" s="74"/>
      <c r="G189" s="54">
        <f t="shared" si="112"/>
        <v>0</v>
      </c>
      <c r="H189" s="55">
        <f t="shared" si="112"/>
        <v>0</v>
      </c>
      <c r="I189" s="76">
        <f t="shared" si="90"/>
        <v>0</v>
      </c>
      <c r="J189" s="58">
        <f t="shared" si="91"/>
        <v>0</v>
      </c>
      <c r="K189" s="58">
        <f t="shared" si="92"/>
        <v>0</v>
      </c>
      <c r="L189" s="58">
        <f t="shared" si="93"/>
        <v>0</v>
      </c>
      <c r="M189" s="58" t="str">
        <f t="shared" ca="1" si="94"/>
        <v/>
      </c>
      <c r="N189" s="58" t="str">
        <f t="shared" ca="1" si="94"/>
        <v/>
      </c>
      <c r="O189" s="58">
        <f t="shared" si="95"/>
        <v>5.0000000000000001E-4</v>
      </c>
      <c r="P189" s="77"/>
      <c r="Q189" s="60"/>
      <c r="R189" s="77"/>
      <c r="S189" s="78">
        <f t="shared" si="82"/>
        <v>0</v>
      </c>
      <c r="T189" s="55">
        <f t="shared" si="82"/>
        <v>0</v>
      </c>
      <c r="U189" s="79">
        <f t="shared" si="102"/>
        <v>0</v>
      </c>
      <c r="V189" s="63">
        <f t="shared" si="103"/>
        <v>0</v>
      </c>
      <c r="W189" s="64">
        <f t="shared" si="111"/>
        <v>123</v>
      </c>
      <c r="X189" s="80">
        <f t="shared" si="111"/>
        <v>126</v>
      </c>
      <c r="Y189" s="75"/>
      <c r="Z189" s="60"/>
      <c r="AA189" s="112"/>
      <c r="AB189" s="112"/>
      <c r="AC189" s="112"/>
      <c r="AD189" s="75"/>
      <c r="AE189" s="81">
        <f t="shared" si="83"/>
        <v>0</v>
      </c>
      <c r="AF189" s="55">
        <f t="shared" si="84"/>
        <v>0</v>
      </c>
      <c r="AG189" s="76">
        <f t="shared" si="78"/>
        <v>0</v>
      </c>
      <c r="AH189" s="82">
        <f t="shared" si="79"/>
        <v>0</v>
      </c>
      <c r="AI189" s="83">
        <f t="shared" si="79"/>
        <v>0</v>
      </c>
      <c r="AJ189" s="83">
        <f t="shared" si="79"/>
        <v>0</v>
      </c>
      <c r="AK189" s="58">
        <f t="shared" si="79"/>
        <v>0</v>
      </c>
      <c r="AL189" s="82">
        <f t="shared" si="85"/>
        <v>0</v>
      </c>
      <c r="AM189" s="58">
        <f t="shared" si="86"/>
        <v>0</v>
      </c>
      <c r="AN189" s="74"/>
      <c r="AO189" s="84"/>
      <c r="AP189" s="74"/>
      <c r="AQ189" s="85"/>
      <c r="AR189" s="74"/>
      <c r="AS189" s="74"/>
      <c r="AT189" s="74"/>
      <c r="AU189" s="55" t="str">
        <f t="shared" si="96"/>
        <v/>
      </c>
      <c r="AV189" s="55" t="str">
        <f t="shared" ca="1" si="97"/>
        <v/>
      </c>
      <c r="AW189" s="55" t="str">
        <f t="shared" si="87"/>
        <v/>
      </c>
      <c r="AX189" s="55" t="str">
        <f t="shared" ca="1" si="88"/>
        <v/>
      </c>
      <c r="AY189" s="86"/>
      <c r="AZ189" s="86"/>
      <c r="BA189" s="55" t="str">
        <f t="shared" si="98"/>
        <v/>
      </c>
      <c r="BB189" s="86"/>
      <c r="BC189" s="86"/>
      <c r="BD189" s="55" t="str">
        <f t="shared" si="99"/>
        <v/>
      </c>
      <c r="BE189" s="74"/>
      <c r="BS189" s="118"/>
      <c r="BT189" s="118"/>
      <c r="BU189" s="118"/>
      <c r="BV189" s="118"/>
      <c r="BW189" s="118"/>
      <c r="BX189" s="118"/>
      <c r="BZ189" s="118"/>
      <c r="CB189" s="118"/>
      <c r="CC189" s="118"/>
      <c r="CD189" s="118"/>
    </row>
    <row r="190" spans="1:82" ht="17.399999999999999" customHeight="1">
      <c r="A190" s="72">
        <f t="shared" si="101"/>
        <v>26.5</v>
      </c>
      <c r="B190" s="111">
        <f t="shared" si="81"/>
        <v>180</v>
      </c>
      <c r="C190" s="60"/>
      <c r="D190" s="74"/>
      <c r="E190" s="75"/>
      <c r="F190" s="74"/>
      <c r="G190" s="54">
        <f t="shared" si="112"/>
        <v>0</v>
      </c>
      <c r="H190" s="55">
        <f t="shared" si="112"/>
        <v>0</v>
      </c>
      <c r="I190" s="76">
        <f t="shared" si="90"/>
        <v>0</v>
      </c>
      <c r="J190" s="58">
        <f t="shared" si="91"/>
        <v>0</v>
      </c>
      <c r="K190" s="58">
        <f t="shared" si="92"/>
        <v>0</v>
      </c>
      <c r="L190" s="58">
        <f t="shared" si="93"/>
        <v>0</v>
      </c>
      <c r="M190" s="58" t="str">
        <f t="shared" ca="1" si="94"/>
        <v/>
      </c>
      <c r="N190" s="58" t="str">
        <f t="shared" ca="1" si="94"/>
        <v/>
      </c>
      <c r="O190" s="58">
        <f t="shared" si="95"/>
        <v>5.0000000000000001E-4</v>
      </c>
      <c r="P190" s="77"/>
      <c r="Q190" s="60"/>
      <c r="R190" s="77"/>
      <c r="S190" s="78">
        <f t="shared" si="82"/>
        <v>0</v>
      </c>
      <c r="T190" s="55">
        <f t="shared" si="82"/>
        <v>0</v>
      </c>
      <c r="U190" s="79">
        <f t="shared" si="102"/>
        <v>0</v>
      </c>
      <c r="V190" s="63">
        <f t="shared" si="103"/>
        <v>0</v>
      </c>
      <c r="W190" s="64">
        <f t="shared" si="111"/>
        <v>123</v>
      </c>
      <c r="X190" s="80">
        <f t="shared" si="111"/>
        <v>126</v>
      </c>
      <c r="Y190" s="75"/>
      <c r="Z190" s="60"/>
      <c r="AA190" s="112"/>
      <c r="AB190" s="112"/>
      <c r="AC190" s="112"/>
      <c r="AD190" s="75"/>
      <c r="AE190" s="81">
        <f t="shared" si="83"/>
        <v>0</v>
      </c>
      <c r="AF190" s="55">
        <f t="shared" si="84"/>
        <v>0</v>
      </c>
      <c r="AG190" s="76">
        <f t="shared" si="78"/>
        <v>0</v>
      </c>
      <c r="AH190" s="82">
        <f t="shared" si="79"/>
        <v>0</v>
      </c>
      <c r="AI190" s="83">
        <f t="shared" si="79"/>
        <v>0</v>
      </c>
      <c r="AJ190" s="83">
        <f t="shared" si="79"/>
        <v>0</v>
      </c>
      <c r="AK190" s="58">
        <f t="shared" si="79"/>
        <v>0</v>
      </c>
      <c r="AL190" s="82">
        <f t="shared" si="85"/>
        <v>0</v>
      </c>
      <c r="AM190" s="58">
        <f t="shared" si="86"/>
        <v>0</v>
      </c>
      <c r="AN190" s="74"/>
      <c r="AO190" s="84"/>
      <c r="AP190" s="74"/>
      <c r="AQ190" s="85"/>
      <c r="AR190" s="74"/>
      <c r="AS190" s="74"/>
      <c r="AT190" s="74"/>
      <c r="AU190" s="55" t="str">
        <f t="shared" si="96"/>
        <v/>
      </c>
      <c r="AV190" s="55" t="str">
        <f t="shared" ca="1" si="97"/>
        <v/>
      </c>
      <c r="AW190" s="55" t="str">
        <f t="shared" si="87"/>
        <v/>
      </c>
      <c r="AX190" s="55" t="str">
        <f t="shared" ca="1" si="88"/>
        <v/>
      </c>
      <c r="AY190" s="86"/>
      <c r="AZ190" s="86"/>
      <c r="BA190" s="55" t="str">
        <f t="shared" si="98"/>
        <v/>
      </c>
      <c r="BB190" s="86"/>
      <c r="BC190" s="86"/>
      <c r="BD190" s="55" t="str">
        <f t="shared" si="99"/>
        <v/>
      </c>
      <c r="BE190" s="74"/>
      <c r="BS190" s="118"/>
      <c r="BT190" s="118"/>
      <c r="BU190" s="118"/>
      <c r="BV190" s="118"/>
      <c r="BW190" s="118"/>
      <c r="BX190" s="118"/>
      <c r="BZ190" s="118"/>
      <c r="CB190" s="118"/>
      <c r="CC190" s="118"/>
      <c r="CD190" s="118"/>
    </row>
    <row r="191" spans="1:82" ht="17.399999999999999" customHeight="1">
      <c r="A191" s="87">
        <f t="shared" si="101"/>
        <v>26.6</v>
      </c>
      <c r="B191" s="111">
        <f t="shared" si="81"/>
        <v>181</v>
      </c>
      <c r="C191" s="60"/>
      <c r="D191" s="74"/>
      <c r="E191" s="75"/>
      <c r="F191" s="74"/>
      <c r="G191" s="54">
        <f t="shared" si="112"/>
        <v>0</v>
      </c>
      <c r="H191" s="55">
        <f t="shared" si="112"/>
        <v>0</v>
      </c>
      <c r="I191" s="76">
        <f t="shared" si="90"/>
        <v>0</v>
      </c>
      <c r="J191" s="58">
        <f t="shared" si="91"/>
        <v>0</v>
      </c>
      <c r="K191" s="58">
        <f t="shared" si="92"/>
        <v>0</v>
      </c>
      <c r="L191" s="58">
        <f t="shared" si="93"/>
        <v>0</v>
      </c>
      <c r="M191" s="58" t="str">
        <f t="shared" ca="1" si="94"/>
        <v/>
      </c>
      <c r="N191" s="58" t="str">
        <f t="shared" ca="1" si="94"/>
        <v/>
      </c>
      <c r="O191" s="58">
        <f t="shared" si="95"/>
        <v>5.0000000000000001E-4</v>
      </c>
      <c r="P191" s="77"/>
      <c r="Q191" s="60"/>
      <c r="R191" s="77"/>
      <c r="S191" s="78">
        <f t="shared" si="82"/>
        <v>0</v>
      </c>
      <c r="T191" s="55">
        <f t="shared" si="82"/>
        <v>0</v>
      </c>
      <c r="U191" s="79">
        <f t="shared" si="102"/>
        <v>0</v>
      </c>
      <c r="V191" s="63">
        <f t="shared" si="103"/>
        <v>0</v>
      </c>
      <c r="W191" s="64">
        <f t="shared" si="111"/>
        <v>123</v>
      </c>
      <c r="X191" s="80">
        <f t="shared" si="111"/>
        <v>126</v>
      </c>
      <c r="Y191" s="75"/>
      <c r="Z191" s="60"/>
      <c r="AA191" s="112"/>
      <c r="AB191" s="112"/>
      <c r="AC191" s="112"/>
      <c r="AD191" s="75"/>
      <c r="AE191" s="81">
        <f t="shared" si="83"/>
        <v>0</v>
      </c>
      <c r="AF191" s="55">
        <f t="shared" si="84"/>
        <v>0</v>
      </c>
      <c r="AG191" s="76">
        <f t="shared" si="78"/>
        <v>0</v>
      </c>
      <c r="AH191" s="82">
        <f t="shared" si="79"/>
        <v>0</v>
      </c>
      <c r="AI191" s="83">
        <f t="shared" si="79"/>
        <v>0</v>
      </c>
      <c r="AJ191" s="83">
        <f t="shared" si="79"/>
        <v>0</v>
      </c>
      <c r="AK191" s="58">
        <f t="shared" si="79"/>
        <v>0</v>
      </c>
      <c r="AL191" s="82">
        <f t="shared" si="85"/>
        <v>0</v>
      </c>
      <c r="AM191" s="58">
        <f t="shared" si="86"/>
        <v>0</v>
      </c>
      <c r="AN191" s="74"/>
      <c r="AO191" s="84"/>
      <c r="AP191" s="74"/>
      <c r="AQ191" s="85"/>
      <c r="AR191" s="74"/>
      <c r="AS191" s="74"/>
      <c r="AT191" s="74"/>
      <c r="AU191" s="55" t="str">
        <f t="shared" si="96"/>
        <v/>
      </c>
      <c r="AV191" s="55" t="str">
        <f t="shared" ca="1" si="97"/>
        <v/>
      </c>
      <c r="AW191" s="55" t="str">
        <f t="shared" si="87"/>
        <v/>
      </c>
      <c r="AX191" s="55" t="str">
        <f t="shared" ca="1" si="88"/>
        <v/>
      </c>
      <c r="AY191" s="86"/>
      <c r="AZ191" s="86"/>
      <c r="BA191" s="55" t="str">
        <f t="shared" si="98"/>
        <v/>
      </c>
      <c r="BB191" s="86"/>
      <c r="BC191" s="86"/>
      <c r="BD191" s="55" t="str">
        <f t="shared" si="99"/>
        <v/>
      </c>
      <c r="BE191" s="74"/>
      <c r="BS191" s="118"/>
      <c r="BT191" s="118"/>
      <c r="BU191" s="118"/>
      <c r="BV191" s="118"/>
      <c r="BW191" s="118"/>
      <c r="BX191" s="118"/>
      <c r="BZ191" s="118"/>
      <c r="CB191" s="118"/>
      <c r="CC191" s="118"/>
      <c r="CD191" s="118"/>
    </row>
    <row r="192" spans="1:82" ht="17.399999999999999" customHeight="1" thickBot="1">
      <c r="A192" s="72">
        <f t="shared" si="101"/>
        <v>26.700000000000003</v>
      </c>
      <c r="B192" s="113">
        <f t="shared" si="81"/>
        <v>182</v>
      </c>
      <c r="C192" s="89"/>
      <c r="D192" s="90"/>
      <c r="E192" s="91"/>
      <c r="F192" s="90"/>
      <c r="G192" s="92">
        <f t="shared" si="112"/>
        <v>0</v>
      </c>
      <c r="H192" s="93">
        <f t="shared" si="112"/>
        <v>0</v>
      </c>
      <c r="I192" s="94">
        <f t="shared" si="90"/>
        <v>0</v>
      </c>
      <c r="J192" s="95">
        <f t="shared" si="91"/>
        <v>0</v>
      </c>
      <c r="K192" s="95">
        <f t="shared" si="92"/>
        <v>0</v>
      </c>
      <c r="L192" s="95">
        <f t="shared" si="93"/>
        <v>0</v>
      </c>
      <c r="M192" s="95" t="str">
        <f t="shared" ca="1" si="94"/>
        <v/>
      </c>
      <c r="N192" s="95" t="str">
        <f t="shared" ca="1" si="94"/>
        <v/>
      </c>
      <c r="O192" s="95">
        <f t="shared" si="95"/>
        <v>5.0000000000000001E-4</v>
      </c>
      <c r="P192" s="96"/>
      <c r="Q192" s="89"/>
      <c r="R192" s="96"/>
      <c r="S192" s="78">
        <f t="shared" si="82"/>
        <v>0</v>
      </c>
      <c r="T192" s="55">
        <f t="shared" si="82"/>
        <v>0</v>
      </c>
      <c r="U192" s="97">
        <f t="shared" si="102"/>
        <v>0</v>
      </c>
      <c r="V192" s="98">
        <f t="shared" si="103"/>
        <v>0</v>
      </c>
      <c r="W192" s="99">
        <f t="shared" si="111"/>
        <v>123</v>
      </c>
      <c r="X192" s="100">
        <f t="shared" si="111"/>
        <v>126</v>
      </c>
      <c r="Y192" s="91"/>
      <c r="Z192" s="89"/>
      <c r="AA192" s="112"/>
      <c r="AB192" s="112"/>
      <c r="AC192" s="112"/>
      <c r="AD192" s="75"/>
      <c r="AE192" s="101">
        <f t="shared" si="83"/>
        <v>0</v>
      </c>
      <c r="AF192" s="93">
        <f t="shared" si="84"/>
        <v>0</v>
      </c>
      <c r="AG192" s="94">
        <f t="shared" si="78"/>
        <v>0</v>
      </c>
      <c r="AH192" s="102">
        <f t="shared" si="79"/>
        <v>0</v>
      </c>
      <c r="AI192" s="103">
        <f t="shared" si="79"/>
        <v>0</v>
      </c>
      <c r="AJ192" s="103">
        <f t="shared" si="79"/>
        <v>0</v>
      </c>
      <c r="AK192" s="95">
        <f t="shared" si="79"/>
        <v>0</v>
      </c>
      <c r="AL192" s="102">
        <f t="shared" si="85"/>
        <v>0</v>
      </c>
      <c r="AM192" s="95">
        <f t="shared" si="86"/>
        <v>0</v>
      </c>
      <c r="AN192" s="90"/>
      <c r="AO192" s="104"/>
      <c r="AP192" s="90"/>
      <c r="AQ192" s="105"/>
      <c r="AR192" s="90"/>
      <c r="AS192" s="90"/>
      <c r="AT192" s="90"/>
      <c r="AU192" s="93" t="str">
        <f t="shared" si="96"/>
        <v/>
      </c>
      <c r="AV192" s="93" t="str">
        <f t="shared" ca="1" si="97"/>
        <v/>
      </c>
      <c r="AW192" s="93" t="str">
        <f t="shared" si="87"/>
        <v/>
      </c>
      <c r="AX192" s="93" t="str">
        <f t="shared" ca="1" si="88"/>
        <v/>
      </c>
      <c r="AY192" s="106"/>
      <c r="AZ192" s="106"/>
      <c r="BA192" s="93" t="str">
        <f t="shared" si="98"/>
        <v/>
      </c>
      <c r="BB192" s="106"/>
      <c r="BC192" s="106"/>
      <c r="BD192" s="93" t="str">
        <f t="shared" si="99"/>
        <v/>
      </c>
      <c r="BE192" s="90"/>
      <c r="BS192" s="118"/>
      <c r="BT192" s="118"/>
      <c r="BU192" s="118"/>
      <c r="BV192" s="118"/>
      <c r="BW192" s="118"/>
      <c r="BX192" s="118"/>
      <c r="BZ192" s="118"/>
      <c r="CB192" s="118"/>
      <c r="CC192" s="118"/>
      <c r="CD192" s="118"/>
    </row>
    <row r="193" spans="1:82" ht="17.399999999999999" customHeight="1" thickTop="1">
      <c r="A193" s="49">
        <f>A186+1</f>
        <v>27.1</v>
      </c>
      <c r="B193" s="108">
        <f>B192+1</f>
        <v>183</v>
      </c>
      <c r="C193" s="51"/>
      <c r="D193" s="52"/>
      <c r="E193" s="53"/>
      <c r="F193" s="52"/>
      <c r="G193" s="54">
        <f t="shared" si="112"/>
        <v>0</v>
      </c>
      <c r="H193" s="55">
        <f t="shared" si="112"/>
        <v>0</v>
      </c>
      <c r="I193" s="56">
        <f t="shared" si="90"/>
        <v>0</v>
      </c>
      <c r="J193" s="57">
        <f t="shared" si="91"/>
        <v>0</v>
      </c>
      <c r="K193" s="57">
        <f t="shared" si="92"/>
        <v>0</v>
      </c>
      <c r="L193" s="57">
        <f t="shared" si="93"/>
        <v>0</v>
      </c>
      <c r="M193" s="58" t="str">
        <f t="shared" ca="1" si="94"/>
        <v/>
      </c>
      <c r="N193" s="58" t="str">
        <f t="shared" ca="1" si="94"/>
        <v/>
      </c>
      <c r="O193" s="58">
        <f t="shared" si="95"/>
        <v>5.0000000000000001E-4</v>
      </c>
      <c r="P193" s="77"/>
      <c r="Q193" s="60"/>
      <c r="R193" s="77"/>
      <c r="S193" s="109">
        <f t="shared" si="82"/>
        <v>0</v>
      </c>
      <c r="T193" s="61">
        <f t="shared" si="82"/>
        <v>0</v>
      </c>
      <c r="U193" s="62">
        <f t="shared" si="102"/>
        <v>0</v>
      </c>
      <c r="V193" s="63">
        <f t="shared" si="103"/>
        <v>0</v>
      </c>
      <c r="W193" s="64">
        <v>124</v>
      </c>
      <c r="X193" s="80">
        <v>144</v>
      </c>
      <c r="Y193" s="53"/>
      <c r="Z193" s="51"/>
      <c r="AA193" s="53"/>
      <c r="AB193" s="53"/>
      <c r="AC193" s="53"/>
      <c r="AD193" s="53"/>
      <c r="AE193" s="66">
        <f t="shared" si="83"/>
        <v>0</v>
      </c>
      <c r="AF193" s="61">
        <f t="shared" si="84"/>
        <v>0</v>
      </c>
      <c r="AG193" s="56">
        <f t="shared" si="78"/>
        <v>0</v>
      </c>
      <c r="AH193" s="67">
        <f t="shared" si="79"/>
        <v>0</v>
      </c>
      <c r="AI193" s="68">
        <f t="shared" si="79"/>
        <v>0</v>
      </c>
      <c r="AJ193" s="68">
        <f t="shared" si="79"/>
        <v>0</v>
      </c>
      <c r="AK193" s="57">
        <f t="shared" si="79"/>
        <v>0</v>
      </c>
      <c r="AL193" s="67">
        <f t="shared" si="85"/>
        <v>0</v>
      </c>
      <c r="AM193" s="57">
        <f t="shared" si="86"/>
        <v>0</v>
      </c>
      <c r="AN193" s="52"/>
      <c r="AO193" s="69"/>
      <c r="AP193" s="52"/>
      <c r="AQ193" s="70"/>
      <c r="AR193" s="52"/>
      <c r="AS193" s="52"/>
      <c r="AT193" s="52"/>
      <c r="AU193" s="61" t="str">
        <f t="shared" si="96"/>
        <v/>
      </c>
      <c r="AV193" s="61" t="str">
        <f t="shared" ca="1" si="97"/>
        <v/>
      </c>
      <c r="AW193" s="61" t="str">
        <f t="shared" si="87"/>
        <v/>
      </c>
      <c r="AX193" s="61" t="str">
        <f t="shared" ca="1" si="88"/>
        <v/>
      </c>
      <c r="AY193" s="71"/>
      <c r="AZ193" s="71"/>
      <c r="BA193" s="61" t="str">
        <f t="shared" si="98"/>
        <v/>
      </c>
      <c r="BB193" s="71"/>
      <c r="BC193" s="71"/>
      <c r="BD193" s="61" t="str">
        <f t="shared" si="99"/>
        <v/>
      </c>
      <c r="BE193" s="52"/>
      <c r="BS193" s="118"/>
      <c r="BT193" s="118"/>
      <c r="BU193" s="118"/>
      <c r="BV193" s="118"/>
      <c r="BW193" s="118"/>
      <c r="BX193" s="118"/>
      <c r="BZ193" s="118"/>
      <c r="CB193" s="118"/>
      <c r="CC193" s="118"/>
      <c r="CD193" s="118"/>
    </row>
    <row r="194" spans="1:82" ht="17.399999999999999" customHeight="1">
      <c r="A194" s="72">
        <f t="shared" si="101"/>
        <v>27.2</v>
      </c>
      <c r="B194" s="111">
        <f t="shared" si="81"/>
        <v>184</v>
      </c>
      <c r="C194" s="60"/>
      <c r="D194" s="74"/>
      <c r="E194" s="75"/>
      <c r="F194" s="74"/>
      <c r="G194" s="54">
        <f t="shared" si="112"/>
        <v>0</v>
      </c>
      <c r="H194" s="55">
        <f t="shared" si="112"/>
        <v>0</v>
      </c>
      <c r="I194" s="76">
        <f t="shared" si="90"/>
        <v>0</v>
      </c>
      <c r="J194" s="58">
        <f t="shared" si="91"/>
        <v>0</v>
      </c>
      <c r="K194" s="58">
        <f t="shared" si="92"/>
        <v>0</v>
      </c>
      <c r="L194" s="58">
        <f t="shared" si="93"/>
        <v>0</v>
      </c>
      <c r="M194" s="58" t="str">
        <f t="shared" ca="1" si="94"/>
        <v/>
      </c>
      <c r="N194" s="58" t="str">
        <f t="shared" ca="1" si="94"/>
        <v/>
      </c>
      <c r="O194" s="58">
        <f t="shared" si="95"/>
        <v>5.0000000000000001E-4</v>
      </c>
      <c r="P194" s="77"/>
      <c r="Q194" s="60"/>
      <c r="R194" s="77"/>
      <c r="S194" s="78">
        <f t="shared" si="82"/>
        <v>0</v>
      </c>
      <c r="T194" s="55">
        <f t="shared" si="82"/>
        <v>0</v>
      </c>
      <c r="U194" s="79">
        <f t="shared" si="102"/>
        <v>0</v>
      </c>
      <c r="V194" s="63">
        <f t="shared" si="103"/>
        <v>0</v>
      </c>
      <c r="W194" s="64">
        <f t="shared" ref="W194:X199" si="113">W193</f>
        <v>124</v>
      </c>
      <c r="X194" s="80">
        <f t="shared" si="113"/>
        <v>144</v>
      </c>
      <c r="Y194" s="75"/>
      <c r="Z194" s="60"/>
      <c r="AA194" s="75"/>
      <c r="AB194" s="75"/>
      <c r="AC194" s="75"/>
      <c r="AD194" s="75"/>
      <c r="AE194" s="81">
        <f t="shared" si="83"/>
        <v>0</v>
      </c>
      <c r="AF194" s="55">
        <f t="shared" si="84"/>
        <v>0</v>
      </c>
      <c r="AG194" s="76">
        <f t="shared" si="78"/>
        <v>0</v>
      </c>
      <c r="AH194" s="82">
        <f t="shared" si="79"/>
        <v>0</v>
      </c>
      <c r="AI194" s="83">
        <f t="shared" si="79"/>
        <v>0</v>
      </c>
      <c r="AJ194" s="83">
        <f t="shared" si="79"/>
        <v>0</v>
      </c>
      <c r="AK194" s="58">
        <f t="shared" si="79"/>
        <v>0</v>
      </c>
      <c r="AL194" s="82">
        <f t="shared" si="85"/>
        <v>0</v>
      </c>
      <c r="AM194" s="58">
        <f t="shared" si="86"/>
        <v>0</v>
      </c>
      <c r="AN194" s="74"/>
      <c r="AO194" s="84"/>
      <c r="AP194" s="74"/>
      <c r="AQ194" s="85"/>
      <c r="AR194" s="74"/>
      <c r="AS194" s="74"/>
      <c r="AT194" s="74"/>
      <c r="AU194" s="55" t="str">
        <f t="shared" si="96"/>
        <v/>
      </c>
      <c r="AV194" s="55" t="str">
        <f t="shared" ca="1" si="97"/>
        <v/>
      </c>
      <c r="AW194" s="55" t="str">
        <f t="shared" si="87"/>
        <v/>
      </c>
      <c r="AX194" s="55" t="str">
        <f t="shared" ca="1" si="88"/>
        <v/>
      </c>
      <c r="AY194" s="86"/>
      <c r="AZ194" s="86"/>
      <c r="BA194" s="55" t="str">
        <f t="shared" si="98"/>
        <v/>
      </c>
      <c r="BB194" s="86"/>
      <c r="BC194" s="86"/>
      <c r="BD194" s="55" t="str">
        <f t="shared" si="99"/>
        <v/>
      </c>
      <c r="BE194" s="74"/>
      <c r="BS194" s="118"/>
      <c r="BT194" s="118"/>
      <c r="BU194" s="118"/>
      <c r="BV194" s="118"/>
      <c r="BW194" s="118"/>
      <c r="BX194" s="118"/>
      <c r="BZ194" s="118"/>
      <c r="CB194" s="118"/>
      <c r="CC194" s="118"/>
      <c r="CD194" s="118"/>
    </row>
    <row r="195" spans="1:82" ht="17.399999999999999" customHeight="1">
      <c r="A195" s="87">
        <f t="shared" si="101"/>
        <v>27.3</v>
      </c>
      <c r="B195" s="111">
        <f t="shared" si="81"/>
        <v>185</v>
      </c>
      <c r="C195" s="60"/>
      <c r="D195" s="74"/>
      <c r="E195" s="75"/>
      <c r="F195" s="74"/>
      <c r="G195" s="54">
        <f t="shared" si="112"/>
        <v>0</v>
      </c>
      <c r="H195" s="55">
        <f t="shared" si="112"/>
        <v>0</v>
      </c>
      <c r="I195" s="76">
        <f t="shared" si="90"/>
        <v>0</v>
      </c>
      <c r="J195" s="58">
        <f t="shared" si="91"/>
        <v>0</v>
      </c>
      <c r="K195" s="58">
        <f t="shared" si="92"/>
        <v>0</v>
      </c>
      <c r="L195" s="58">
        <f t="shared" si="93"/>
        <v>0</v>
      </c>
      <c r="M195" s="58" t="str">
        <f t="shared" ca="1" si="94"/>
        <v/>
      </c>
      <c r="N195" s="58" t="str">
        <f t="shared" ca="1" si="94"/>
        <v/>
      </c>
      <c r="O195" s="58">
        <f t="shared" si="95"/>
        <v>5.0000000000000001E-4</v>
      </c>
      <c r="P195" s="77"/>
      <c r="Q195" s="60"/>
      <c r="R195" s="77"/>
      <c r="S195" s="78">
        <f t="shared" si="82"/>
        <v>0</v>
      </c>
      <c r="T195" s="55">
        <f t="shared" si="82"/>
        <v>0</v>
      </c>
      <c r="U195" s="79">
        <f t="shared" si="102"/>
        <v>0</v>
      </c>
      <c r="V195" s="63">
        <f t="shared" si="103"/>
        <v>0</v>
      </c>
      <c r="W195" s="64">
        <f t="shared" si="113"/>
        <v>124</v>
      </c>
      <c r="X195" s="80">
        <f t="shared" si="113"/>
        <v>144</v>
      </c>
      <c r="Y195" s="75"/>
      <c r="Z195" s="60"/>
      <c r="AA195" s="75"/>
      <c r="AB195" s="75"/>
      <c r="AC195" s="75"/>
      <c r="AD195" s="75"/>
      <c r="AE195" s="81">
        <f t="shared" si="83"/>
        <v>0</v>
      </c>
      <c r="AF195" s="55">
        <f t="shared" si="84"/>
        <v>0</v>
      </c>
      <c r="AG195" s="76">
        <f t="shared" si="78"/>
        <v>0</v>
      </c>
      <c r="AH195" s="82">
        <f t="shared" si="79"/>
        <v>0</v>
      </c>
      <c r="AI195" s="83">
        <f t="shared" si="79"/>
        <v>0</v>
      </c>
      <c r="AJ195" s="83">
        <f t="shared" si="79"/>
        <v>0</v>
      </c>
      <c r="AK195" s="58">
        <f t="shared" si="79"/>
        <v>0</v>
      </c>
      <c r="AL195" s="82">
        <f t="shared" si="85"/>
        <v>0</v>
      </c>
      <c r="AM195" s="58">
        <f t="shared" si="86"/>
        <v>0</v>
      </c>
      <c r="AN195" s="74"/>
      <c r="AO195" s="84"/>
      <c r="AP195" s="74"/>
      <c r="AQ195" s="85"/>
      <c r="AR195" s="74"/>
      <c r="AS195" s="74"/>
      <c r="AT195" s="74"/>
      <c r="AU195" s="55" t="str">
        <f t="shared" si="96"/>
        <v/>
      </c>
      <c r="AV195" s="55" t="str">
        <f t="shared" ca="1" si="97"/>
        <v/>
      </c>
      <c r="AW195" s="55" t="str">
        <f t="shared" si="87"/>
        <v/>
      </c>
      <c r="AX195" s="55" t="str">
        <f t="shared" ca="1" si="88"/>
        <v/>
      </c>
      <c r="AY195" s="86"/>
      <c r="AZ195" s="86"/>
      <c r="BA195" s="55" t="str">
        <f t="shared" si="98"/>
        <v/>
      </c>
      <c r="BB195" s="86"/>
      <c r="BC195" s="86"/>
      <c r="BD195" s="55" t="str">
        <f t="shared" si="99"/>
        <v/>
      </c>
      <c r="BE195" s="74"/>
      <c r="BS195" s="118"/>
      <c r="BT195" s="118"/>
      <c r="BU195" s="118"/>
      <c r="BV195" s="118"/>
      <c r="BW195" s="118"/>
      <c r="BX195" s="118"/>
      <c r="BZ195" s="118"/>
      <c r="CB195" s="118"/>
      <c r="CC195" s="118"/>
      <c r="CD195" s="118"/>
    </row>
    <row r="196" spans="1:82" ht="17.399999999999999" customHeight="1">
      <c r="A196" s="72">
        <f t="shared" si="101"/>
        <v>27.4</v>
      </c>
      <c r="B196" s="111">
        <f t="shared" si="81"/>
        <v>186</v>
      </c>
      <c r="C196" s="60"/>
      <c r="D196" s="74"/>
      <c r="E196" s="75"/>
      <c r="F196" s="74"/>
      <c r="G196" s="54">
        <f t="shared" si="112"/>
        <v>0</v>
      </c>
      <c r="H196" s="55">
        <f t="shared" si="112"/>
        <v>0</v>
      </c>
      <c r="I196" s="76">
        <f t="shared" si="90"/>
        <v>0</v>
      </c>
      <c r="J196" s="58">
        <f t="shared" si="91"/>
        <v>0</v>
      </c>
      <c r="K196" s="58">
        <f t="shared" si="92"/>
        <v>0</v>
      </c>
      <c r="L196" s="58">
        <f t="shared" si="93"/>
        <v>0</v>
      </c>
      <c r="M196" s="58" t="str">
        <f t="shared" ca="1" si="94"/>
        <v/>
      </c>
      <c r="N196" s="58" t="str">
        <f t="shared" ca="1" si="94"/>
        <v/>
      </c>
      <c r="O196" s="58">
        <f t="shared" si="95"/>
        <v>5.0000000000000001E-4</v>
      </c>
      <c r="P196" s="77"/>
      <c r="Q196" s="60"/>
      <c r="R196" s="77"/>
      <c r="S196" s="78">
        <f t="shared" si="82"/>
        <v>0</v>
      </c>
      <c r="T196" s="55">
        <f t="shared" si="82"/>
        <v>0</v>
      </c>
      <c r="U196" s="79">
        <f t="shared" si="102"/>
        <v>0</v>
      </c>
      <c r="V196" s="63">
        <f t="shared" si="103"/>
        <v>0</v>
      </c>
      <c r="W196" s="64">
        <f t="shared" si="113"/>
        <v>124</v>
      </c>
      <c r="X196" s="80">
        <f t="shared" si="113"/>
        <v>144</v>
      </c>
      <c r="Y196" s="75"/>
      <c r="Z196" s="60"/>
      <c r="AA196" s="75"/>
      <c r="AB196" s="75"/>
      <c r="AC196" s="75"/>
      <c r="AD196" s="75"/>
      <c r="AE196" s="81">
        <f t="shared" si="83"/>
        <v>0</v>
      </c>
      <c r="AF196" s="55">
        <f t="shared" si="84"/>
        <v>0</v>
      </c>
      <c r="AG196" s="76">
        <f t="shared" si="78"/>
        <v>0</v>
      </c>
      <c r="AH196" s="82">
        <f t="shared" si="79"/>
        <v>0</v>
      </c>
      <c r="AI196" s="83">
        <f t="shared" si="79"/>
        <v>0</v>
      </c>
      <c r="AJ196" s="83">
        <f t="shared" si="79"/>
        <v>0</v>
      </c>
      <c r="AK196" s="58">
        <f t="shared" ref="AK196:AK259" si="114">IFERROR(AC196/$Y196,0)</f>
        <v>0</v>
      </c>
      <c r="AL196" s="82">
        <f t="shared" si="85"/>
        <v>0</v>
      </c>
      <c r="AM196" s="58">
        <f t="shared" si="86"/>
        <v>0</v>
      </c>
      <c r="AN196" s="74"/>
      <c r="AO196" s="84"/>
      <c r="AP196" s="74"/>
      <c r="AQ196" s="85"/>
      <c r="AR196" s="74"/>
      <c r="AS196" s="74"/>
      <c r="AT196" s="74"/>
      <c r="AU196" s="55" t="str">
        <f t="shared" si="96"/>
        <v/>
      </c>
      <c r="AV196" s="55" t="str">
        <f t="shared" ca="1" si="97"/>
        <v/>
      </c>
      <c r="AW196" s="55" t="str">
        <f t="shared" si="87"/>
        <v/>
      </c>
      <c r="AX196" s="55" t="str">
        <f t="shared" ca="1" si="88"/>
        <v/>
      </c>
      <c r="AY196" s="86"/>
      <c r="AZ196" s="86"/>
      <c r="BA196" s="55" t="str">
        <f t="shared" si="98"/>
        <v/>
      </c>
      <c r="BB196" s="86"/>
      <c r="BC196" s="86"/>
      <c r="BD196" s="55" t="str">
        <f t="shared" si="99"/>
        <v/>
      </c>
      <c r="BE196" s="74"/>
      <c r="BS196" s="118"/>
      <c r="BT196" s="118"/>
      <c r="BU196" s="118"/>
      <c r="BV196" s="118"/>
      <c r="BW196" s="118"/>
      <c r="BX196" s="118"/>
      <c r="BZ196" s="118"/>
      <c r="CB196" s="118"/>
      <c r="CC196" s="118"/>
      <c r="CD196" s="118"/>
    </row>
    <row r="197" spans="1:82" ht="17.399999999999999" customHeight="1">
      <c r="A197" s="87">
        <f t="shared" si="101"/>
        <v>27.5</v>
      </c>
      <c r="B197" s="111">
        <f t="shared" si="81"/>
        <v>187</v>
      </c>
      <c r="C197" s="60"/>
      <c r="D197" s="74"/>
      <c r="E197" s="75"/>
      <c r="F197" s="74"/>
      <c r="G197" s="54">
        <f t="shared" si="112"/>
        <v>0</v>
      </c>
      <c r="H197" s="55">
        <f t="shared" si="112"/>
        <v>0</v>
      </c>
      <c r="I197" s="76">
        <f t="shared" si="90"/>
        <v>0</v>
      </c>
      <c r="J197" s="58">
        <f t="shared" si="91"/>
        <v>0</v>
      </c>
      <c r="K197" s="58">
        <f t="shared" si="92"/>
        <v>0</v>
      </c>
      <c r="L197" s="58">
        <f t="shared" si="93"/>
        <v>0</v>
      </c>
      <c r="M197" s="58" t="str">
        <f t="shared" ca="1" si="94"/>
        <v/>
      </c>
      <c r="N197" s="58" t="str">
        <f t="shared" ca="1" si="94"/>
        <v/>
      </c>
      <c r="O197" s="58">
        <f t="shared" si="95"/>
        <v>5.0000000000000001E-4</v>
      </c>
      <c r="P197" s="77"/>
      <c r="Q197" s="60"/>
      <c r="R197" s="77"/>
      <c r="S197" s="78">
        <f t="shared" si="82"/>
        <v>0</v>
      </c>
      <c r="T197" s="55">
        <f t="shared" si="82"/>
        <v>0</v>
      </c>
      <c r="U197" s="79">
        <f t="shared" si="102"/>
        <v>0</v>
      </c>
      <c r="V197" s="63">
        <f t="shared" si="103"/>
        <v>0</v>
      </c>
      <c r="W197" s="64">
        <f t="shared" si="113"/>
        <v>124</v>
      </c>
      <c r="X197" s="80">
        <f t="shared" si="113"/>
        <v>144</v>
      </c>
      <c r="Y197" s="75"/>
      <c r="Z197" s="60"/>
      <c r="AA197" s="75"/>
      <c r="AB197" s="75"/>
      <c r="AC197" s="75"/>
      <c r="AD197" s="75"/>
      <c r="AE197" s="81">
        <f t="shared" si="83"/>
        <v>0</v>
      </c>
      <c r="AF197" s="55">
        <f t="shared" si="84"/>
        <v>0</v>
      </c>
      <c r="AG197" s="76">
        <f t="shared" ref="AG197:AG260" si="115">IFERROR(Y197/H196,0)</f>
        <v>0</v>
      </c>
      <c r="AH197" s="82">
        <f t="shared" ref="AH197:AK260" si="116">IFERROR(Z197/$Y197,0)</f>
        <v>0</v>
      </c>
      <c r="AI197" s="83">
        <f t="shared" si="116"/>
        <v>0</v>
      </c>
      <c r="AJ197" s="83">
        <f t="shared" si="116"/>
        <v>0</v>
      </c>
      <c r="AK197" s="58">
        <f t="shared" si="114"/>
        <v>0</v>
      </c>
      <c r="AL197" s="82">
        <f t="shared" si="85"/>
        <v>0</v>
      </c>
      <c r="AM197" s="58">
        <f t="shared" si="86"/>
        <v>0</v>
      </c>
      <c r="AN197" s="74"/>
      <c r="AO197" s="84"/>
      <c r="AP197" s="74"/>
      <c r="AQ197" s="85"/>
      <c r="AR197" s="74"/>
      <c r="AS197" s="74"/>
      <c r="AT197" s="74"/>
      <c r="AU197" s="55" t="str">
        <f t="shared" si="96"/>
        <v/>
      </c>
      <c r="AV197" s="55" t="str">
        <f t="shared" ca="1" si="97"/>
        <v/>
      </c>
      <c r="AW197" s="55" t="str">
        <f t="shared" si="87"/>
        <v/>
      </c>
      <c r="AX197" s="55" t="str">
        <f t="shared" ca="1" si="88"/>
        <v/>
      </c>
      <c r="AY197" s="86"/>
      <c r="AZ197" s="86"/>
      <c r="BA197" s="55" t="str">
        <f t="shared" si="98"/>
        <v/>
      </c>
      <c r="BB197" s="86"/>
      <c r="BC197" s="86"/>
      <c r="BD197" s="55" t="str">
        <f t="shared" si="99"/>
        <v/>
      </c>
      <c r="BE197" s="74"/>
      <c r="BS197" s="118"/>
      <c r="BT197" s="118"/>
      <c r="BU197" s="118"/>
      <c r="BV197" s="118"/>
      <c r="BW197" s="118"/>
      <c r="BX197" s="118"/>
      <c r="BZ197" s="118"/>
      <c r="CB197" s="118"/>
      <c r="CC197" s="118"/>
      <c r="CD197" s="118"/>
    </row>
    <row r="198" spans="1:82" ht="17.399999999999999" customHeight="1">
      <c r="A198" s="72">
        <f t="shared" si="101"/>
        <v>27.6</v>
      </c>
      <c r="B198" s="111">
        <f t="shared" si="81"/>
        <v>188</v>
      </c>
      <c r="C198" s="60"/>
      <c r="D198" s="74"/>
      <c r="E198" s="75"/>
      <c r="F198" s="74"/>
      <c r="G198" s="54">
        <f t="shared" si="112"/>
        <v>0</v>
      </c>
      <c r="H198" s="55">
        <f t="shared" si="112"/>
        <v>0</v>
      </c>
      <c r="I198" s="76">
        <f t="shared" si="90"/>
        <v>0</v>
      </c>
      <c r="J198" s="58">
        <f t="shared" si="91"/>
        <v>0</v>
      </c>
      <c r="K198" s="58">
        <f t="shared" si="92"/>
        <v>0</v>
      </c>
      <c r="L198" s="58">
        <f t="shared" si="93"/>
        <v>0</v>
      </c>
      <c r="M198" s="58" t="str">
        <f t="shared" ca="1" si="94"/>
        <v/>
      </c>
      <c r="N198" s="58" t="str">
        <f t="shared" ca="1" si="94"/>
        <v/>
      </c>
      <c r="O198" s="58">
        <f t="shared" si="95"/>
        <v>5.0000000000000001E-4</v>
      </c>
      <c r="P198" s="77"/>
      <c r="Q198" s="60"/>
      <c r="R198" s="77"/>
      <c r="S198" s="78">
        <f t="shared" si="82"/>
        <v>0</v>
      </c>
      <c r="T198" s="55">
        <f t="shared" si="82"/>
        <v>0</v>
      </c>
      <c r="U198" s="79">
        <f t="shared" si="102"/>
        <v>0</v>
      </c>
      <c r="V198" s="63">
        <f t="shared" si="103"/>
        <v>0</v>
      </c>
      <c r="W198" s="64">
        <f t="shared" si="113"/>
        <v>124</v>
      </c>
      <c r="X198" s="80">
        <f t="shared" si="113"/>
        <v>144</v>
      </c>
      <c r="Y198" s="75"/>
      <c r="Z198" s="60"/>
      <c r="AA198" s="75"/>
      <c r="AB198" s="75"/>
      <c r="AC198" s="75"/>
      <c r="AD198" s="75"/>
      <c r="AE198" s="81">
        <f t="shared" si="83"/>
        <v>0</v>
      </c>
      <c r="AF198" s="55">
        <f t="shared" si="84"/>
        <v>0</v>
      </c>
      <c r="AG198" s="76">
        <f t="shared" si="115"/>
        <v>0</v>
      </c>
      <c r="AH198" s="82">
        <f t="shared" si="116"/>
        <v>0</v>
      </c>
      <c r="AI198" s="83">
        <f t="shared" si="116"/>
        <v>0</v>
      </c>
      <c r="AJ198" s="83">
        <f t="shared" si="116"/>
        <v>0</v>
      </c>
      <c r="AK198" s="58">
        <f t="shared" si="114"/>
        <v>0</v>
      </c>
      <c r="AL198" s="82">
        <f t="shared" si="85"/>
        <v>0</v>
      </c>
      <c r="AM198" s="58">
        <f t="shared" si="86"/>
        <v>0</v>
      </c>
      <c r="AN198" s="74"/>
      <c r="AO198" s="84"/>
      <c r="AP198" s="74"/>
      <c r="AQ198" s="85"/>
      <c r="AR198" s="74"/>
      <c r="AS198" s="74"/>
      <c r="AT198" s="74"/>
      <c r="AU198" s="55" t="str">
        <f t="shared" si="96"/>
        <v/>
      </c>
      <c r="AV198" s="55" t="str">
        <f t="shared" ca="1" si="97"/>
        <v/>
      </c>
      <c r="AW198" s="55" t="str">
        <f t="shared" si="87"/>
        <v/>
      </c>
      <c r="AX198" s="55" t="str">
        <f t="shared" ca="1" si="88"/>
        <v/>
      </c>
      <c r="AY198" s="86"/>
      <c r="AZ198" s="86"/>
      <c r="BA198" s="55" t="str">
        <f t="shared" si="98"/>
        <v/>
      </c>
      <c r="BB198" s="86"/>
      <c r="BC198" s="86"/>
      <c r="BD198" s="55" t="str">
        <f t="shared" si="99"/>
        <v/>
      </c>
      <c r="BE198" s="74"/>
      <c r="BS198" s="118"/>
      <c r="BT198" s="118"/>
      <c r="BU198" s="118"/>
      <c r="BV198" s="118"/>
      <c r="BW198" s="118"/>
      <c r="BX198" s="118"/>
      <c r="BZ198" s="118"/>
      <c r="CB198" s="118"/>
      <c r="CC198" s="118"/>
      <c r="CD198" s="118"/>
    </row>
    <row r="199" spans="1:82" ht="17.399999999999999" customHeight="1" thickBot="1">
      <c r="A199" s="87">
        <f t="shared" si="101"/>
        <v>27.700000000000003</v>
      </c>
      <c r="B199" s="113">
        <f t="shared" si="81"/>
        <v>189</v>
      </c>
      <c r="C199" s="89"/>
      <c r="D199" s="90"/>
      <c r="E199" s="91"/>
      <c r="F199" s="90"/>
      <c r="G199" s="92">
        <f t="shared" si="112"/>
        <v>0</v>
      </c>
      <c r="H199" s="93">
        <f t="shared" si="112"/>
        <v>0</v>
      </c>
      <c r="I199" s="94">
        <f t="shared" si="90"/>
        <v>0</v>
      </c>
      <c r="J199" s="95">
        <f t="shared" si="91"/>
        <v>0</v>
      </c>
      <c r="K199" s="95">
        <f t="shared" si="92"/>
        <v>0</v>
      </c>
      <c r="L199" s="95">
        <f t="shared" si="93"/>
        <v>0</v>
      </c>
      <c r="M199" s="95" t="str">
        <f t="shared" ca="1" si="94"/>
        <v/>
      </c>
      <c r="N199" s="95" t="str">
        <f t="shared" ca="1" si="94"/>
        <v/>
      </c>
      <c r="O199" s="95">
        <f t="shared" si="95"/>
        <v>5.0000000000000001E-4</v>
      </c>
      <c r="P199" s="96"/>
      <c r="Q199" s="89"/>
      <c r="R199" s="96"/>
      <c r="S199" s="78">
        <f t="shared" si="82"/>
        <v>0</v>
      </c>
      <c r="T199" s="55">
        <f t="shared" si="82"/>
        <v>0</v>
      </c>
      <c r="U199" s="97">
        <f t="shared" si="102"/>
        <v>0</v>
      </c>
      <c r="V199" s="98">
        <f t="shared" si="103"/>
        <v>0</v>
      </c>
      <c r="W199" s="99">
        <f t="shared" si="113"/>
        <v>124</v>
      </c>
      <c r="X199" s="100">
        <f t="shared" si="113"/>
        <v>144</v>
      </c>
      <c r="Y199" s="91"/>
      <c r="Z199" s="60"/>
      <c r="AA199" s="75"/>
      <c r="AB199" s="75"/>
      <c r="AC199" s="75"/>
      <c r="AD199" s="75"/>
      <c r="AE199" s="101">
        <f t="shared" si="83"/>
        <v>0</v>
      </c>
      <c r="AF199" s="93">
        <f t="shared" si="84"/>
        <v>0</v>
      </c>
      <c r="AG199" s="94">
        <f t="shared" si="115"/>
        <v>0</v>
      </c>
      <c r="AH199" s="102">
        <f t="shared" si="116"/>
        <v>0</v>
      </c>
      <c r="AI199" s="103">
        <f t="shared" si="116"/>
        <v>0</v>
      </c>
      <c r="AJ199" s="103">
        <f t="shared" si="116"/>
        <v>0</v>
      </c>
      <c r="AK199" s="95">
        <f t="shared" si="114"/>
        <v>0</v>
      </c>
      <c r="AL199" s="102">
        <f t="shared" si="85"/>
        <v>0</v>
      </c>
      <c r="AM199" s="95">
        <f t="shared" si="86"/>
        <v>0</v>
      </c>
      <c r="AN199" s="90"/>
      <c r="AO199" s="104"/>
      <c r="AP199" s="90"/>
      <c r="AQ199" s="105"/>
      <c r="AR199" s="90"/>
      <c r="AS199" s="90"/>
      <c r="AT199" s="90"/>
      <c r="AU199" s="93" t="str">
        <f t="shared" si="96"/>
        <v/>
      </c>
      <c r="AV199" s="93" t="str">
        <f t="shared" ca="1" si="97"/>
        <v/>
      </c>
      <c r="AW199" s="93" t="str">
        <f t="shared" si="87"/>
        <v/>
      </c>
      <c r="AX199" s="93" t="str">
        <f t="shared" ca="1" si="88"/>
        <v/>
      </c>
      <c r="AY199" s="106"/>
      <c r="AZ199" s="106"/>
      <c r="BA199" s="93" t="str">
        <f t="shared" si="98"/>
        <v/>
      </c>
      <c r="BB199" s="106"/>
      <c r="BC199" s="106"/>
      <c r="BD199" s="93" t="str">
        <f t="shared" si="99"/>
        <v/>
      </c>
      <c r="BE199" s="90"/>
      <c r="BS199" s="118"/>
      <c r="BT199" s="118"/>
      <c r="BU199" s="118"/>
      <c r="BV199" s="118"/>
      <c r="BW199" s="118"/>
      <c r="BX199" s="118"/>
      <c r="BZ199" s="118"/>
      <c r="CB199" s="118"/>
      <c r="CC199" s="118"/>
      <c r="CD199" s="118"/>
    </row>
    <row r="200" spans="1:82" ht="17.399999999999999" customHeight="1" thickTop="1">
      <c r="A200" s="107">
        <f>A193+1</f>
        <v>28.1</v>
      </c>
      <c r="B200" s="108">
        <f>B199+1</f>
        <v>190</v>
      </c>
      <c r="C200" s="51"/>
      <c r="D200" s="52"/>
      <c r="E200" s="53"/>
      <c r="F200" s="52"/>
      <c r="G200" s="54">
        <f t="shared" si="112"/>
        <v>0</v>
      </c>
      <c r="H200" s="55">
        <f t="shared" si="112"/>
        <v>0</v>
      </c>
      <c r="I200" s="56">
        <f t="shared" si="90"/>
        <v>0</v>
      </c>
      <c r="J200" s="57">
        <f t="shared" si="91"/>
        <v>0</v>
      </c>
      <c r="K200" s="57">
        <f t="shared" si="92"/>
        <v>0</v>
      </c>
      <c r="L200" s="57">
        <f t="shared" si="93"/>
        <v>0</v>
      </c>
      <c r="M200" s="58" t="str">
        <f t="shared" ca="1" si="94"/>
        <v/>
      </c>
      <c r="N200" s="58" t="str">
        <f t="shared" ca="1" si="94"/>
        <v/>
      </c>
      <c r="O200" s="58">
        <f t="shared" si="95"/>
        <v>5.0000000000000001E-4</v>
      </c>
      <c r="P200" s="77"/>
      <c r="Q200" s="60"/>
      <c r="R200" s="77"/>
      <c r="S200" s="109">
        <f t="shared" si="82"/>
        <v>0</v>
      </c>
      <c r="T200" s="61">
        <f t="shared" si="82"/>
        <v>0</v>
      </c>
      <c r="U200" s="62">
        <f t="shared" si="102"/>
        <v>0</v>
      </c>
      <c r="V200" s="63">
        <f t="shared" si="103"/>
        <v>0</v>
      </c>
      <c r="W200" s="64">
        <v>125</v>
      </c>
      <c r="X200" s="80">
        <v>159</v>
      </c>
      <c r="Y200" s="53"/>
      <c r="Z200" s="51"/>
      <c r="AA200" s="53"/>
      <c r="AB200" s="53"/>
      <c r="AC200" s="53"/>
      <c r="AD200" s="53"/>
      <c r="AE200" s="66">
        <f t="shared" si="83"/>
        <v>0</v>
      </c>
      <c r="AF200" s="61">
        <f t="shared" si="84"/>
        <v>0</v>
      </c>
      <c r="AG200" s="56">
        <f t="shared" si="115"/>
        <v>0</v>
      </c>
      <c r="AH200" s="67">
        <f t="shared" si="116"/>
        <v>0</v>
      </c>
      <c r="AI200" s="68">
        <f t="shared" si="116"/>
        <v>0</v>
      </c>
      <c r="AJ200" s="68">
        <f t="shared" si="116"/>
        <v>0</v>
      </c>
      <c r="AK200" s="57">
        <f t="shared" si="114"/>
        <v>0</v>
      </c>
      <c r="AL200" s="67">
        <f t="shared" si="85"/>
        <v>0</v>
      </c>
      <c r="AM200" s="57">
        <f t="shared" si="86"/>
        <v>0</v>
      </c>
      <c r="AN200" s="52"/>
      <c r="AO200" s="69"/>
      <c r="AP200" s="52"/>
      <c r="AQ200" s="70"/>
      <c r="AR200" s="52"/>
      <c r="AS200" s="52"/>
      <c r="AT200" s="52"/>
      <c r="AU200" s="61" t="str">
        <f t="shared" si="96"/>
        <v/>
      </c>
      <c r="AV200" s="61" t="str">
        <f t="shared" ca="1" si="97"/>
        <v/>
      </c>
      <c r="AW200" s="61" t="str">
        <f t="shared" si="87"/>
        <v/>
      </c>
      <c r="AX200" s="61" t="str">
        <f t="shared" ca="1" si="88"/>
        <v/>
      </c>
      <c r="AY200" s="71"/>
      <c r="AZ200" s="71"/>
      <c r="BA200" s="61" t="str">
        <f t="shared" si="98"/>
        <v/>
      </c>
      <c r="BB200" s="71"/>
      <c r="BC200" s="71"/>
      <c r="BD200" s="61" t="str">
        <f t="shared" si="99"/>
        <v/>
      </c>
      <c r="BE200" s="52"/>
      <c r="BS200" s="118"/>
      <c r="BT200" s="118"/>
      <c r="BU200" s="118"/>
      <c r="BV200" s="118"/>
      <c r="BW200" s="118"/>
      <c r="BX200" s="118"/>
      <c r="BZ200" s="118"/>
      <c r="CB200" s="118"/>
      <c r="CC200" s="118"/>
      <c r="CD200" s="118"/>
    </row>
    <row r="201" spans="1:82" ht="17.399999999999999" customHeight="1">
      <c r="A201" s="87">
        <f t="shared" si="101"/>
        <v>28.2</v>
      </c>
      <c r="B201" s="111">
        <f t="shared" si="81"/>
        <v>191</v>
      </c>
      <c r="C201" s="60"/>
      <c r="D201" s="74"/>
      <c r="E201" s="75"/>
      <c r="F201" s="74"/>
      <c r="G201" s="54">
        <f t="shared" si="112"/>
        <v>0</v>
      </c>
      <c r="H201" s="55">
        <f t="shared" si="112"/>
        <v>0</v>
      </c>
      <c r="I201" s="76">
        <f t="shared" si="90"/>
        <v>0</v>
      </c>
      <c r="J201" s="58">
        <f t="shared" si="91"/>
        <v>0</v>
      </c>
      <c r="K201" s="58">
        <f t="shared" si="92"/>
        <v>0</v>
      </c>
      <c r="L201" s="58">
        <f t="shared" si="93"/>
        <v>0</v>
      </c>
      <c r="M201" s="58" t="str">
        <f t="shared" ca="1" si="94"/>
        <v/>
      </c>
      <c r="N201" s="58" t="str">
        <f t="shared" ca="1" si="94"/>
        <v/>
      </c>
      <c r="O201" s="58">
        <f t="shared" si="95"/>
        <v>5.0000000000000001E-4</v>
      </c>
      <c r="P201" s="77"/>
      <c r="Q201" s="60"/>
      <c r="R201" s="77"/>
      <c r="S201" s="78">
        <f t="shared" si="82"/>
        <v>0</v>
      </c>
      <c r="T201" s="55">
        <f t="shared" si="82"/>
        <v>0</v>
      </c>
      <c r="U201" s="79">
        <f t="shared" si="102"/>
        <v>0</v>
      </c>
      <c r="V201" s="63">
        <f t="shared" si="103"/>
        <v>0</v>
      </c>
      <c r="W201" s="64">
        <f t="shared" ref="W201:X206" si="117">W200</f>
        <v>125</v>
      </c>
      <c r="X201" s="80">
        <f t="shared" si="117"/>
        <v>159</v>
      </c>
      <c r="Y201" s="75"/>
      <c r="Z201" s="60"/>
      <c r="AA201" s="75"/>
      <c r="AB201" s="75"/>
      <c r="AC201" s="75"/>
      <c r="AD201" s="75"/>
      <c r="AE201" s="81">
        <f t="shared" si="83"/>
        <v>0</v>
      </c>
      <c r="AF201" s="55">
        <f t="shared" si="84"/>
        <v>0</v>
      </c>
      <c r="AG201" s="76">
        <f t="shared" si="115"/>
        <v>0</v>
      </c>
      <c r="AH201" s="82">
        <f t="shared" si="116"/>
        <v>0</v>
      </c>
      <c r="AI201" s="83">
        <f t="shared" si="116"/>
        <v>0</v>
      </c>
      <c r="AJ201" s="83">
        <f t="shared" si="116"/>
        <v>0</v>
      </c>
      <c r="AK201" s="58">
        <f t="shared" si="114"/>
        <v>0</v>
      </c>
      <c r="AL201" s="82">
        <f t="shared" si="85"/>
        <v>0</v>
      </c>
      <c r="AM201" s="58">
        <f t="shared" si="86"/>
        <v>0</v>
      </c>
      <c r="AN201" s="74"/>
      <c r="AO201" s="84"/>
      <c r="AP201" s="74"/>
      <c r="AQ201" s="85"/>
      <c r="AR201" s="74"/>
      <c r="AS201" s="74"/>
      <c r="AT201" s="74"/>
      <c r="AU201" s="55" t="str">
        <f t="shared" si="96"/>
        <v/>
      </c>
      <c r="AV201" s="55" t="str">
        <f t="shared" ca="1" si="97"/>
        <v/>
      </c>
      <c r="AW201" s="55" t="str">
        <f t="shared" si="87"/>
        <v/>
      </c>
      <c r="AX201" s="55" t="str">
        <f t="shared" ca="1" si="88"/>
        <v/>
      </c>
      <c r="AY201" s="86"/>
      <c r="AZ201" s="86"/>
      <c r="BA201" s="55" t="str">
        <f t="shared" si="98"/>
        <v/>
      </c>
      <c r="BB201" s="86"/>
      <c r="BC201" s="86"/>
      <c r="BD201" s="55" t="str">
        <f t="shared" si="99"/>
        <v/>
      </c>
      <c r="BE201" s="74"/>
      <c r="BS201" s="118"/>
      <c r="BT201" s="118"/>
      <c r="BU201" s="118"/>
      <c r="BV201" s="118"/>
      <c r="BW201" s="118"/>
      <c r="BX201" s="118"/>
      <c r="BZ201" s="118"/>
      <c r="CB201" s="118"/>
      <c r="CC201" s="118"/>
      <c r="CD201" s="118"/>
    </row>
    <row r="202" spans="1:82" ht="17.399999999999999" customHeight="1">
      <c r="A202" s="72">
        <f t="shared" si="101"/>
        <v>28.3</v>
      </c>
      <c r="B202" s="111">
        <f t="shared" si="81"/>
        <v>192</v>
      </c>
      <c r="C202" s="60"/>
      <c r="D202" s="74"/>
      <c r="E202" s="75"/>
      <c r="F202" s="74"/>
      <c r="G202" s="54">
        <f t="shared" si="112"/>
        <v>0</v>
      </c>
      <c r="H202" s="55">
        <f t="shared" si="112"/>
        <v>0</v>
      </c>
      <c r="I202" s="76">
        <f t="shared" si="90"/>
        <v>0</v>
      </c>
      <c r="J202" s="58">
        <f t="shared" si="91"/>
        <v>0</v>
      </c>
      <c r="K202" s="58">
        <f t="shared" si="92"/>
        <v>0</v>
      </c>
      <c r="L202" s="58">
        <f t="shared" si="93"/>
        <v>0</v>
      </c>
      <c r="M202" s="58" t="str">
        <f t="shared" ca="1" si="94"/>
        <v/>
      </c>
      <c r="N202" s="58" t="str">
        <f t="shared" ca="1" si="94"/>
        <v/>
      </c>
      <c r="O202" s="58">
        <f t="shared" si="95"/>
        <v>5.0000000000000001E-4</v>
      </c>
      <c r="P202" s="77"/>
      <c r="Q202" s="60"/>
      <c r="R202" s="77"/>
      <c r="S202" s="78">
        <f t="shared" si="82"/>
        <v>0</v>
      </c>
      <c r="T202" s="55">
        <f t="shared" si="82"/>
        <v>0</v>
      </c>
      <c r="U202" s="79">
        <f t="shared" si="102"/>
        <v>0</v>
      </c>
      <c r="V202" s="63">
        <f t="shared" si="103"/>
        <v>0</v>
      </c>
      <c r="W202" s="64">
        <f t="shared" si="117"/>
        <v>125</v>
      </c>
      <c r="X202" s="80">
        <f t="shared" si="117"/>
        <v>159</v>
      </c>
      <c r="Y202" s="75"/>
      <c r="Z202" s="60"/>
      <c r="AA202" s="75"/>
      <c r="AB202" s="75"/>
      <c r="AC202" s="75"/>
      <c r="AD202" s="75"/>
      <c r="AE202" s="81">
        <f t="shared" si="83"/>
        <v>0</v>
      </c>
      <c r="AF202" s="55">
        <f t="shared" si="84"/>
        <v>0</v>
      </c>
      <c r="AG202" s="76">
        <f t="shared" si="115"/>
        <v>0</v>
      </c>
      <c r="AH202" s="82">
        <f t="shared" si="116"/>
        <v>0</v>
      </c>
      <c r="AI202" s="83">
        <f t="shared" si="116"/>
        <v>0</v>
      </c>
      <c r="AJ202" s="83">
        <f t="shared" si="116"/>
        <v>0</v>
      </c>
      <c r="AK202" s="58">
        <f t="shared" si="114"/>
        <v>0</v>
      </c>
      <c r="AL202" s="82">
        <f t="shared" si="85"/>
        <v>0</v>
      </c>
      <c r="AM202" s="58">
        <f t="shared" si="86"/>
        <v>0</v>
      </c>
      <c r="AN202" s="74"/>
      <c r="AO202" s="84"/>
      <c r="AP202" s="74"/>
      <c r="AQ202" s="85"/>
      <c r="AR202" s="74"/>
      <c r="AS202" s="74"/>
      <c r="AT202" s="74"/>
      <c r="AU202" s="55" t="str">
        <f t="shared" si="96"/>
        <v/>
      </c>
      <c r="AV202" s="55" t="str">
        <f t="shared" ca="1" si="97"/>
        <v/>
      </c>
      <c r="AW202" s="55" t="str">
        <f t="shared" si="87"/>
        <v/>
      </c>
      <c r="AX202" s="55" t="str">
        <f t="shared" ca="1" si="88"/>
        <v/>
      </c>
      <c r="AY202" s="86"/>
      <c r="AZ202" s="86"/>
      <c r="BA202" s="55" t="str">
        <f t="shared" si="98"/>
        <v/>
      </c>
      <c r="BB202" s="86"/>
      <c r="BC202" s="86"/>
      <c r="BD202" s="55" t="str">
        <f t="shared" si="99"/>
        <v/>
      </c>
      <c r="BE202" s="74"/>
      <c r="BS202" s="118"/>
      <c r="BT202" s="118"/>
      <c r="BU202" s="118"/>
      <c r="BV202" s="118"/>
      <c r="BW202" s="118"/>
      <c r="BX202" s="118"/>
      <c r="BZ202" s="118"/>
      <c r="CB202" s="118"/>
      <c r="CC202" s="118"/>
      <c r="CD202" s="118"/>
    </row>
    <row r="203" spans="1:82" ht="17.399999999999999" customHeight="1">
      <c r="A203" s="87">
        <f t="shared" si="101"/>
        <v>28.4</v>
      </c>
      <c r="B203" s="111">
        <f t="shared" ref="B203:B266" si="118">B202+1</f>
        <v>193</v>
      </c>
      <c r="C203" s="60"/>
      <c r="D203" s="74"/>
      <c r="E203" s="75"/>
      <c r="F203" s="74"/>
      <c r="G203" s="54">
        <f t="shared" si="112"/>
        <v>0</v>
      </c>
      <c r="H203" s="55">
        <f t="shared" si="112"/>
        <v>0</v>
      </c>
      <c r="I203" s="76">
        <f t="shared" si="90"/>
        <v>0</v>
      </c>
      <c r="J203" s="58">
        <f t="shared" si="91"/>
        <v>0</v>
      </c>
      <c r="K203" s="58">
        <f t="shared" si="92"/>
        <v>0</v>
      </c>
      <c r="L203" s="58">
        <f t="shared" si="93"/>
        <v>0</v>
      </c>
      <c r="M203" s="58" t="str">
        <f t="shared" ca="1" si="94"/>
        <v/>
      </c>
      <c r="N203" s="58" t="str">
        <f t="shared" ca="1" si="94"/>
        <v/>
      </c>
      <c r="O203" s="58">
        <f t="shared" si="95"/>
        <v>5.0000000000000001E-4</v>
      </c>
      <c r="P203" s="77"/>
      <c r="Q203" s="60"/>
      <c r="R203" s="77"/>
      <c r="S203" s="78">
        <f t="shared" ref="S203:T266" si="119">IF($P203="FULL FEED",Q203,Q203*2)</f>
        <v>0</v>
      </c>
      <c r="T203" s="55">
        <f t="shared" si="119"/>
        <v>0</v>
      </c>
      <c r="U203" s="79">
        <f t="shared" si="102"/>
        <v>0</v>
      </c>
      <c r="V203" s="63">
        <f t="shared" si="103"/>
        <v>0</v>
      </c>
      <c r="W203" s="64">
        <f t="shared" si="117"/>
        <v>125</v>
      </c>
      <c r="X203" s="80">
        <f t="shared" si="117"/>
        <v>159</v>
      </c>
      <c r="Y203" s="75"/>
      <c r="Z203" s="60"/>
      <c r="AA203" s="75"/>
      <c r="AB203" s="75"/>
      <c r="AC203" s="75"/>
      <c r="AD203" s="75"/>
      <c r="AE203" s="81">
        <f t="shared" ref="AE203:AE266" si="120">SUM(Z203,AA203,AB203,AC203)</f>
        <v>0</v>
      </c>
      <c r="AF203" s="55">
        <f t="shared" ref="AF203:AF266" si="121">Y203-AE203</f>
        <v>0</v>
      </c>
      <c r="AG203" s="76">
        <f t="shared" si="115"/>
        <v>0</v>
      </c>
      <c r="AH203" s="82">
        <f t="shared" si="116"/>
        <v>0</v>
      </c>
      <c r="AI203" s="83">
        <f t="shared" si="116"/>
        <v>0</v>
      </c>
      <c r="AJ203" s="83">
        <f t="shared" si="116"/>
        <v>0</v>
      </c>
      <c r="AK203" s="58">
        <f t="shared" si="114"/>
        <v>0</v>
      </c>
      <c r="AL203" s="82">
        <f t="shared" ref="AL203:AL266" si="122">IFERROR(AE203/Y203,0)</f>
        <v>0</v>
      </c>
      <c r="AM203" s="58">
        <f t="shared" ref="AM203:AM266" si="123">IFERROR(AF203/Y203,0)</f>
        <v>0</v>
      </c>
      <c r="AN203" s="74"/>
      <c r="AO203" s="84"/>
      <c r="AP203" s="74"/>
      <c r="AQ203" s="85"/>
      <c r="AR203" s="74"/>
      <c r="AS203" s="74"/>
      <c r="AT203" s="74"/>
      <c r="AU203" s="55" t="str">
        <f t="shared" si="96"/>
        <v/>
      </c>
      <c r="AV203" s="55" t="str">
        <f t="shared" ca="1" si="97"/>
        <v/>
      </c>
      <c r="AW203" s="55" t="str">
        <f t="shared" ref="AW203:AW266" si="124">IFERROR(IF(OR(AR203="",AT203="",K203="",L203=""),"", ((AT203-AR203)/100*1000)/(U203+V203)),0)</f>
        <v/>
      </c>
      <c r="AX203" s="55" t="str">
        <f t="shared" ref="AX203:AX266" ca="1" si="125">IF(OR(AR203="",AR204="",M203="",N203=""),"", ((AR204-AR203)/100*1000)/((G203+H203))*1000)</f>
        <v/>
      </c>
      <c r="AY203" s="86"/>
      <c r="AZ203" s="86"/>
      <c r="BA203" s="55" t="str">
        <f t="shared" si="98"/>
        <v/>
      </c>
      <c r="BB203" s="86"/>
      <c r="BC203" s="86"/>
      <c r="BD203" s="55" t="str">
        <f t="shared" si="99"/>
        <v/>
      </c>
      <c r="BE203" s="74"/>
      <c r="BS203" s="118"/>
      <c r="BT203" s="118"/>
      <c r="BU203" s="118"/>
      <c r="BV203" s="118"/>
      <c r="BW203" s="118"/>
      <c r="BX203" s="118"/>
      <c r="BZ203" s="118"/>
      <c r="CB203" s="118"/>
      <c r="CC203" s="118"/>
      <c r="CD203" s="118"/>
    </row>
    <row r="204" spans="1:82" ht="17.399999999999999" customHeight="1">
      <c r="A204" s="72">
        <f t="shared" si="101"/>
        <v>28.5</v>
      </c>
      <c r="B204" s="111">
        <f t="shared" si="118"/>
        <v>194</v>
      </c>
      <c r="C204" s="60"/>
      <c r="D204" s="74"/>
      <c r="E204" s="75"/>
      <c r="F204" s="74"/>
      <c r="G204" s="54">
        <f t="shared" ref="G204:H219" si="126">G203-E204-C204</f>
        <v>0</v>
      </c>
      <c r="H204" s="55">
        <f t="shared" si="126"/>
        <v>0</v>
      </c>
      <c r="I204" s="76">
        <f t="shared" ref="I204:I267" si="127">IFERROR(C204/G203,0)</f>
        <v>0</v>
      </c>
      <c r="J204" s="58">
        <f t="shared" ref="J204:J267" si="128">IFERROR(E204/G203,0)</f>
        <v>0</v>
      </c>
      <c r="K204" s="58">
        <f t="shared" ref="K204:K267" si="129">IFERROR(D204/H203,0)</f>
        <v>0</v>
      </c>
      <c r="L204" s="58">
        <f t="shared" ref="L204:L267" si="130">IFERROR(F204/H203,0)</f>
        <v>0</v>
      </c>
      <c r="M204" s="58" t="str">
        <f t="shared" ref="M204:N267" ca="1" si="131">IF(ROW()=11,
   IF($B$4&gt;0,E204/$B$4,""),
   IF($B$4&gt;0,
      (OFFSET(M204,-1,0)*$B$4 + E204)/$B$4,
      "")
)</f>
        <v/>
      </c>
      <c r="N204" s="58" t="str">
        <f t="shared" ca="1" si="131"/>
        <v/>
      </c>
      <c r="O204" s="58">
        <f t="shared" ref="O204:O267" si="132">$O$10</f>
        <v>5.0000000000000001E-4</v>
      </c>
      <c r="P204" s="77"/>
      <c r="Q204" s="60"/>
      <c r="R204" s="77"/>
      <c r="S204" s="78">
        <f t="shared" si="119"/>
        <v>0</v>
      </c>
      <c r="T204" s="55">
        <f t="shared" si="119"/>
        <v>0</v>
      </c>
      <c r="U204" s="79">
        <f t="shared" si="102"/>
        <v>0</v>
      </c>
      <c r="V204" s="63">
        <f t="shared" si="103"/>
        <v>0</v>
      </c>
      <c r="W204" s="64">
        <f t="shared" si="117"/>
        <v>125</v>
      </c>
      <c r="X204" s="80">
        <f t="shared" si="117"/>
        <v>159</v>
      </c>
      <c r="Y204" s="75"/>
      <c r="Z204" s="60"/>
      <c r="AA204" s="75"/>
      <c r="AB204" s="75"/>
      <c r="AC204" s="75"/>
      <c r="AD204" s="75"/>
      <c r="AE204" s="81">
        <f t="shared" si="120"/>
        <v>0</v>
      </c>
      <c r="AF204" s="55">
        <f t="shared" si="121"/>
        <v>0</v>
      </c>
      <c r="AG204" s="76">
        <f t="shared" si="115"/>
        <v>0</v>
      </c>
      <c r="AH204" s="82">
        <f t="shared" si="116"/>
        <v>0</v>
      </c>
      <c r="AI204" s="83">
        <f t="shared" si="116"/>
        <v>0</v>
      </c>
      <c r="AJ204" s="83">
        <f t="shared" si="116"/>
        <v>0</v>
      </c>
      <c r="AK204" s="58">
        <f t="shared" si="114"/>
        <v>0</v>
      </c>
      <c r="AL204" s="82">
        <f t="shared" si="122"/>
        <v>0</v>
      </c>
      <c r="AM204" s="58">
        <f t="shared" si="123"/>
        <v>0</v>
      </c>
      <c r="AN204" s="74"/>
      <c r="AO204" s="84"/>
      <c r="AP204" s="74"/>
      <c r="AQ204" s="85"/>
      <c r="AR204" s="74"/>
      <c r="AS204" s="74"/>
      <c r="AT204" s="74"/>
      <c r="AU204" s="55" t="str">
        <f t="shared" ref="AU204:AU267" si="133">IF(OR(AT204="",AR204=""),"", (AT204-AR204)/100*1000)</f>
        <v/>
      </c>
      <c r="AV204" s="55" t="str">
        <f t="shared" ref="AV204:AV267" ca="1" si="134">IF(OR(AR205="",OFFSET(AR205,-1,0)=""),"", (AR205-OFFSET(AR205,-1,0))/100*1000)</f>
        <v/>
      </c>
      <c r="AW204" s="55" t="str">
        <f t="shared" si="124"/>
        <v/>
      </c>
      <c r="AX204" s="55" t="str">
        <f t="shared" ca="1" si="125"/>
        <v/>
      </c>
      <c r="AY204" s="86"/>
      <c r="AZ204" s="86"/>
      <c r="BA204" s="55" t="str">
        <f t="shared" ref="BA204:BA267" si="135">IF(OR(AY204="",AZ204=""),"",MOD(AZ204-AY204,1)*24)</f>
        <v/>
      </c>
      <c r="BB204" s="86"/>
      <c r="BC204" s="86"/>
      <c r="BD204" s="55" t="str">
        <f t="shared" ref="BD204:BD267" si="136">IF(OR(BB204="",BC204=""),"",MOD(BC204-BB204,1)*24)</f>
        <v/>
      </c>
      <c r="BE204" s="74"/>
      <c r="BS204" s="118"/>
      <c r="BT204" s="118"/>
      <c r="BU204" s="118"/>
      <c r="BV204" s="118"/>
      <c r="BW204" s="118"/>
      <c r="BX204" s="118"/>
      <c r="BZ204" s="118"/>
      <c r="CB204" s="118"/>
      <c r="CC204" s="118"/>
      <c r="CD204" s="118"/>
    </row>
    <row r="205" spans="1:82" ht="17.399999999999999" customHeight="1">
      <c r="A205" s="87">
        <f t="shared" si="101"/>
        <v>28.6</v>
      </c>
      <c r="B205" s="111">
        <f t="shared" si="118"/>
        <v>195</v>
      </c>
      <c r="C205" s="60"/>
      <c r="D205" s="74"/>
      <c r="E205" s="75"/>
      <c r="F205" s="74"/>
      <c r="G205" s="54">
        <f t="shared" si="126"/>
        <v>0</v>
      </c>
      <c r="H205" s="55">
        <f t="shared" si="126"/>
        <v>0</v>
      </c>
      <c r="I205" s="76">
        <f t="shared" si="127"/>
        <v>0</v>
      </c>
      <c r="J205" s="58">
        <f t="shared" si="128"/>
        <v>0</v>
      </c>
      <c r="K205" s="58">
        <f t="shared" si="129"/>
        <v>0</v>
      </c>
      <c r="L205" s="58">
        <f t="shared" si="130"/>
        <v>0</v>
      </c>
      <c r="M205" s="58" t="str">
        <f t="shared" ca="1" si="131"/>
        <v/>
      </c>
      <c r="N205" s="58" t="str">
        <f t="shared" ca="1" si="131"/>
        <v/>
      </c>
      <c r="O205" s="58">
        <f t="shared" si="132"/>
        <v>5.0000000000000001E-4</v>
      </c>
      <c r="P205" s="77"/>
      <c r="Q205" s="60"/>
      <c r="R205" s="77"/>
      <c r="S205" s="78">
        <f t="shared" si="119"/>
        <v>0</v>
      </c>
      <c r="T205" s="55">
        <f t="shared" si="119"/>
        <v>0</v>
      </c>
      <c r="U205" s="79">
        <f t="shared" si="102"/>
        <v>0</v>
      </c>
      <c r="V205" s="63">
        <f t="shared" si="103"/>
        <v>0</v>
      </c>
      <c r="W205" s="64">
        <f t="shared" si="117"/>
        <v>125</v>
      </c>
      <c r="X205" s="80">
        <f t="shared" si="117"/>
        <v>159</v>
      </c>
      <c r="Y205" s="75"/>
      <c r="Z205" s="60"/>
      <c r="AA205" s="75"/>
      <c r="AB205" s="75"/>
      <c r="AC205" s="75"/>
      <c r="AD205" s="75"/>
      <c r="AE205" s="81">
        <f t="shared" si="120"/>
        <v>0</v>
      </c>
      <c r="AF205" s="55">
        <f t="shared" si="121"/>
        <v>0</v>
      </c>
      <c r="AG205" s="76">
        <f t="shared" si="115"/>
        <v>0</v>
      </c>
      <c r="AH205" s="82">
        <f t="shared" si="116"/>
        <v>0</v>
      </c>
      <c r="AI205" s="83">
        <f t="shared" si="116"/>
        <v>0</v>
      </c>
      <c r="AJ205" s="83">
        <f t="shared" si="116"/>
        <v>0</v>
      </c>
      <c r="AK205" s="58">
        <f t="shared" si="114"/>
        <v>0</v>
      </c>
      <c r="AL205" s="82">
        <f t="shared" si="122"/>
        <v>0</v>
      </c>
      <c r="AM205" s="58">
        <f t="shared" si="123"/>
        <v>0</v>
      </c>
      <c r="AN205" s="74"/>
      <c r="AO205" s="84"/>
      <c r="AP205" s="74"/>
      <c r="AQ205" s="85"/>
      <c r="AR205" s="74"/>
      <c r="AS205" s="74"/>
      <c r="AT205" s="74"/>
      <c r="AU205" s="55" t="str">
        <f t="shared" si="133"/>
        <v/>
      </c>
      <c r="AV205" s="55" t="str">
        <f t="shared" ca="1" si="134"/>
        <v/>
      </c>
      <c r="AW205" s="55" t="str">
        <f t="shared" si="124"/>
        <v/>
      </c>
      <c r="AX205" s="55" t="str">
        <f t="shared" ca="1" si="125"/>
        <v/>
      </c>
      <c r="AY205" s="86"/>
      <c r="AZ205" s="86"/>
      <c r="BA205" s="55" t="str">
        <f t="shared" si="135"/>
        <v/>
      </c>
      <c r="BB205" s="86"/>
      <c r="BC205" s="86"/>
      <c r="BD205" s="55" t="str">
        <f t="shared" si="136"/>
        <v/>
      </c>
      <c r="BE205" s="74"/>
      <c r="BS205" s="118"/>
      <c r="BT205" s="118"/>
      <c r="BU205" s="118"/>
      <c r="BV205" s="118"/>
      <c r="BW205" s="118"/>
      <c r="BX205" s="118"/>
      <c r="BZ205" s="118"/>
      <c r="CB205" s="118"/>
      <c r="CC205" s="118"/>
      <c r="CD205" s="118"/>
    </row>
    <row r="206" spans="1:82" ht="17.399999999999999" customHeight="1" thickBot="1">
      <c r="A206" s="72">
        <f t="shared" si="101"/>
        <v>28.700000000000003</v>
      </c>
      <c r="B206" s="113">
        <f t="shared" si="118"/>
        <v>196</v>
      </c>
      <c r="C206" s="89"/>
      <c r="D206" s="90"/>
      <c r="E206" s="91"/>
      <c r="F206" s="90"/>
      <c r="G206" s="92">
        <f t="shared" si="126"/>
        <v>0</v>
      </c>
      <c r="H206" s="93">
        <f t="shared" si="126"/>
        <v>0</v>
      </c>
      <c r="I206" s="94">
        <f t="shared" si="127"/>
        <v>0</v>
      </c>
      <c r="J206" s="95">
        <f t="shared" si="128"/>
        <v>0</v>
      </c>
      <c r="K206" s="95">
        <f t="shared" si="129"/>
        <v>0</v>
      </c>
      <c r="L206" s="95">
        <f t="shared" si="130"/>
        <v>0</v>
      </c>
      <c r="M206" s="95" t="str">
        <f t="shared" ca="1" si="131"/>
        <v/>
      </c>
      <c r="N206" s="95" t="str">
        <f t="shared" ca="1" si="131"/>
        <v/>
      </c>
      <c r="O206" s="95">
        <f t="shared" si="132"/>
        <v>5.0000000000000001E-4</v>
      </c>
      <c r="P206" s="96"/>
      <c r="Q206" s="89"/>
      <c r="R206" s="96"/>
      <c r="S206" s="78">
        <f t="shared" si="119"/>
        <v>0</v>
      </c>
      <c r="T206" s="55">
        <f t="shared" si="119"/>
        <v>0</v>
      </c>
      <c r="U206" s="97">
        <f t="shared" si="102"/>
        <v>0</v>
      </c>
      <c r="V206" s="98">
        <f t="shared" si="103"/>
        <v>0</v>
      </c>
      <c r="W206" s="99">
        <f t="shared" si="117"/>
        <v>125</v>
      </c>
      <c r="X206" s="100">
        <f t="shared" si="117"/>
        <v>159</v>
      </c>
      <c r="Y206" s="91"/>
      <c r="Z206" s="60"/>
      <c r="AA206" s="75"/>
      <c r="AB206" s="75"/>
      <c r="AC206" s="75"/>
      <c r="AD206" s="75"/>
      <c r="AE206" s="101">
        <f t="shared" si="120"/>
        <v>0</v>
      </c>
      <c r="AF206" s="93">
        <f t="shared" si="121"/>
        <v>0</v>
      </c>
      <c r="AG206" s="94">
        <f t="shared" si="115"/>
        <v>0</v>
      </c>
      <c r="AH206" s="102">
        <f t="shared" si="116"/>
        <v>0</v>
      </c>
      <c r="AI206" s="103">
        <f t="shared" si="116"/>
        <v>0</v>
      </c>
      <c r="AJ206" s="103">
        <f t="shared" si="116"/>
        <v>0</v>
      </c>
      <c r="AK206" s="95">
        <f t="shared" si="114"/>
        <v>0</v>
      </c>
      <c r="AL206" s="102">
        <f t="shared" si="122"/>
        <v>0</v>
      </c>
      <c r="AM206" s="95">
        <f t="shared" si="123"/>
        <v>0</v>
      </c>
      <c r="AN206" s="90"/>
      <c r="AO206" s="104"/>
      <c r="AP206" s="90"/>
      <c r="AQ206" s="105"/>
      <c r="AR206" s="90"/>
      <c r="AS206" s="90"/>
      <c r="AT206" s="90"/>
      <c r="AU206" s="93" t="str">
        <f t="shared" si="133"/>
        <v/>
      </c>
      <c r="AV206" s="93" t="str">
        <f t="shared" ca="1" si="134"/>
        <v/>
      </c>
      <c r="AW206" s="93" t="str">
        <f t="shared" si="124"/>
        <v/>
      </c>
      <c r="AX206" s="93" t="str">
        <f t="shared" ca="1" si="125"/>
        <v/>
      </c>
      <c r="AY206" s="106"/>
      <c r="AZ206" s="106"/>
      <c r="BA206" s="93" t="str">
        <f t="shared" si="135"/>
        <v/>
      </c>
      <c r="BB206" s="106"/>
      <c r="BC206" s="106"/>
      <c r="BD206" s="93" t="str">
        <f t="shared" si="136"/>
        <v/>
      </c>
      <c r="BE206" s="90"/>
      <c r="BS206" s="118"/>
      <c r="BT206" s="118"/>
      <c r="BU206" s="118"/>
      <c r="BV206" s="118"/>
      <c r="BW206" s="118"/>
      <c r="BX206" s="118"/>
      <c r="BZ206" s="118"/>
      <c r="CB206" s="118"/>
      <c r="CC206" s="118"/>
      <c r="CD206" s="118"/>
    </row>
    <row r="207" spans="1:82" ht="17.399999999999999" customHeight="1" thickTop="1">
      <c r="A207" s="49">
        <f>A200+1</f>
        <v>29.1</v>
      </c>
      <c r="B207" s="108">
        <f>B206+1</f>
        <v>197</v>
      </c>
      <c r="C207" s="51"/>
      <c r="D207" s="52"/>
      <c r="E207" s="53"/>
      <c r="F207" s="52"/>
      <c r="G207" s="54">
        <f t="shared" si="126"/>
        <v>0</v>
      </c>
      <c r="H207" s="55">
        <f t="shared" si="126"/>
        <v>0</v>
      </c>
      <c r="I207" s="56">
        <f t="shared" si="127"/>
        <v>0</v>
      </c>
      <c r="J207" s="57">
        <f t="shared" si="128"/>
        <v>0</v>
      </c>
      <c r="K207" s="57">
        <f t="shared" si="129"/>
        <v>0</v>
      </c>
      <c r="L207" s="57">
        <f t="shared" si="130"/>
        <v>0</v>
      </c>
      <c r="M207" s="58" t="str">
        <f t="shared" ca="1" si="131"/>
        <v/>
      </c>
      <c r="N207" s="58" t="str">
        <f t="shared" ca="1" si="131"/>
        <v/>
      </c>
      <c r="O207" s="58">
        <f t="shared" si="132"/>
        <v>5.0000000000000001E-4</v>
      </c>
      <c r="P207" s="77"/>
      <c r="Q207" s="60"/>
      <c r="R207" s="77"/>
      <c r="S207" s="109">
        <f t="shared" si="119"/>
        <v>0</v>
      </c>
      <c r="T207" s="61">
        <f t="shared" si="119"/>
        <v>0</v>
      </c>
      <c r="U207" s="62">
        <f t="shared" si="102"/>
        <v>0</v>
      </c>
      <c r="V207" s="63">
        <f t="shared" si="103"/>
        <v>0</v>
      </c>
      <c r="W207" s="64">
        <v>126</v>
      </c>
      <c r="X207" s="80">
        <v>169</v>
      </c>
      <c r="Y207" s="53"/>
      <c r="Z207" s="51"/>
      <c r="AA207" s="53"/>
      <c r="AB207" s="53"/>
      <c r="AC207" s="53"/>
      <c r="AD207" s="53"/>
      <c r="AE207" s="66">
        <f t="shared" si="120"/>
        <v>0</v>
      </c>
      <c r="AF207" s="61">
        <f t="shared" si="121"/>
        <v>0</v>
      </c>
      <c r="AG207" s="56">
        <f t="shared" si="115"/>
        <v>0</v>
      </c>
      <c r="AH207" s="67">
        <f t="shared" si="116"/>
        <v>0</v>
      </c>
      <c r="AI207" s="68">
        <f t="shared" si="116"/>
        <v>0</v>
      </c>
      <c r="AJ207" s="68">
        <f t="shared" si="116"/>
        <v>0</v>
      </c>
      <c r="AK207" s="57">
        <f t="shared" si="114"/>
        <v>0</v>
      </c>
      <c r="AL207" s="67">
        <f t="shared" si="122"/>
        <v>0</v>
      </c>
      <c r="AM207" s="57">
        <f t="shared" si="123"/>
        <v>0</v>
      </c>
      <c r="AN207" s="52"/>
      <c r="AO207" s="69"/>
      <c r="AP207" s="52"/>
      <c r="AQ207" s="70"/>
      <c r="AR207" s="52"/>
      <c r="AS207" s="52"/>
      <c r="AT207" s="52"/>
      <c r="AU207" s="61" t="str">
        <f t="shared" si="133"/>
        <v/>
      </c>
      <c r="AV207" s="61" t="str">
        <f t="shared" ca="1" si="134"/>
        <v/>
      </c>
      <c r="AW207" s="61" t="str">
        <f t="shared" si="124"/>
        <v/>
      </c>
      <c r="AX207" s="61" t="str">
        <f t="shared" ca="1" si="125"/>
        <v/>
      </c>
      <c r="AY207" s="71"/>
      <c r="AZ207" s="71"/>
      <c r="BA207" s="61" t="str">
        <f t="shared" si="135"/>
        <v/>
      </c>
      <c r="BB207" s="71"/>
      <c r="BC207" s="71"/>
      <c r="BD207" s="61" t="str">
        <f t="shared" si="136"/>
        <v/>
      </c>
      <c r="BE207" s="52"/>
      <c r="BS207" s="118"/>
      <c r="BT207" s="118"/>
      <c r="BU207" s="118"/>
      <c r="BV207" s="118"/>
      <c r="BW207" s="118"/>
      <c r="BX207" s="118"/>
      <c r="BZ207" s="118"/>
      <c r="CB207" s="118"/>
      <c r="CC207" s="118"/>
      <c r="CD207" s="118"/>
    </row>
    <row r="208" spans="1:82" ht="17.399999999999999" customHeight="1">
      <c r="A208" s="72">
        <f t="shared" si="101"/>
        <v>29.2</v>
      </c>
      <c r="B208" s="111">
        <f t="shared" si="118"/>
        <v>198</v>
      </c>
      <c r="C208" s="60"/>
      <c r="D208" s="74"/>
      <c r="E208" s="75"/>
      <c r="F208" s="74"/>
      <c r="G208" s="54">
        <f t="shared" si="126"/>
        <v>0</v>
      </c>
      <c r="H208" s="55">
        <f t="shared" si="126"/>
        <v>0</v>
      </c>
      <c r="I208" s="76">
        <f t="shared" si="127"/>
        <v>0</v>
      </c>
      <c r="J208" s="58">
        <f t="shared" si="128"/>
        <v>0</v>
      </c>
      <c r="K208" s="58">
        <f t="shared" si="129"/>
        <v>0</v>
      </c>
      <c r="L208" s="58">
        <f t="shared" si="130"/>
        <v>0</v>
      </c>
      <c r="M208" s="58" t="str">
        <f t="shared" ca="1" si="131"/>
        <v/>
      </c>
      <c r="N208" s="58" t="str">
        <f t="shared" ca="1" si="131"/>
        <v/>
      </c>
      <c r="O208" s="58">
        <f t="shared" si="132"/>
        <v>5.0000000000000001E-4</v>
      </c>
      <c r="P208" s="77"/>
      <c r="Q208" s="60"/>
      <c r="R208" s="77"/>
      <c r="S208" s="78">
        <f t="shared" si="119"/>
        <v>0</v>
      </c>
      <c r="T208" s="55">
        <f t="shared" si="119"/>
        <v>0</v>
      </c>
      <c r="U208" s="79">
        <f t="shared" si="102"/>
        <v>0</v>
      </c>
      <c r="V208" s="63">
        <f t="shared" si="103"/>
        <v>0</v>
      </c>
      <c r="W208" s="64">
        <f t="shared" ref="W208:X223" si="137">W207</f>
        <v>126</v>
      </c>
      <c r="X208" s="80">
        <f t="shared" si="137"/>
        <v>169</v>
      </c>
      <c r="Y208" s="75"/>
      <c r="Z208" s="60"/>
      <c r="AA208" s="75"/>
      <c r="AB208" s="75"/>
      <c r="AC208" s="75"/>
      <c r="AD208" s="120"/>
      <c r="AE208" s="81">
        <f t="shared" si="120"/>
        <v>0</v>
      </c>
      <c r="AF208" s="55">
        <f t="shared" si="121"/>
        <v>0</v>
      </c>
      <c r="AG208" s="76">
        <f t="shared" si="115"/>
        <v>0</v>
      </c>
      <c r="AH208" s="82">
        <f t="shared" si="116"/>
        <v>0</v>
      </c>
      <c r="AI208" s="83">
        <f t="shared" si="116"/>
        <v>0</v>
      </c>
      <c r="AJ208" s="83">
        <f t="shared" si="116"/>
        <v>0</v>
      </c>
      <c r="AK208" s="58">
        <f t="shared" si="114"/>
        <v>0</v>
      </c>
      <c r="AL208" s="82">
        <f t="shared" si="122"/>
        <v>0</v>
      </c>
      <c r="AM208" s="58">
        <f t="shared" si="123"/>
        <v>0</v>
      </c>
      <c r="AN208" s="74"/>
      <c r="AO208" s="84"/>
      <c r="AP208" s="74"/>
      <c r="AQ208" s="85"/>
      <c r="AR208" s="74"/>
      <c r="AS208" s="74"/>
      <c r="AT208" s="74"/>
      <c r="AU208" s="55" t="str">
        <f t="shared" si="133"/>
        <v/>
      </c>
      <c r="AV208" s="55" t="str">
        <f t="shared" ca="1" si="134"/>
        <v/>
      </c>
      <c r="AW208" s="55" t="str">
        <f t="shared" si="124"/>
        <v/>
      </c>
      <c r="AX208" s="55" t="str">
        <f t="shared" ca="1" si="125"/>
        <v/>
      </c>
      <c r="AY208" s="86"/>
      <c r="AZ208" s="86"/>
      <c r="BA208" s="55" t="str">
        <f t="shared" si="135"/>
        <v/>
      </c>
      <c r="BB208" s="86"/>
      <c r="BC208" s="86"/>
      <c r="BD208" s="55" t="str">
        <f t="shared" si="136"/>
        <v/>
      </c>
      <c r="BE208" s="74"/>
      <c r="BS208" s="118"/>
      <c r="BT208" s="118"/>
      <c r="BU208" s="118"/>
      <c r="BV208" s="118"/>
      <c r="BW208" s="118"/>
      <c r="BX208" s="118"/>
      <c r="BZ208" s="118"/>
      <c r="CB208" s="118"/>
      <c r="CC208" s="118"/>
      <c r="CD208" s="118"/>
    </row>
    <row r="209" spans="1:82" ht="17.399999999999999" customHeight="1">
      <c r="A209" s="87">
        <f t="shared" si="101"/>
        <v>29.3</v>
      </c>
      <c r="B209" s="111">
        <f t="shared" si="118"/>
        <v>199</v>
      </c>
      <c r="C209" s="60"/>
      <c r="D209" s="74"/>
      <c r="E209" s="75"/>
      <c r="F209" s="74"/>
      <c r="G209" s="54">
        <f t="shared" si="126"/>
        <v>0</v>
      </c>
      <c r="H209" s="55">
        <f t="shared" si="126"/>
        <v>0</v>
      </c>
      <c r="I209" s="76">
        <f t="shared" si="127"/>
        <v>0</v>
      </c>
      <c r="J209" s="58">
        <f t="shared" si="128"/>
        <v>0</v>
      </c>
      <c r="K209" s="58">
        <f t="shared" si="129"/>
        <v>0</v>
      </c>
      <c r="L209" s="58">
        <f t="shared" si="130"/>
        <v>0</v>
      </c>
      <c r="M209" s="58" t="str">
        <f t="shared" ca="1" si="131"/>
        <v/>
      </c>
      <c r="N209" s="58" t="str">
        <f t="shared" ca="1" si="131"/>
        <v/>
      </c>
      <c r="O209" s="58">
        <f t="shared" si="132"/>
        <v>5.0000000000000001E-4</v>
      </c>
      <c r="P209" s="77"/>
      <c r="Q209" s="60"/>
      <c r="R209" s="77"/>
      <c r="S209" s="78">
        <f t="shared" si="119"/>
        <v>0</v>
      </c>
      <c r="T209" s="55">
        <f t="shared" si="119"/>
        <v>0</v>
      </c>
      <c r="U209" s="79">
        <f t="shared" si="102"/>
        <v>0</v>
      </c>
      <c r="V209" s="63">
        <f t="shared" si="103"/>
        <v>0</v>
      </c>
      <c r="W209" s="64">
        <f t="shared" si="137"/>
        <v>126</v>
      </c>
      <c r="X209" s="80">
        <f t="shared" si="137"/>
        <v>169</v>
      </c>
      <c r="Y209" s="75"/>
      <c r="Z209" s="60"/>
      <c r="AA209" s="75"/>
      <c r="AB209" s="75"/>
      <c r="AC209" s="75"/>
      <c r="AD209" s="120"/>
      <c r="AE209" s="81">
        <f t="shared" si="120"/>
        <v>0</v>
      </c>
      <c r="AF209" s="55">
        <f t="shared" si="121"/>
        <v>0</v>
      </c>
      <c r="AG209" s="76">
        <f t="shared" si="115"/>
        <v>0</v>
      </c>
      <c r="AH209" s="82">
        <f t="shared" si="116"/>
        <v>0</v>
      </c>
      <c r="AI209" s="83">
        <f t="shared" si="116"/>
        <v>0</v>
      </c>
      <c r="AJ209" s="83">
        <f t="shared" si="116"/>
        <v>0</v>
      </c>
      <c r="AK209" s="58">
        <f t="shared" si="114"/>
        <v>0</v>
      </c>
      <c r="AL209" s="82">
        <f t="shared" si="122"/>
        <v>0</v>
      </c>
      <c r="AM209" s="58">
        <f t="shared" si="123"/>
        <v>0</v>
      </c>
      <c r="AN209" s="74"/>
      <c r="AO209" s="84"/>
      <c r="AP209" s="74"/>
      <c r="AQ209" s="85"/>
      <c r="AR209" s="74"/>
      <c r="AS209" s="74"/>
      <c r="AT209" s="74"/>
      <c r="AU209" s="55" t="str">
        <f t="shared" si="133"/>
        <v/>
      </c>
      <c r="AV209" s="55" t="str">
        <f t="shared" ca="1" si="134"/>
        <v/>
      </c>
      <c r="AW209" s="55" t="str">
        <f t="shared" si="124"/>
        <v/>
      </c>
      <c r="AX209" s="55" t="str">
        <f t="shared" ca="1" si="125"/>
        <v/>
      </c>
      <c r="AY209" s="86"/>
      <c r="AZ209" s="86"/>
      <c r="BA209" s="55" t="str">
        <f t="shared" si="135"/>
        <v/>
      </c>
      <c r="BB209" s="86"/>
      <c r="BC209" s="86"/>
      <c r="BD209" s="55" t="str">
        <f t="shared" si="136"/>
        <v/>
      </c>
      <c r="BE209" s="74"/>
      <c r="BS209" s="118"/>
      <c r="BT209" s="118"/>
      <c r="BU209" s="118"/>
      <c r="BV209" s="118"/>
      <c r="BW209" s="118"/>
      <c r="BX209" s="118"/>
      <c r="BZ209" s="118"/>
      <c r="CB209" s="118"/>
      <c r="CC209" s="118"/>
      <c r="CD209" s="118"/>
    </row>
    <row r="210" spans="1:82" ht="17.399999999999999" customHeight="1">
      <c r="A210" s="72">
        <f t="shared" ref="A210:A273" si="138">A203+1</f>
        <v>29.4</v>
      </c>
      <c r="B210" s="111">
        <f t="shared" si="118"/>
        <v>200</v>
      </c>
      <c r="C210" s="60"/>
      <c r="D210" s="74"/>
      <c r="E210" s="75"/>
      <c r="F210" s="74"/>
      <c r="G210" s="54">
        <f t="shared" si="126"/>
        <v>0</v>
      </c>
      <c r="H210" s="55">
        <f t="shared" si="126"/>
        <v>0</v>
      </c>
      <c r="I210" s="76">
        <f t="shared" si="127"/>
        <v>0</v>
      </c>
      <c r="J210" s="58">
        <f t="shared" si="128"/>
        <v>0</v>
      </c>
      <c r="K210" s="58">
        <f t="shared" si="129"/>
        <v>0</v>
      </c>
      <c r="L210" s="58">
        <f t="shared" si="130"/>
        <v>0</v>
      </c>
      <c r="M210" s="58" t="str">
        <f t="shared" ca="1" si="131"/>
        <v/>
      </c>
      <c r="N210" s="58" t="str">
        <f t="shared" ca="1" si="131"/>
        <v/>
      </c>
      <c r="O210" s="58">
        <f t="shared" si="132"/>
        <v>5.0000000000000001E-4</v>
      </c>
      <c r="P210" s="77"/>
      <c r="Q210" s="60"/>
      <c r="R210" s="77"/>
      <c r="S210" s="78">
        <f t="shared" si="119"/>
        <v>0</v>
      </c>
      <c r="T210" s="55">
        <f t="shared" si="119"/>
        <v>0</v>
      </c>
      <c r="U210" s="79">
        <f t="shared" ref="U210:U273" si="139">IF(P210="FULL FEED",(Q210*G210/1000),(Q210*2*G210/1000))</f>
        <v>0</v>
      </c>
      <c r="V210" s="63">
        <f t="shared" ref="V210:V273" si="140">IF(P210="FULL FEED",(R210*H210/1000),(R210*2*H210/1000))</f>
        <v>0</v>
      </c>
      <c r="W210" s="64">
        <f t="shared" si="137"/>
        <v>126</v>
      </c>
      <c r="X210" s="80">
        <f t="shared" si="137"/>
        <v>169</v>
      </c>
      <c r="Y210" s="75"/>
      <c r="Z210" s="60"/>
      <c r="AA210" s="75"/>
      <c r="AB210" s="75"/>
      <c r="AC210" s="75"/>
      <c r="AD210" s="75"/>
      <c r="AE210" s="81">
        <f t="shared" si="120"/>
        <v>0</v>
      </c>
      <c r="AF210" s="55">
        <f t="shared" si="121"/>
        <v>0</v>
      </c>
      <c r="AG210" s="76">
        <f t="shared" si="115"/>
        <v>0</v>
      </c>
      <c r="AH210" s="82">
        <f t="shared" si="116"/>
        <v>0</v>
      </c>
      <c r="AI210" s="83">
        <f t="shared" si="116"/>
        <v>0</v>
      </c>
      <c r="AJ210" s="83">
        <f t="shared" si="116"/>
        <v>0</v>
      </c>
      <c r="AK210" s="58">
        <f t="shared" si="114"/>
        <v>0</v>
      </c>
      <c r="AL210" s="82">
        <f t="shared" si="122"/>
        <v>0</v>
      </c>
      <c r="AM210" s="58">
        <f t="shared" si="123"/>
        <v>0</v>
      </c>
      <c r="AN210" s="74"/>
      <c r="AO210" s="84"/>
      <c r="AP210" s="74"/>
      <c r="AQ210" s="85"/>
      <c r="AR210" s="74"/>
      <c r="AS210" s="74"/>
      <c r="AT210" s="74"/>
      <c r="AU210" s="55" t="str">
        <f t="shared" si="133"/>
        <v/>
      </c>
      <c r="AV210" s="55" t="str">
        <f t="shared" ca="1" si="134"/>
        <v/>
      </c>
      <c r="AW210" s="55" t="str">
        <f t="shared" si="124"/>
        <v/>
      </c>
      <c r="AX210" s="55" t="str">
        <f t="shared" ca="1" si="125"/>
        <v/>
      </c>
      <c r="AY210" s="86"/>
      <c r="AZ210" s="86"/>
      <c r="BA210" s="55" t="str">
        <f t="shared" si="135"/>
        <v/>
      </c>
      <c r="BB210" s="86"/>
      <c r="BC210" s="86"/>
      <c r="BD210" s="55" t="str">
        <f t="shared" si="136"/>
        <v/>
      </c>
      <c r="BE210" s="74"/>
      <c r="BS210" s="118"/>
      <c r="BT210" s="118"/>
      <c r="BU210" s="118"/>
      <c r="BV210" s="118"/>
      <c r="BW210" s="118"/>
      <c r="BX210" s="118"/>
      <c r="BZ210" s="118"/>
      <c r="CB210" s="118"/>
      <c r="CC210" s="118"/>
      <c r="CD210" s="118"/>
    </row>
    <row r="211" spans="1:82" ht="17.399999999999999" customHeight="1">
      <c r="A211" s="87">
        <f t="shared" si="138"/>
        <v>29.5</v>
      </c>
      <c r="B211" s="111">
        <f t="shared" si="118"/>
        <v>201</v>
      </c>
      <c r="C211" s="60"/>
      <c r="D211" s="74"/>
      <c r="E211" s="75"/>
      <c r="F211" s="74"/>
      <c r="G211" s="54">
        <f t="shared" si="126"/>
        <v>0</v>
      </c>
      <c r="H211" s="55">
        <f t="shared" si="126"/>
        <v>0</v>
      </c>
      <c r="I211" s="76">
        <f t="shared" si="127"/>
        <v>0</v>
      </c>
      <c r="J211" s="58">
        <f t="shared" si="128"/>
        <v>0</v>
      </c>
      <c r="K211" s="58">
        <f t="shared" si="129"/>
        <v>0</v>
      </c>
      <c r="L211" s="58">
        <f t="shared" si="130"/>
        <v>0</v>
      </c>
      <c r="M211" s="58" t="str">
        <f t="shared" ca="1" si="131"/>
        <v/>
      </c>
      <c r="N211" s="58" t="str">
        <f t="shared" ca="1" si="131"/>
        <v/>
      </c>
      <c r="O211" s="58">
        <f t="shared" si="132"/>
        <v>5.0000000000000001E-4</v>
      </c>
      <c r="P211" s="77"/>
      <c r="Q211" s="60"/>
      <c r="R211" s="77"/>
      <c r="S211" s="78">
        <f t="shared" si="119"/>
        <v>0</v>
      </c>
      <c r="T211" s="55">
        <f t="shared" si="119"/>
        <v>0</v>
      </c>
      <c r="U211" s="79">
        <f t="shared" si="139"/>
        <v>0</v>
      </c>
      <c r="V211" s="63">
        <f t="shared" si="140"/>
        <v>0</v>
      </c>
      <c r="W211" s="64">
        <f t="shared" si="137"/>
        <v>126</v>
      </c>
      <c r="X211" s="80">
        <f t="shared" si="137"/>
        <v>169</v>
      </c>
      <c r="Y211" s="75"/>
      <c r="Z211" s="60"/>
      <c r="AA211" s="75"/>
      <c r="AB211" s="75"/>
      <c r="AC211" s="75"/>
      <c r="AD211" s="75"/>
      <c r="AE211" s="81">
        <f t="shared" si="120"/>
        <v>0</v>
      </c>
      <c r="AF211" s="55">
        <f t="shared" si="121"/>
        <v>0</v>
      </c>
      <c r="AG211" s="76">
        <f t="shared" si="115"/>
        <v>0</v>
      </c>
      <c r="AH211" s="82">
        <f t="shared" si="116"/>
        <v>0</v>
      </c>
      <c r="AI211" s="83">
        <f t="shared" si="116"/>
        <v>0</v>
      </c>
      <c r="AJ211" s="83">
        <f t="shared" si="116"/>
        <v>0</v>
      </c>
      <c r="AK211" s="58">
        <f t="shared" si="114"/>
        <v>0</v>
      </c>
      <c r="AL211" s="82">
        <f t="shared" si="122"/>
        <v>0</v>
      </c>
      <c r="AM211" s="58">
        <f t="shared" si="123"/>
        <v>0</v>
      </c>
      <c r="AN211" s="74"/>
      <c r="AO211" s="84"/>
      <c r="AP211" s="74"/>
      <c r="AQ211" s="85"/>
      <c r="AR211" s="74"/>
      <c r="AS211" s="74"/>
      <c r="AT211" s="74"/>
      <c r="AU211" s="55" t="str">
        <f t="shared" si="133"/>
        <v/>
      </c>
      <c r="AV211" s="55" t="str">
        <f t="shared" ca="1" si="134"/>
        <v/>
      </c>
      <c r="AW211" s="55" t="str">
        <f t="shared" si="124"/>
        <v/>
      </c>
      <c r="AX211" s="55" t="str">
        <f t="shared" ca="1" si="125"/>
        <v/>
      </c>
      <c r="AY211" s="86"/>
      <c r="AZ211" s="86"/>
      <c r="BA211" s="55" t="str">
        <f t="shared" si="135"/>
        <v/>
      </c>
      <c r="BB211" s="86"/>
      <c r="BC211" s="86"/>
      <c r="BD211" s="55" t="str">
        <f t="shared" si="136"/>
        <v/>
      </c>
      <c r="BE211" s="74"/>
      <c r="BS211" s="118"/>
      <c r="BT211" s="118"/>
      <c r="BU211" s="118"/>
      <c r="BV211" s="118"/>
      <c r="BW211" s="118"/>
      <c r="BX211" s="118"/>
      <c r="BZ211" s="118"/>
      <c r="CB211" s="118"/>
      <c r="CC211" s="118"/>
      <c r="CD211" s="118"/>
    </row>
    <row r="212" spans="1:82" ht="17.399999999999999" customHeight="1">
      <c r="A212" s="72">
        <f t="shared" si="138"/>
        <v>29.6</v>
      </c>
      <c r="B212" s="111">
        <f t="shared" si="118"/>
        <v>202</v>
      </c>
      <c r="C212" s="60"/>
      <c r="D212" s="74"/>
      <c r="E212" s="75"/>
      <c r="F212" s="74"/>
      <c r="G212" s="54">
        <f t="shared" si="126"/>
        <v>0</v>
      </c>
      <c r="H212" s="55">
        <f t="shared" si="126"/>
        <v>0</v>
      </c>
      <c r="I212" s="76">
        <f t="shared" si="127"/>
        <v>0</v>
      </c>
      <c r="J212" s="58">
        <f t="shared" si="128"/>
        <v>0</v>
      </c>
      <c r="K212" s="58">
        <f t="shared" si="129"/>
        <v>0</v>
      </c>
      <c r="L212" s="58">
        <f t="shared" si="130"/>
        <v>0</v>
      </c>
      <c r="M212" s="58" t="str">
        <f t="shared" ca="1" si="131"/>
        <v/>
      </c>
      <c r="N212" s="58" t="str">
        <f t="shared" ca="1" si="131"/>
        <v/>
      </c>
      <c r="O212" s="58">
        <f t="shared" si="132"/>
        <v>5.0000000000000001E-4</v>
      </c>
      <c r="P212" s="77"/>
      <c r="Q212" s="60"/>
      <c r="R212" s="77"/>
      <c r="S212" s="78">
        <f t="shared" si="119"/>
        <v>0</v>
      </c>
      <c r="T212" s="55">
        <f t="shared" si="119"/>
        <v>0</v>
      </c>
      <c r="U212" s="79">
        <f t="shared" si="139"/>
        <v>0</v>
      </c>
      <c r="V212" s="63">
        <f t="shared" si="140"/>
        <v>0</v>
      </c>
      <c r="W212" s="64">
        <f t="shared" si="137"/>
        <v>126</v>
      </c>
      <c r="X212" s="80">
        <f t="shared" si="137"/>
        <v>169</v>
      </c>
      <c r="Y212" s="75"/>
      <c r="Z212" s="60"/>
      <c r="AA212" s="75"/>
      <c r="AB212" s="75"/>
      <c r="AC212" s="75"/>
      <c r="AD212" s="75"/>
      <c r="AE212" s="81">
        <f t="shared" si="120"/>
        <v>0</v>
      </c>
      <c r="AF212" s="55">
        <f t="shared" si="121"/>
        <v>0</v>
      </c>
      <c r="AG212" s="76">
        <f t="shared" si="115"/>
        <v>0</v>
      </c>
      <c r="AH212" s="82">
        <f t="shared" si="116"/>
        <v>0</v>
      </c>
      <c r="AI212" s="83">
        <f t="shared" si="116"/>
        <v>0</v>
      </c>
      <c r="AJ212" s="83">
        <f t="shared" si="116"/>
        <v>0</v>
      </c>
      <c r="AK212" s="58">
        <f t="shared" si="114"/>
        <v>0</v>
      </c>
      <c r="AL212" s="82">
        <f t="shared" si="122"/>
        <v>0</v>
      </c>
      <c r="AM212" s="58">
        <f t="shared" si="123"/>
        <v>0</v>
      </c>
      <c r="AN212" s="74"/>
      <c r="AO212" s="84"/>
      <c r="AP212" s="74"/>
      <c r="AQ212" s="85"/>
      <c r="AR212" s="74"/>
      <c r="AS212" s="74"/>
      <c r="AT212" s="74"/>
      <c r="AU212" s="55" t="str">
        <f t="shared" si="133"/>
        <v/>
      </c>
      <c r="AV212" s="55" t="str">
        <f t="shared" ca="1" si="134"/>
        <v/>
      </c>
      <c r="AW212" s="55" t="str">
        <f t="shared" si="124"/>
        <v/>
      </c>
      <c r="AX212" s="55" t="str">
        <f t="shared" ca="1" si="125"/>
        <v/>
      </c>
      <c r="AY212" s="86"/>
      <c r="AZ212" s="86"/>
      <c r="BA212" s="55" t="str">
        <f t="shared" si="135"/>
        <v/>
      </c>
      <c r="BB212" s="86"/>
      <c r="BC212" s="86"/>
      <c r="BD212" s="55" t="str">
        <f t="shared" si="136"/>
        <v/>
      </c>
      <c r="BE212" s="74"/>
      <c r="BS212" s="118"/>
      <c r="BT212" s="118"/>
      <c r="BU212" s="118"/>
      <c r="BV212" s="118"/>
      <c r="BW212" s="118"/>
      <c r="BX212" s="118"/>
      <c r="BZ212" s="118"/>
      <c r="CB212" s="118"/>
      <c r="CC212" s="118"/>
      <c r="CD212" s="118"/>
    </row>
    <row r="213" spans="1:82" ht="17.399999999999999" customHeight="1" thickBot="1">
      <c r="A213" s="87">
        <f t="shared" si="138"/>
        <v>29.700000000000003</v>
      </c>
      <c r="B213" s="113">
        <f t="shared" si="118"/>
        <v>203</v>
      </c>
      <c r="C213" s="89"/>
      <c r="D213" s="90"/>
      <c r="E213" s="91"/>
      <c r="F213" s="90"/>
      <c r="G213" s="92">
        <f t="shared" si="126"/>
        <v>0</v>
      </c>
      <c r="H213" s="93">
        <f t="shared" si="126"/>
        <v>0</v>
      </c>
      <c r="I213" s="94">
        <f t="shared" si="127"/>
        <v>0</v>
      </c>
      <c r="J213" s="95">
        <f t="shared" si="128"/>
        <v>0</v>
      </c>
      <c r="K213" s="95">
        <f t="shared" si="129"/>
        <v>0</v>
      </c>
      <c r="L213" s="95">
        <f t="shared" si="130"/>
        <v>0</v>
      </c>
      <c r="M213" s="95" t="str">
        <f t="shared" ca="1" si="131"/>
        <v/>
      </c>
      <c r="N213" s="95" t="str">
        <f t="shared" ca="1" si="131"/>
        <v/>
      </c>
      <c r="O213" s="95">
        <f t="shared" si="132"/>
        <v>5.0000000000000001E-4</v>
      </c>
      <c r="P213" s="96"/>
      <c r="Q213" s="89"/>
      <c r="R213" s="96"/>
      <c r="S213" s="78">
        <f t="shared" si="119"/>
        <v>0</v>
      </c>
      <c r="T213" s="55">
        <f t="shared" si="119"/>
        <v>0</v>
      </c>
      <c r="U213" s="97">
        <f t="shared" si="139"/>
        <v>0</v>
      </c>
      <c r="V213" s="98">
        <f t="shared" si="140"/>
        <v>0</v>
      </c>
      <c r="W213" s="99">
        <f t="shared" si="137"/>
        <v>126</v>
      </c>
      <c r="X213" s="100">
        <f t="shared" si="137"/>
        <v>169</v>
      </c>
      <c r="Y213" s="91"/>
      <c r="Z213" s="60"/>
      <c r="AA213" s="75"/>
      <c r="AB213" s="75"/>
      <c r="AC213" s="75"/>
      <c r="AD213" s="75"/>
      <c r="AE213" s="101">
        <f t="shared" si="120"/>
        <v>0</v>
      </c>
      <c r="AF213" s="93">
        <f t="shared" si="121"/>
        <v>0</v>
      </c>
      <c r="AG213" s="94">
        <f t="shared" si="115"/>
        <v>0</v>
      </c>
      <c r="AH213" s="102">
        <f t="shared" si="116"/>
        <v>0</v>
      </c>
      <c r="AI213" s="103">
        <f t="shared" si="116"/>
        <v>0</v>
      </c>
      <c r="AJ213" s="103">
        <f t="shared" si="116"/>
        <v>0</v>
      </c>
      <c r="AK213" s="95">
        <f t="shared" si="114"/>
        <v>0</v>
      </c>
      <c r="AL213" s="102">
        <f t="shared" si="122"/>
        <v>0</v>
      </c>
      <c r="AM213" s="95">
        <f t="shared" si="123"/>
        <v>0</v>
      </c>
      <c r="AN213" s="90"/>
      <c r="AO213" s="104"/>
      <c r="AP213" s="90"/>
      <c r="AQ213" s="105"/>
      <c r="AR213" s="90"/>
      <c r="AS213" s="90"/>
      <c r="AT213" s="90"/>
      <c r="AU213" s="93" t="str">
        <f t="shared" si="133"/>
        <v/>
      </c>
      <c r="AV213" s="93" t="str">
        <f t="shared" ca="1" si="134"/>
        <v/>
      </c>
      <c r="AW213" s="93" t="str">
        <f t="shared" si="124"/>
        <v/>
      </c>
      <c r="AX213" s="93" t="str">
        <f t="shared" ca="1" si="125"/>
        <v/>
      </c>
      <c r="AY213" s="106"/>
      <c r="AZ213" s="106"/>
      <c r="BA213" s="93" t="str">
        <f t="shared" si="135"/>
        <v/>
      </c>
      <c r="BB213" s="106"/>
      <c r="BC213" s="106"/>
      <c r="BD213" s="93" t="str">
        <f t="shared" si="136"/>
        <v/>
      </c>
      <c r="BE213" s="90"/>
      <c r="BS213" s="118"/>
      <c r="BT213" s="118"/>
      <c r="BU213" s="118"/>
      <c r="BV213" s="118"/>
      <c r="BW213" s="118"/>
      <c r="BX213" s="118"/>
      <c r="BZ213" s="118"/>
      <c r="CB213" s="118"/>
      <c r="CC213" s="118"/>
      <c r="CD213" s="118"/>
    </row>
    <row r="214" spans="1:82" ht="17.399999999999999" customHeight="1" thickTop="1">
      <c r="A214" s="107">
        <f>A207+1</f>
        <v>30.1</v>
      </c>
      <c r="B214" s="108">
        <f>B213+1</f>
        <v>204</v>
      </c>
      <c r="C214" s="51"/>
      <c r="D214" s="52"/>
      <c r="E214" s="53"/>
      <c r="F214" s="52"/>
      <c r="G214" s="54">
        <f t="shared" si="126"/>
        <v>0</v>
      </c>
      <c r="H214" s="55">
        <f t="shared" si="126"/>
        <v>0</v>
      </c>
      <c r="I214" s="56">
        <f t="shared" si="127"/>
        <v>0</v>
      </c>
      <c r="J214" s="57">
        <f t="shared" si="128"/>
        <v>0</v>
      </c>
      <c r="K214" s="57">
        <f t="shared" si="129"/>
        <v>0</v>
      </c>
      <c r="L214" s="57">
        <f t="shared" si="130"/>
        <v>0</v>
      </c>
      <c r="M214" s="58" t="str">
        <f t="shared" ca="1" si="131"/>
        <v/>
      </c>
      <c r="N214" s="58" t="str">
        <f t="shared" ca="1" si="131"/>
        <v/>
      </c>
      <c r="O214" s="58">
        <f t="shared" si="132"/>
        <v>5.0000000000000001E-4</v>
      </c>
      <c r="P214" s="77"/>
      <c r="Q214" s="60"/>
      <c r="R214" s="77"/>
      <c r="S214" s="109">
        <f t="shared" si="119"/>
        <v>0</v>
      </c>
      <c r="T214" s="61">
        <f t="shared" si="119"/>
        <v>0</v>
      </c>
      <c r="U214" s="62">
        <f t="shared" si="139"/>
        <v>0</v>
      </c>
      <c r="V214" s="63">
        <f t="shared" si="140"/>
        <v>0</v>
      </c>
      <c r="W214" s="64">
        <v>127</v>
      </c>
      <c r="X214" s="80">
        <f t="shared" si="137"/>
        <v>169</v>
      </c>
      <c r="Y214" s="53"/>
      <c r="Z214" s="51"/>
      <c r="AA214" s="53"/>
      <c r="AB214" s="53"/>
      <c r="AC214" s="53"/>
      <c r="AD214" s="53"/>
      <c r="AE214" s="66">
        <f t="shared" si="120"/>
        <v>0</v>
      </c>
      <c r="AF214" s="61">
        <f t="shared" si="121"/>
        <v>0</v>
      </c>
      <c r="AG214" s="56">
        <f t="shared" si="115"/>
        <v>0</v>
      </c>
      <c r="AH214" s="67">
        <f t="shared" si="116"/>
        <v>0</v>
      </c>
      <c r="AI214" s="68">
        <f t="shared" si="116"/>
        <v>0</v>
      </c>
      <c r="AJ214" s="68">
        <f t="shared" si="116"/>
        <v>0</v>
      </c>
      <c r="AK214" s="57">
        <f t="shared" si="114"/>
        <v>0</v>
      </c>
      <c r="AL214" s="67">
        <f t="shared" si="122"/>
        <v>0</v>
      </c>
      <c r="AM214" s="57">
        <f t="shared" si="123"/>
        <v>0</v>
      </c>
      <c r="AN214" s="52"/>
      <c r="AO214" s="69"/>
      <c r="AP214" s="52"/>
      <c r="AQ214" s="70"/>
      <c r="AR214" s="52"/>
      <c r="AS214" s="52"/>
      <c r="AT214" s="52"/>
      <c r="AU214" s="61" t="str">
        <f t="shared" si="133"/>
        <v/>
      </c>
      <c r="AV214" s="61" t="str">
        <f t="shared" ca="1" si="134"/>
        <v/>
      </c>
      <c r="AW214" s="61" t="str">
        <f t="shared" si="124"/>
        <v/>
      </c>
      <c r="AX214" s="61" t="str">
        <f t="shared" ca="1" si="125"/>
        <v/>
      </c>
      <c r="AY214" s="71"/>
      <c r="AZ214" s="71"/>
      <c r="BA214" s="61" t="str">
        <f t="shared" si="135"/>
        <v/>
      </c>
      <c r="BB214" s="71"/>
      <c r="BC214" s="71"/>
      <c r="BD214" s="61" t="str">
        <f t="shared" si="136"/>
        <v/>
      </c>
      <c r="BE214" s="52"/>
      <c r="BS214" s="118"/>
      <c r="BT214" s="118"/>
      <c r="BU214" s="118"/>
      <c r="BV214" s="118"/>
      <c r="BW214" s="118"/>
      <c r="BX214" s="118"/>
      <c r="BZ214" s="118"/>
      <c r="CB214" s="118"/>
      <c r="CC214" s="118"/>
      <c r="CD214" s="118"/>
    </row>
    <row r="215" spans="1:82" ht="17.399999999999999" customHeight="1">
      <c r="A215" s="87">
        <f t="shared" si="138"/>
        <v>30.2</v>
      </c>
      <c r="B215" s="111">
        <f t="shared" si="118"/>
        <v>205</v>
      </c>
      <c r="C215" s="60"/>
      <c r="D215" s="74"/>
      <c r="E215" s="75"/>
      <c r="F215" s="74"/>
      <c r="G215" s="54">
        <f t="shared" si="126"/>
        <v>0</v>
      </c>
      <c r="H215" s="55">
        <f t="shared" si="126"/>
        <v>0</v>
      </c>
      <c r="I215" s="76">
        <f t="shared" si="127"/>
        <v>0</v>
      </c>
      <c r="J215" s="58">
        <f t="shared" si="128"/>
        <v>0</v>
      </c>
      <c r="K215" s="58">
        <f t="shared" si="129"/>
        <v>0</v>
      </c>
      <c r="L215" s="58">
        <f t="shared" si="130"/>
        <v>0</v>
      </c>
      <c r="M215" s="58" t="str">
        <f t="shared" ca="1" si="131"/>
        <v/>
      </c>
      <c r="N215" s="58" t="str">
        <f t="shared" ca="1" si="131"/>
        <v/>
      </c>
      <c r="O215" s="58">
        <f t="shared" si="132"/>
        <v>5.0000000000000001E-4</v>
      </c>
      <c r="P215" s="77"/>
      <c r="Q215" s="60"/>
      <c r="R215" s="77"/>
      <c r="S215" s="78">
        <f t="shared" si="119"/>
        <v>0</v>
      </c>
      <c r="T215" s="55">
        <f t="shared" si="119"/>
        <v>0</v>
      </c>
      <c r="U215" s="79">
        <f t="shared" si="139"/>
        <v>0</v>
      </c>
      <c r="V215" s="63">
        <f t="shared" si="140"/>
        <v>0</v>
      </c>
      <c r="W215" s="64">
        <f t="shared" ref="W215:W220" si="141">W214</f>
        <v>127</v>
      </c>
      <c r="X215" s="80">
        <f t="shared" si="137"/>
        <v>169</v>
      </c>
      <c r="Y215" s="75"/>
      <c r="Z215" s="60"/>
      <c r="AA215" s="75"/>
      <c r="AB215" s="75"/>
      <c r="AC215" s="75"/>
      <c r="AD215" s="75"/>
      <c r="AE215" s="81">
        <f t="shared" si="120"/>
        <v>0</v>
      </c>
      <c r="AF215" s="55">
        <f t="shared" si="121"/>
        <v>0</v>
      </c>
      <c r="AG215" s="76">
        <f t="shared" si="115"/>
        <v>0</v>
      </c>
      <c r="AH215" s="82">
        <f t="shared" si="116"/>
        <v>0</v>
      </c>
      <c r="AI215" s="83">
        <f t="shared" si="116"/>
        <v>0</v>
      </c>
      <c r="AJ215" s="83">
        <f t="shared" si="116"/>
        <v>0</v>
      </c>
      <c r="AK215" s="58">
        <f t="shared" si="114"/>
        <v>0</v>
      </c>
      <c r="AL215" s="82">
        <f t="shared" si="122"/>
        <v>0</v>
      </c>
      <c r="AM215" s="58">
        <f t="shared" si="123"/>
        <v>0</v>
      </c>
      <c r="AN215" s="74"/>
      <c r="AO215" s="84"/>
      <c r="AP215" s="74"/>
      <c r="AQ215" s="85"/>
      <c r="AR215" s="74"/>
      <c r="AS215" s="74"/>
      <c r="AT215" s="74"/>
      <c r="AU215" s="55" t="str">
        <f t="shared" si="133"/>
        <v/>
      </c>
      <c r="AV215" s="55" t="str">
        <f t="shared" ca="1" si="134"/>
        <v/>
      </c>
      <c r="AW215" s="55" t="str">
        <f t="shared" si="124"/>
        <v/>
      </c>
      <c r="AX215" s="55" t="str">
        <f t="shared" ca="1" si="125"/>
        <v/>
      </c>
      <c r="AY215" s="86"/>
      <c r="AZ215" s="86"/>
      <c r="BA215" s="55" t="str">
        <f t="shared" si="135"/>
        <v/>
      </c>
      <c r="BB215" s="86"/>
      <c r="BC215" s="86"/>
      <c r="BD215" s="55" t="str">
        <f t="shared" si="136"/>
        <v/>
      </c>
      <c r="BE215" s="74"/>
      <c r="BS215" s="118"/>
      <c r="BT215" s="118"/>
      <c r="BU215" s="118"/>
      <c r="BV215" s="118"/>
      <c r="BW215" s="118"/>
      <c r="BX215" s="118"/>
      <c r="BZ215" s="118"/>
      <c r="CB215" s="118"/>
      <c r="CC215" s="118"/>
      <c r="CD215" s="118"/>
    </row>
    <row r="216" spans="1:82" ht="17.399999999999999" customHeight="1">
      <c r="A216" s="72">
        <f t="shared" si="138"/>
        <v>30.3</v>
      </c>
      <c r="B216" s="111">
        <f t="shared" si="118"/>
        <v>206</v>
      </c>
      <c r="C216" s="60"/>
      <c r="D216" s="74"/>
      <c r="E216" s="75"/>
      <c r="F216" s="74"/>
      <c r="G216" s="54">
        <f t="shared" si="126"/>
        <v>0</v>
      </c>
      <c r="H216" s="55">
        <f t="shared" si="126"/>
        <v>0</v>
      </c>
      <c r="I216" s="76">
        <f t="shared" si="127"/>
        <v>0</v>
      </c>
      <c r="J216" s="58">
        <f t="shared" si="128"/>
        <v>0</v>
      </c>
      <c r="K216" s="58">
        <f t="shared" si="129"/>
        <v>0</v>
      </c>
      <c r="L216" s="58">
        <f t="shared" si="130"/>
        <v>0</v>
      </c>
      <c r="M216" s="58" t="str">
        <f t="shared" ca="1" si="131"/>
        <v/>
      </c>
      <c r="N216" s="58" t="str">
        <f t="shared" ca="1" si="131"/>
        <v/>
      </c>
      <c r="O216" s="58">
        <f t="shared" si="132"/>
        <v>5.0000000000000001E-4</v>
      </c>
      <c r="P216" s="77"/>
      <c r="Q216" s="60"/>
      <c r="R216" s="77"/>
      <c r="S216" s="78">
        <f t="shared" si="119"/>
        <v>0</v>
      </c>
      <c r="T216" s="55">
        <f t="shared" si="119"/>
        <v>0</v>
      </c>
      <c r="U216" s="79">
        <f t="shared" si="139"/>
        <v>0</v>
      </c>
      <c r="V216" s="63">
        <f t="shared" si="140"/>
        <v>0</v>
      </c>
      <c r="W216" s="64">
        <f t="shared" si="141"/>
        <v>127</v>
      </c>
      <c r="X216" s="80">
        <f t="shared" si="137"/>
        <v>169</v>
      </c>
      <c r="Y216" s="75"/>
      <c r="Z216" s="60"/>
      <c r="AA216" s="75"/>
      <c r="AB216" s="75"/>
      <c r="AC216" s="75"/>
      <c r="AD216" s="75"/>
      <c r="AE216" s="81">
        <f t="shared" si="120"/>
        <v>0</v>
      </c>
      <c r="AF216" s="55">
        <f t="shared" si="121"/>
        <v>0</v>
      </c>
      <c r="AG216" s="76">
        <f t="shared" si="115"/>
        <v>0</v>
      </c>
      <c r="AH216" s="82">
        <f t="shared" si="116"/>
        <v>0</v>
      </c>
      <c r="AI216" s="83">
        <f t="shared" si="116"/>
        <v>0</v>
      </c>
      <c r="AJ216" s="83">
        <f t="shared" si="116"/>
        <v>0</v>
      </c>
      <c r="AK216" s="58">
        <f t="shared" si="114"/>
        <v>0</v>
      </c>
      <c r="AL216" s="82">
        <f t="shared" si="122"/>
        <v>0</v>
      </c>
      <c r="AM216" s="58">
        <f t="shared" si="123"/>
        <v>0</v>
      </c>
      <c r="AN216" s="74"/>
      <c r="AO216" s="84"/>
      <c r="AP216" s="74"/>
      <c r="AQ216" s="85"/>
      <c r="AR216" s="74"/>
      <c r="AS216" s="74"/>
      <c r="AT216" s="74"/>
      <c r="AU216" s="55" t="str">
        <f t="shared" si="133"/>
        <v/>
      </c>
      <c r="AV216" s="55" t="str">
        <f t="shared" ca="1" si="134"/>
        <v/>
      </c>
      <c r="AW216" s="55" t="str">
        <f t="shared" si="124"/>
        <v/>
      </c>
      <c r="AX216" s="55" t="str">
        <f t="shared" ca="1" si="125"/>
        <v/>
      </c>
      <c r="AY216" s="86"/>
      <c r="AZ216" s="86"/>
      <c r="BA216" s="55" t="str">
        <f t="shared" si="135"/>
        <v/>
      </c>
      <c r="BB216" s="86"/>
      <c r="BC216" s="86"/>
      <c r="BD216" s="55" t="str">
        <f t="shared" si="136"/>
        <v/>
      </c>
      <c r="BE216" s="74"/>
      <c r="BS216" s="118"/>
      <c r="BT216" s="118"/>
      <c r="BU216" s="118"/>
      <c r="BV216" s="118"/>
      <c r="BW216" s="118"/>
      <c r="BX216" s="118"/>
      <c r="BZ216" s="118"/>
      <c r="CB216" s="118"/>
      <c r="CC216" s="118"/>
      <c r="CD216" s="118"/>
    </row>
    <row r="217" spans="1:82" ht="17.399999999999999" customHeight="1">
      <c r="A217" s="87">
        <f t="shared" si="138"/>
        <v>30.4</v>
      </c>
      <c r="B217" s="111">
        <f t="shared" si="118"/>
        <v>207</v>
      </c>
      <c r="C217" s="60"/>
      <c r="D217" s="74"/>
      <c r="E217" s="75"/>
      <c r="F217" s="74"/>
      <c r="G217" s="54">
        <f t="shared" si="126"/>
        <v>0</v>
      </c>
      <c r="H217" s="55">
        <f t="shared" si="126"/>
        <v>0</v>
      </c>
      <c r="I217" s="76">
        <f t="shared" si="127"/>
        <v>0</v>
      </c>
      <c r="J217" s="58">
        <f t="shared" si="128"/>
        <v>0</v>
      </c>
      <c r="K217" s="58">
        <f t="shared" si="129"/>
        <v>0</v>
      </c>
      <c r="L217" s="58">
        <f t="shared" si="130"/>
        <v>0</v>
      </c>
      <c r="M217" s="58" t="str">
        <f t="shared" ca="1" si="131"/>
        <v/>
      </c>
      <c r="N217" s="58" t="str">
        <f t="shared" ca="1" si="131"/>
        <v/>
      </c>
      <c r="O217" s="58">
        <f t="shared" si="132"/>
        <v>5.0000000000000001E-4</v>
      </c>
      <c r="P217" s="77"/>
      <c r="Q217" s="60"/>
      <c r="R217" s="77"/>
      <c r="S217" s="78">
        <f t="shared" si="119"/>
        <v>0</v>
      </c>
      <c r="T217" s="55">
        <f t="shared" si="119"/>
        <v>0</v>
      </c>
      <c r="U217" s="79">
        <f t="shared" si="139"/>
        <v>0</v>
      </c>
      <c r="V217" s="63">
        <f t="shared" si="140"/>
        <v>0</v>
      </c>
      <c r="W217" s="64">
        <f t="shared" si="141"/>
        <v>127</v>
      </c>
      <c r="X217" s="80">
        <f t="shared" si="137"/>
        <v>169</v>
      </c>
      <c r="Y217" s="75"/>
      <c r="Z217" s="60"/>
      <c r="AA217" s="75"/>
      <c r="AB217" s="75"/>
      <c r="AC217" s="75"/>
      <c r="AD217" s="75"/>
      <c r="AE217" s="81">
        <f t="shared" si="120"/>
        <v>0</v>
      </c>
      <c r="AF217" s="55">
        <f t="shared" si="121"/>
        <v>0</v>
      </c>
      <c r="AG217" s="76">
        <f t="shared" si="115"/>
        <v>0</v>
      </c>
      <c r="AH217" s="82">
        <f t="shared" si="116"/>
        <v>0</v>
      </c>
      <c r="AI217" s="83">
        <f t="shared" si="116"/>
        <v>0</v>
      </c>
      <c r="AJ217" s="83">
        <f t="shared" si="116"/>
        <v>0</v>
      </c>
      <c r="AK217" s="58">
        <f t="shared" si="114"/>
        <v>0</v>
      </c>
      <c r="AL217" s="82">
        <f t="shared" si="122"/>
        <v>0</v>
      </c>
      <c r="AM217" s="58">
        <f t="shared" si="123"/>
        <v>0</v>
      </c>
      <c r="AN217" s="74"/>
      <c r="AO217" s="84"/>
      <c r="AP217" s="74"/>
      <c r="AQ217" s="85"/>
      <c r="AR217" s="74"/>
      <c r="AS217" s="74"/>
      <c r="AT217" s="74"/>
      <c r="AU217" s="55" t="str">
        <f t="shared" si="133"/>
        <v/>
      </c>
      <c r="AV217" s="55" t="str">
        <f t="shared" ca="1" si="134"/>
        <v/>
      </c>
      <c r="AW217" s="55" t="str">
        <f t="shared" si="124"/>
        <v/>
      </c>
      <c r="AX217" s="55" t="str">
        <f t="shared" ca="1" si="125"/>
        <v/>
      </c>
      <c r="AY217" s="86"/>
      <c r="AZ217" s="86"/>
      <c r="BA217" s="55" t="str">
        <f t="shared" si="135"/>
        <v/>
      </c>
      <c r="BB217" s="86"/>
      <c r="BC217" s="86"/>
      <c r="BD217" s="55" t="str">
        <f t="shared" si="136"/>
        <v/>
      </c>
      <c r="BE217" s="74"/>
      <c r="BS217" s="118"/>
      <c r="BT217" s="118"/>
      <c r="BU217" s="118"/>
      <c r="BV217" s="118"/>
      <c r="BW217" s="118"/>
      <c r="BX217" s="118"/>
      <c r="BZ217" s="118"/>
      <c r="CB217" s="118"/>
      <c r="CC217" s="118"/>
      <c r="CD217" s="118"/>
    </row>
    <row r="218" spans="1:82" ht="17.399999999999999" customHeight="1">
      <c r="A218" s="72">
        <f t="shared" si="138"/>
        <v>30.5</v>
      </c>
      <c r="B218" s="111">
        <f t="shared" si="118"/>
        <v>208</v>
      </c>
      <c r="C218" s="60"/>
      <c r="D218" s="74"/>
      <c r="E218" s="75"/>
      <c r="F218" s="74"/>
      <c r="G218" s="54">
        <f t="shared" si="126"/>
        <v>0</v>
      </c>
      <c r="H218" s="55">
        <f t="shared" si="126"/>
        <v>0</v>
      </c>
      <c r="I218" s="76">
        <f t="shared" si="127"/>
        <v>0</v>
      </c>
      <c r="J218" s="58">
        <f t="shared" si="128"/>
        <v>0</v>
      </c>
      <c r="K218" s="58">
        <f t="shared" si="129"/>
        <v>0</v>
      </c>
      <c r="L218" s="58">
        <f t="shared" si="130"/>
        <v>0</v>
      </c>
      <c r="M218" s="58" t="str">
        <f t="shared" ca="1" si="131"/>
        <v/>
      </c>
      <c r="N218" s="58" t="str">
        <f t="shared" ca="1" si="131"/>
        <v/>
      </c>
      <c r="O218" s="58">
        <f t="shared" si="132"/>
        <v>5.0000000000000001E-4</v>
      </c>
      <c r="P218" s="77"/>
      <c r="Q218" s="60"/>
      <c r="R218" s="77"/>
      <c r="S218" s="78">
        <f t="shared" si="119"/>
        <v>0</v>
      </c>
      <c r="T218" s="55">
        <f t="shared" si="119"/>
        <v>0</v>
      </c>
      <c r="U218" s="79">
        <f t="shared" si="139"/>
        <v>0</v>
      </c>
      <c r="V218" s="63">
        <f t="shared" si="140"/>
        <v>0</v>
      </c>
      <c r="W218" s="64">
        <f t="shared" si="141"/>
        <v>127</v>
      </c>
      <c r="X218" s="80">
        <f t="shared" si="137"/>
        <v>169</v>
      </c>
      <c r="Y218" s="75"/>
      <c r="Z218" s="60"/>
      <c r="AA218" s="75"/>
      <c r="AB218" s="75"/>
      <c r="AC218" s="75"/>
      <c r="AD218" s="75"/>
      <c r="AE218" s="81">
        <f t="shared" si="120"/>
        <v>0</v>
      </c>
      <c r="AF218" s="55">
        <f t="shared" si="121"/>
        <v>0</v>
      </c>
      <c r="AG218" s="76">
        <f t="shared" si="115"/>
        <v>0</v>
      </c>
      <c r="AH218" s="82">
        <f t="shared" si="116"/>
        <v>0</v>
      </c>
      <c r="AI218" s="83">
        <f t="shared" si="116"/>
        <v>0</v>
      </c>
      <c r="AJ218" s="83">
        <f t="shared" si="116"/>
        <v>0</v>
      </c>
      <c r="AK218" s="58">
        <f t="shared" si="114"/>
        <v>0</v>
      </c>
      <c r="AL218" s="82">
        <f t="shared" si="122"/>
        <v>0</v>
      </c>
      <c r="AM218" s="58">
        <f t="shared" si="123"/>
        <v>0</v>
      </c>
      <c r="AN218" s="74"/>
      <c r="AO218" s="84"/>
      <c r="AP218" s="74"/>
      <c r="AQ218" s="85"/>
      <c r="AR218" s="74"/>
      <c r="AS218" s="74"/>
      <c r="AT218" s="74"/>
      <c r="AU218" s="55" t="str">
        <f t="shared" si="133"/>
        <v/>
      </c>
      <c r="AV218" s="55" t="str">
        <f t="shared" ca="1" si="134"/>
        <v/>
      </c>
      <c r="AW218" s="55" t="str">
        <f t="shared" si="124"/>
        <v/>
      </c>
      <c r="AX218" s="55" t="str">
        <f t="shared" ca="1" si="125"/>
        <v/>
      </c>
      <c r="AY218" s="86"/>
      <c r="AZ218" s="86"/>
      <c r="BA218" s="55" t="str">
        <f t="shared" si="135"/>
        <v/>
      </c>
      <c r="BB218" s="86"/>
      <c r="BC218" s="86"/>
      <c r="BD218" s="55" t="str">
        <f t="shared" si="136"/>
        <v/>
      </c>
      <c r="BE218" s="74"/>
      <c r="BS218" s="118"/>
      <c r="BT218" s="118"/>
      <c r="BU218" s="118"/>
      <c r="BV218" s="118"/>
      <c r="BW218" s="118"/>
      <c r="BX218" s="118"/>
      <c r="BZ218" s="118"/>
      <c r="CB218" s="118"/>
      <c r="CC218" s="118"/>
      <c r="CD218" s="118"/>
    </row>
    <row r="219" spans="1:82" ht="17.399999999999999" customHeight="1">
      <c r="A219" s="87">
        <f t="shared" si="138"/>
        <v>30.6</v>
      </c>
      <c r="B219" s="111">
        <f t="shared" si="118"/>
        <v>209</v>
      </c>
      <c r="C219" s="60"/>
      <c r="D219" s="74"/>
      <c r="E219" s="75"/>
      <c r="F219" s="74"/>
      <c r="G219" s="54">
        <f t="shared" si="126"/>
        <v>0</v>
      </c>
      <c r="H219" s="55">
        <f t="shared" si="126"/>
        <v>0</v>
      </c>
      <c r="I219" s="76">
        <f t="shared" si="127"/>
        <v>0</v>
      </c>
      <c r="J219" s="58">
        <f t="shared" si="128"/>
        <v>0</v>
      </c>
      <c r="K219" s="58">
        <f t="shared" si="129"/>
        <v>0</v>
      </c>
      <c r="L219" s="58">
        <f t="shared" si="130"/>
        <v>0</v>
      </c>
      <c r="M219" s="58" t="str">
        <f t="shared" ca="1" si="131"/>
        <v/>
      </c>
      <c r="N219" s="58" t="str">
        <f t="shared" ca="1" si="131"/>
        <v/>
      </c>
      <c r="O219" s="58">
        <f t="shared" si="132"/>
        <v>5.0000000000000001E-4</v>
      </c>
      <c r="P219" s="77"/>
      <c r="Q219" s="60"/>
      <c r="R219" s="77"/>
      <c r="S219" s="78">
        <f t="shared" si="119"/>
        <v>0</v>
      </c>
      <c r="T219" s="55">
        <f t="shared" si="119"/>
        <v>0</v>
      </c>
      <c r="U219" s="79">
        <f t="shared" si="139"/>
        <v>0</v>
      </c>
      <c r="V219" s="63">
        <f t="shared" si="140"/>
        <v>0</v>
      </c>
      <c r="W219" s="64">
        <f t="shared" si="141"/>
        <v>127</v>
      </c>
      <c r="X219" s="80">
        <f t="shared" si="137"/>
        <v>169</v>
      </c>
      <c r="Y219" s="75"/>
      <c r="Z219" s="60"/>
      <c r="AA219" s="75"/>
      <c r="AB219" s="75"/>
      <c r="AC219" s="75"/>
      <c r="AD219" s="75"/>
      <c r="AE219" s="81">
        <f t="shared" si="120"/>
        <v>0</v>
      </c>
      <c r="AF219" s="55">
        <f t="shared" si="121"/>
        <v>0</v>
      </c>
      <c r="AG219" s="76">
        <f t="shared" si="115"/>
        <v>0</v>
      </c>
      <c r="AH219" s="82">
        <f t="shared" si="116"/>
        <v>0</v>
      </c>
      <c r="AI219" s="83">
        <f t="shared" si="116"/>
        <v>0</v>
      </c>
      <c r="AJ219" s="83">
        <f t="shared" si="116"/>
        <v>0</v>
      </c>
      <c r="AK219" s="58">
        <f t="shared" si="114"/>
        <v>0</v>
      </c>
      <c r="AL219" s="82">
        <f t="shared" si="122"/>
        <v>0</v>
      </c>
      <c r="AM219" s="58">
        <f t="shared" si="123"/>
        <v>0</v>
      </c>
      <c r="AN219" s="74"/>
      <c r="AO219" s="84"/>
      <c r="AP219" s="74"/>
      <c r="AQ219" s="85"/>
      <c r="AR219" s="74"/>
      <c r="AS219" s="74"/>
      <c r="AT219" s="74"/>
      <c r="AU219" s="55" t="str">
        <f t="shared" si="133"/>
        <v/>
      </c>
      <c r="AV219" s="55" t="str">
        <f t="shared" ca="1" si="134"/>
        <v/>
      </c>
      <c r="AW219" s="55" t="str">
        <f t="shared" si="124"/>
        <v/>
      </c>
      <c r="AX219" s="55" t="str">
        <f t="shared" ca="1" si="125"/>
        <v/>
      </c>
      <c r="AY219" s="86"/>
      <c r="AZ219" s="86"/>
      <c r="BA219" s="55" t="str">
        <f t="shared" si="135"/>
        <v/>
      </c>
      <c r="BB219" s="86"/>
      <c r="BC219" s="86"/>
      <c r="BD219" s="55" t="str">
        <f t="shared" si="136"/>
        <v/>
      </c>
      <c r="BE219" s="74"/>
      <c r="BS219" s="118"/>
      <c r="BT219" s="118"/>
      <c r="BU219" s="118"/>
      <c r="BV219" s="118"/>
      <c r="BW219" s="118"/>
      <c r="BX219" s="118"/>
      <c r="BZ219" s="118"/>
      <c r="CB219" s="118"/>
      <c r="CC219" s="118"/>
      <c r="CD219" s="118"/>
    </row>
    <row r="220" spans="1:82" ht="17.399999999999999" customHeight="1" thickBot="1">
      <c r="A220" s="72">
        <f t="shared" si="138"/>
        <v>30.700000000000003</v>
      </c>
      <c r="B220" s="113">
        <f t="shared" si="118"/>
        <v>210</v>
      </c>
      <c r="C220" s="89"/>
      <c r="D220" s="90"/>
      <c r="E220" s="91"/>
      <c r="F220" s="90"/>
      <c r="G220" s="92">
        <f t="shared" ref="G220:H235" si="142">G219-E220-C220</f>
        <v>0</v>
      </c>
      <c r="H220" s="93">
        <f t="shared" si="142"/>
        <v>0</v>
      </c>
      <c r="I220" s="94">
        <f t="shared" si="127"/>
        <v>0</v>
      </c>
      <c r="J220" s="95">
        <f t="shared" si="128"/>
        <v>0</v>
      </c>
      <c r="K220" s="95">
        <f t="shared" si="129"/>
        <v>0</v>
      </c>
      <c r="L220" s="95">
        <f t="shared" si="130"/>
        <v>0</v>
      </c>
      <c r="M220" s="95" t="str">
        <f t="shared" ca="1" si="131"/>
        <v/>
      </c>
      <c r="N220" s="95" t="str">
        <f t="shared" ca="1" si="131"/>
        <v/>
      </c>
      <c r="O220" s="95">
        <f t="shared" si="132"/>
        <v>5.0000000000000001E-4</v>
      </c>
      <c r="P220" s="96"/>
      <c r="Q220" s="89"/>
      <c r="R220" s="96"/>
      <c r="S220" s="78">
        <f t="shared" si="119"/>
        <v>0</v>
      </c>
      <c r="T220" s="55">
        <f t="shared" si="119"/>
        <v>0</v>
      </c>
      <c r="U220" s="97">
        <f t="shared" si="139"/>
        <v>0</v>
      </c>
      <c r="V220" s="98">
        <f t="shared" si="140"/>
        <v>0</v>
      </c>
      <c r="W220" s="99">
        <f t="shared" si="141"/>
        <v>127</v>
      </c>
      <c r="X220" s="100">
        <f t="shared" si="137"/>
        <v>169</v>
      </c>
      <c r="Y220" s="91"/>
      <c r="Z220" s="60"/>
      <c r="AA220" s="75"/>
      <c r="AB220" s="75"/>
      <c r="AC220" s="75"/>
      <c r="AD220" s="75"/>
      <c r="AE220" s="101">
        <f t="shared" si="120"/>
        <v>0</v>
      </c>
      <c r="AF220" s="93">
        <f t="shared" si="121"/>
        <v>0</v>
      </c>
      <c r="AG220" s="94">
        <f t="shared" si="115"/>
        <v>0</v>
      </c>
      <c r="AH220" s="102">
        <f t="shared" si="116"/>
        <v>0</v>
      </c>
      <c r="AI220" s="103">
        <f t="shared" si="116"/>
        <v>0</v>
      </c>
      <c r="AJ220" s="103">
        <f t="shared" si="116"/>
        <v>0</v>
      </c>
      <c r="AK220" s="95">
        <f t="shared" si="114"/>
        <v>0</v>
      </c>
      <c r="AL220" s="102">
        <f t="shared" si="122"/>
        <v>0</v>
      </c>
      <c r="AM220" s="95">
        <f t="shared" si="123"/>
        <v>0</v>
      </c>
      <c r="AN220" s="90"/>
      <c r="AO220" s="104"/>
      <c r="AP220" s="90"/>
      <c r="AQ220" s="105"/>
      <c r="AR220" s="90"/>
      <c r="AS220" s="90"/>
      <c r="AT220" s="90"/>
      <c r="AU220" s="93" t="str">
        <f t="shared" si="133"/>
        <v/>
      </c>
      <c r="AV220" s="93" t="str">
        <f t="shared" ca="1" si="134"/>
        <v/>
      </c>
      <c r="AW220" s="93" t="str">
        <f t="shared" si="124"/>
        <v/>
      </c>
      <c r="AX220" s="93" t="str">
        <f t="shared" ca="1" si="125"/>
        <v/>
      </c>
      <c r="AY220" s="106"/>
      <c r="AZ220" s="106"/>
      <c r="BA220" s="93" t="str">
        <f t="shared" si="135"/>
        <v/>
      </c>
      <c r="BB220" s="106"/>
      <c r="BC220" s="106"/>
      <c r="BD220" s="93" t="str">
        <f t="shared" si="136"/>
        <v/>
      </c>
      <c r="BE220" s="90"/>
      <c r="BS220" s="118"/>
      <c r="BT220" s="118"/>
      <c r="BU220" s="118"/>
      <c r="BV220" s="118"/>
      <c r="BW220" s="118"/>
      <c r="BX220" s="118"/>
      <c r="BZ220" s="118"/>
      <c r="CB220" s="118"/>
      <c r="CC220" s="118"/>
      <c r="CD220" s="118"/>
    </row>
    <row r="221" spans="1:82" ht="17.399999999999999" customHeight="1" thickTop="1">
      <c r="A221" s="49">
        <f>A214+1</f>
        <v>31.1</v>
      </c>
      <c r="B221" s="108">
        <f>B220+1</f>
        <v>211</v>
      </c>
      <c r="C221" s="51"/>
      <c r="D221" s="52"/>
      <c r="E221" s="53"/>
      <c r="F221" s="52"/>
      <c r="G221" s="54">
        <f t="shared" si="142"/>
        <v>0</v>
      </c>
      <c r="H221" s="55">
        <f t="shared" si="142"/>
        <v>0</v>
      </c>
      <c r="I221" s="56">
        <f t="shared" si="127"/>
        <v>0</v>
      </c>
      <c r="J221" s="57">
        <f t="shared" si="128"/>
        <v>0</v>
      </c>
      <c r="K221" s="57">
        <f t="shared" si="129"/>
        <v>0</v>
      </c>
      <c r="L221" s="57">
        <f t="shared" si="130"/>
        <v>0</v>
      </c>
      <c r="M221" s="58" t="str">
        <f t="shared" ca="1" si="131"/>
        <v/>
      </c>
      <c r="N221" s="58" t="str">
        <f t="shared" ca="1" si="131"/>
        <v/>
      </c>
      <c r="O221" s="58">
        <f t="shared" si="132"/>
        <v>5.0000000000000001E-4</v>
      </c>
      <c r="P221" s="77"/>
      <c r="Q221" s="60"/>
      <c r="R221" s="77"/>
      <c r="S221" s="109">
        <f t="shared" si="119"/>
        <v>0</v>
      </c>
      <c r="T221" s="61">
        <f t="shared" si="119"/>
        <v>0</v>
      </c>
      <c r="U221" s="62">
        <f t="shared" si="139"/>
        <v>0</v>
      </c>
      <c r="V221" s="63">
        <f t="shared" si="140"/>
        <v>0</v>
      </c>
      <c r="W221" s="64">
        <v>128</v>
      </c>
      <c r="X221" s="80">
        <f t="shared" si="137"/>
        <v>169</v>
      </c>
      <c r="Y221" s="53"/>
      <c r="Z221" s="51"/>
      <c r="AA221" s="53"/>
      <c r="AB221" s="53"/>
      <c r="AC221" s="53"/>
      <c r="AD221" s="53"/>
      <c r="AE221" s="66">
        <f t="shared" si="120"/>
        <v>0</v>
      </c>
      <c r="AF221" s="61">
        <f t="shared" si="121"/>
        <v>0</v>
      </c>
      <c r="AG221" s="56">
        <f t="shared" si="115"/>
        <v>0</v>
      </c>
      <c r="AH221" s="67">
        <f t="shared" si="116"/>
        <v>0</v>
      </c>
      <c r="AI221" s="68">
        <f t="shared" si="116"/>
        <v>0</v>
      </c>
      <c r="AJ221" s="68">
        <f t="shared" si="116"/>
        <v>0</v>
      </c>
      <c r="AK221" s="57">
        <f t="shared" si="114"/>
        <v>0</v>
      </c>
      <c r="AL221" s="67">
        <f t="shared" si="122"/>
        <v>0</v>
      </c>
      <c r="AM221" s="57">
        <f t="shared" si="123"/>
        <v>0</v>
      </c>
      <c r="AN221" s="52"/>
      <c r="AO221" s="69"/>
      <c r="AP221" s="52"/>
      <c r="AQ221" s="70"/>
      <c r="AR221" s="52"/>
      <c r="AS221" s="52"/>
      <c r="AT221" s="52"/>
      <c r="AU221" s="61" t="str">
        <f t="shared" si="133"/>
        <v/>
      </c>
      <c r="AV221" s="61" t="str">
        <f t="shared" ca="1" si="134"/>
        <v/>
      </c>
      <c r="AW221" s="61" t="str">
        <f t="shared" si="124"/>
        <v/>
      </c>
      <c r="AX221" s="61" t="str">
        <f t="shared" ca="1" si="125"/>
        <v/>
      </c>
      <c r="AY221" s="71"/>
      <c r="AZ221" s="71"/>
      <c r="BA221" s="61" t="str">
        <f t="shared" si="135"/>
        <v/>
      </c>
      <c r="BB221" s="71"/>
      <c r="BC221" s="71"/>
      <c r="BD221" s="61" t="str">
        <f t="shared" si="136"/>
        <v/>
      </c>
      <c r="BE221" s="52"/>
      <c r="BS221" s="118"/>
      <c r="BT221" s="118"/>
      <c r="BU221" s="118"/>
      <c r="BV221" s="118"/>
      <c r="BW221" s="118"/>
      <c r="BX221" s="118"/>
      <c r="BZ221" s="118"/>
      <c r="CB221" s="118"/>
      <c r="CC221" s="118"/>
      <c r="CD221" s="118"/>
    </row>
    <row r="222" spans="1:82" ht="17.399999999999999" customHeight="1">
      <c r="A222" s="72">
        <f t="shared" si="138"/>
        <v>31.2</v>
      </c>
      <c r="B222" s="111">
        <f t="shared" si="118"/>
        <v>212</v>
      </c>
      <c r="C222" s="60"/>
      <c r="D222" s="74"/>
      <c r="E222" s="75"/>
      <c r="F222" s="74"/>
      <c r="G222" s="54">
        <f t="shared" si="142"/>
        <v>0</v>
      </c>
      <c r="H222" s="55">
        <f t="shared" si="142"/>
        <v>0</v>
      </c>
      <c r="I222" s="76">
        <f t="shared" si="127"/>
        <v>0</v>
      </c>
      <c r="J222" s="58">
        <f t="shared" si="128"/>
        <v>0</v>
      </c>
      <c r="K222" s="58">
        <f t="shared" si="129"/>
        <v>0</v>
      </c>
      <c r="L222" s="58">
        <f t="shared" si="130"/>
        <v>0</v>
      </c>
      <c r="M222" s="58" t="str">
        <f t="shared" ca="1" si="131"/>
        <v/>
      </c>
      <c r="N222" s="58" t="str">
        <f t="shared" ca="1" si="131"/>
        <v/>
      </c>
      <c r="O222" s="58">
        <f t="shared" si="132"/>
        <v>5.0000000000000001E-4</v>
      </c>
      <c r="P222" s="77"/>
      <c r="Q222" s="60"/>
      <c r="R222" s="77"/>
      <c r="S222" s="78">
        <f t="shared" si="119"/>
        <v>0</v>
      </c>
      <c r="T222" s="55">
        <f t="shared" si="119"/>
        <v>0</v>
      </c>
      <c r="U222" s="79">
        <f t="shared" si="139"/>
        <v>0</v>
      </c>
      <c r="V222" s="63">
        <f t="shared" si="140"/>
        <v>0</v>
      </c>
      <c r="W222" s="64">
        <f t="shared" ref="W222:X237" si="143">W221</f>
        <v>128</v>
      </c>
      <c r="X222" s="80">
        <f t="shared" si="137"/>
        <v>169</v>
      </c>
      <c r="Y222" s="75"/>
      <c r="Z222" s="60"/>
      <c r="AA222" s="75"/>
      <c r="AB222" s="75"/>
      <c r="AC222" s="75"/>
      <c r="AD222" s="75"/>
      <c r="AE222" s="81">
        <f t="shared" si="120"/>
        <v>0</v>
      </c>
      <c r="AF222" s="55">
        <f t="shared" si="121"/>
        <v>0</v>
      </c>
      <c r="AG222" s="76">
        <f t="shared" si="115"/>
        <v>0</v>
      </c>
      <c r="AH222" s="82">
        <f t="shared" si="116"/>
        <v>0</v>
      </c>
      <c r="AI222" s="83">
        <f t="shared" si="116"/>
        <v>0</v>
      </c>
      <c r="AJ222" s="83">
        <f t="shared" si="116"/>
        <v>0</v>
      </c>
      <c r="AK222" s="58">
        <f t="shared" si="114"/>
        <v>0</v>
      </c>
      <c r="AL222" s="82">
        <f t="shared" si="122"/>
        <v>0</v>
      </c>
      <c r="AM222" s="58">
        <f t="shared" si="123"/>
        <v>0</v>
      </c>
      <c r="AN222" s="74"/>
      <c r="AO222" s="84"/>
      <c r="AP222" s="74"/>
      <c r="AQ222" s="85"/>
      <c r="AR222" s="74"/>
      <c r="AS222" s="74"/>
      <c r="AT222" s="74"/>
      <c r="AU222" s="55" t="str">
        <f t="shared" si="133"/>
        <v/>
      </c>
      <c r="AV222" s="55" t="str">
        <f t="shared" ca="1" si="134"/>
        <v/>
      </c>
      <c r="AW222" s="55" t="str">
        <f t="shared" si="124"/>
        <v/>
      </c>
      <c r="AX222" s="55" t="str">
        <f t="shared" ca="1" si="125"/>
        <v/>
      </c>
      <c r="AY222" s="86"/>
      <c r="AZ222" s="86"/>
      <c r="BA222" s="55" t="str">
        <f t="shared" si="135"/>
        <v/>
      </c>
      <c r="BB222" s="86"/>
      <c r="BC222" s="86"/>
      <c r="BD222" s="55" t="str">
        <f t="shared" si="136"/>
        <v/>
      </c>
      <c r="BE222" s="74"/>
      <c r="BS222" s="118"/>
      <c r="BT222" s="118"/>
      <c r="BU222" s="118"/>
      <c r="BV222" s="118"/>
      <c r="BW222" s="118"/>
      <c r="BX222" s="118"/>
      <c r="BZ222" s="118"/>
      <c r="CB222" s="118"/>
      <c r="CC222" s="118"/>
      <c r="CD222" s="118"/>
    </row>
    <row r="223" spans="1:82" ht="17.399999999999999" customHeight="1">
      <c r="A223" s="87">
        <f t="shared" si="138"/>
        <v>31.3</v>
      </c>
      <c r="B223" s="111">
        <f t="shared" si="118"/>
        <v>213</v>
      </c>
      <c r="C223" s="60"/>
      <c r="D223" s="74"/>
      <c r="E223" s="75"/>
      <c r="F223" s="74"/>
      <c r="G223" s="54">
        <f t="shared" si="142"/>
        <v>0</v>
      </c>
      <c r="H223" s="55">
        <f t="shared" si="142"/>
        <v>0</v>
      </c>
      <c r="I223" s="76">
        <f t="shared" si="127"/>
        <v>0</v>
      </c>
      <c r="J223" s="58">
        <f t="shared" si="128"/>
        <v>0</v>
      </c>
      <c r="K223" s="58">
        <f t="shared" si="129"/>
        <v>0</v>
      </c>
      <c r="L223" s="58">
        <f t="shared" si="130"/>
        <v>0</v>
      </c>
      <c r="M223" s="58" t="str">
        <f t="shared" ca="1" si="131"/>
        <v/>
      </c>
      <c r="N223" s="58" t="str">
        <f t="shared" ca="1" si="131"/>
        <v/>
      </c>
      <c r="O223" s="58">
        <f t="shared" si="132"/>
        <v>5.0000000000000001E-4</v>
      </c>
      <c r="P223" s="77"/>
      <c r="Q223" s="60"/>
      <c r="R223" s="77"/>
      <c r="S223" s="78">
        <f t="shared" si="119"/>
        <v>0</v>
      </c>
      <c r="T223" s="55">
        <f t="shared" si="119"/>
        <v>0</v>
      </c>
      <c r="U223" s="79">
        <f t="shared" si="139"/>
        <v>0</v>
      </c>
      <c r="V223" s="63">
        <f t="shared" si="140"/>
        <v>0</v>
      </c>
      <c r="W223" s="64">
        <f t="shared" si="143"/>
        <v>128</v>
      </c>
      <c r="X223" s="80">
        <f t="shared" si="137"/>
        <v>169</v>
      </c>
      <c r="Y223" s="75"/>
      <c r="Z223" s="60"/>
      <c r="AA223" s="75"/>
      <c r="AB223" s="75"/>
      <c r="AC223" s="75"/>
      <c r="AD223" s="75"/>
      <c r="AE223" s="81">
        <f t="shared" si="120"/>
        <v>0</v>
      </c>
      <c r="AF223" s="55">
        <f t="shared" si="121"/>
        <v>0</v>
      </c>
      <c r="AG223" s="76">
        <f t="shared" si="115"/>
        <v>0</v>
      </c>
      <c r="AH223" s="82">
        <f t="shared" si="116"/>
        <v>0</v>
      </c>
      <c r="AI223" s="83">
        <f t="shared" si="116"/>
        <v>0</v>
      </c>
      <c r="AJ223" s="83">
        <f t="shared" si="116"/>
        <v>0</v>
      </c>
      <c r="AK223" s="58">
        <f t="shared" si="114"/>
        <v>0</v>
      </c>
      <c r="AL223" s="82">
        <f t="shared" si="122"/>
        <v>0</v>
      </c>
      <c r="AM223" s="58">
        <f t="shared" si="123"/>
        <v>0</v>
      </c>
      <c r="AN223" s="74"/>
      <c r="AO223" s="84"/>
      <c r="AP223" s="74"/>
      <c r="AQ223" s="85"/>
      <c r="AR223" s="74"/>
      <c r="AS223" s="74"/>
      <c r="AT223" s="74"/>
      <c r="AU223" s="55" t="str">
        <f t="shared" si="133"/>
        <v/>
      </c>
      <c r="AV223" s="55" t="str">
        <f t="shared" ca="1" si="134"/>
        <v/>
      </c>
      <c r="AW223" s="55" t="str">
        <f t="shared" si="124"/>
        <v/>
      </c>
      <c r="AX223" s="55" t="str">
        <f t="shared" ca="1" si="125"/>
        <v/>
      </c>
      <c r="AY223" s="86"/>
      <c r="AZ223" s="86"/>
      <c r="BA223" s="55" t="str">
        <f t="shared" si="135"/>
        <v/>
      </c>
      <c r="BB223" s="86"/>
      <c r="BC223" s="86"/>
      <c r="BD223" s="55" t="str">
        <f t="shared" si="136"/>
        <v/>
      </c>
      <c r="BE223" s="74"/>
      <c r="BS223" s="118"/>
      <c r="BT223" s="118"/>
      <c r="BU223" s="118"/>
      <c r="BV223" s="118"/>
      <c r="BW223" s="118"/>
      <c r="BX223" s="118"/>
      <c r="BZ223" s="118"/>
      <c r="CB223" s="118"/>
      <c r="CC223" s="118"/>
      <c r="CD223" s="118"/>
    </row>
    <row r="224" spans="1:82" ht="17.399999999999999" customHeight="1">
      <c r="A224" s="72">
        <f t="shared" si="138"/>
        <v>31.4</v>
      </c>
      <c r="B224" s="111">
        <f t="shared" si="118"/>
        <v>214</v>
      </c>
      <c r="C224" s="60"/>
      <c r="D224" s="74"/>
      <c r="E224" s="75"/>
      <c r="F224" s="74"/>
      <c r="G224" s="54">
        <f t="shared" si="142"/>
        <v>0</v>
      </c>
      <c r="H224" s="55">
        <f t="shared" si="142"/>
        <v>0</v>
      </c>
      <c r="I224" s="76">
        <f t="shared" si="127"/>
        <v>0</v>
      </c>
      <c r="J224" s="58">
        <f t="shared" si="128"/>
        <v>0</v>
      </c>
      <c r="K224" s="58">
        <f t="shared" si="129"/>
        <v>0</v>
      </c>
      <c r="L224" s="58">
        <f t="shared" si="130"/>
        <v>0</v>
      </c>
      <c r="M224" s="58" t="str">
        <f t="shared" ca="1" si="131"/>
        <v/>
      </c>
      <c r="N224" s="58" t="str">
        <f t="shared" ca="1" si="131"/>
        <v/>
      </c>
      <c r="O224" s="58">
        <f t="shared" si="132"/>
        <v>5.0000000000000001E-4</v>
      </c>
      <c r="P224" s="77"/>
      <c r="Q224" s="60"/>
      <c r="R224" s="77"/>
      <c r="S224" s="78">
        <f t="shared" si="119"/>
        <v>0</v>
      </c>
      <c r="T224" s="55">
        <f t="shared" si="119"/>
        <v>0</v>
      </c>
      <c r="U224" s="79">
        <f t="shared" si="139"/>
        <v>0</v>
      </c>
      <c r="V224" s="63">
        <f t="shared" si="140"/>
        <v>0</v>
      </c>
      <c r="W224" s="64">
        <f t="shared" si="143"/>
        <v>128</v>
      </c>
      <c r="X224" s="80">
        <f t="shared" si="143"/>
        <v>169</v>
      </c>
      <c r="Y224" s="75"/>
      <c r="Z224" s="60"/>
      <c r="AA224" s="75"/>
      <c r="AB224" s="75"/>
      <c r="AC224" s="75"/>
      <c r="AD224" s="75"/>
      <c r="AE224" s="81">
        <f t="shared" si="120"/>
        <v>0</v>
      </c>
      <c r="AF224" s="55">
        <f t="shared" si="121"/>
        <v>0</v>
      </c>
      <c r="AG224" s="76">
        <f t="shared" si="115"/>
        <v>0</v>
      </c>
      <c r="AH224" s="82">
        <f t="shared" si="116"/>
        <v>0</v>
      </c>
      <c r="AI224" s="83">
        <f t="shared" si="116"/>
        <v>0</v>
      </c>
      <c r="AJ224" s="83">
        <f t="shared" si="116"/>
        <v>0</v>
      </c>
      <c r="AK224" s="58">
        <f t="shared" si="114"/>
        <v>0</v>
      </c>
      <c r="AL224" s="82">
        <f t="shared" si="122"/>
        <v>0</v>
      </c>
      <c r="AM224" s="58">
        <f t="shared" si="123"/>
        <v>0</v>
      </c>
      <c r="AN224" s="74"/>
      <c r="AO224" s="84"/>
      <c r="AP224" s="74"/>
      <c r="AQ224" s="85"/>
      <c r="AR224" s="74"/>
      <c r="AS224" s="74"/>
      <c r="AT224" s="74"/>
      <c r="AU224" s="55" t="str">
        <f t="shared" si="133"/>
        <v/>
      </c>
      <c r="AV224" s="55" t="str">
        <f t="shared" ca="1" si="134"/>
        <v/>
      </c>
      <c r="AW224" s="55" t="str">
        <f t="shared" si="124"/>
        <v/>
      </c>
      <c r="AX224" s="55" t="str">
        <f t="shared" ca="1" si="125"/>
        <v/>
      </c>
      <c r="AY224" s="86"/>
      <c r="AZ224" s="86"/>
      <c r="BA224" s="55" t="str">
        <f t="shared" si="135"/>
        <v/>
      </c>
      <c r="BB224" s="86"/>
      <c r="BC224" s="86"/>
      <c r="BD224" s="55" t="str">
        <f t="shared" si="136"/>
        <v/>
      </c>
      <c r="BE224" s="74"/>
      <c r="BS224" s="118"/>
      <c r="BT224" s="118"/>
      <c r="BU224" s="118"/>
      <c r="BV224" s="118"/>
      <c r="BW224" s="118"/>
      <c r="BX224" s="118"/>
      <c r="BZ224" s="118"/>
      <c r="CB224" s="118"/>
      <c r="CC224" s="118"/>
      <c r="CD224" s="118"/>
    </row>
    <row r="225" spans="1:82" ht="17.399999999999999" customHeight="1">
      <c r="A225" s="87">
        <f t="shared" si="138"/>
        <v>31.5</v>
      </c>
      <c r="B225" s="111">
        <f t="shared" si="118"/>
        <v>215</v>
      </c>
      <c r="C225" s="60"/>
      <c r="D225" s="74"/>
      <c r="E225" s="75"/>
      <c r="F225" s="74"/>
      <c r="G225" s="54">
        <f t="shared" si="142"/>
        <v>0</v>
      </c>
      <c r="H225" s="55">
        <f t="shared" si="142"/>
        <v>0</v>
      </c>
      <c r="I225" s="76">
        <f t="shared" si="127"/>
        <v>0</v>
      </c>
      <c r="J225" s="58">
        <f t="shared" si="128"/>
        <v>0</v>
      </c>
      <c r="K225" s="58">
        <f t="shared" si="129"/>
        <v>0</v>
      </c>
      <c r="L225" s="58">
        <f t="shared" si="130"/>
        <v>0</v>
      </c>
      <c r="M225" s="58" t="str">
        <f t="shared" ca="1" si="131"/>
        <v/>
      </c>
      <c r="N225" s="58" t="str">
        <f t="shared" ca="1" si="131"/>
        <v/>
      </c>
      <c r="O225" s="58">
        <f t="shared" si="132"/>
        <v>5.0000000000000001E-4</v>
      </c>
      <c r="P225" s="77"/>
      <c r="Q225" s="60"/>
      <c r="R225" s="77"/>
      <c r="S225" s="78">
        <f t="shared" si="119"/>
        <v>0</v>
      </c>
      <c r="T225" s="55">
        <f t="shared" si="119"/>
        <v>0</v>
      </c>
      <c r="U225" s="79">
        <f t="shared" si="139"/>
        <v>0</v>
      </c>
      <c r="V225" s="63">
        <f t="shared" si="140"/>
        <v>0</v>
      </c>
      <c r="W225" s="64">
        <f t="shared" si="143"/>
        <v>128</v>
      </c>
      <c r="X225" s="80">
        <f t="shared" si="143"/>
        <v>169</v>
      </c>
      <c r="Y225" s="75"/>
      <c r="Z225" s="60"/>
      <c r="AA225" s="75"/>
      <c r="AB225" s="75"/>
      <c r="AC225" s="75"/>
      <c r="AD225" s="75"/>
      <c r="AE225" s="81">
        <f t="shared" si="120"/>
        <v>0</v>
      </c>
      <c r="AF225" s="55">
        <f t="shared" si="121"/>
        <v>0</v>
      </c>
      <c r="AG225" s="76">
        <f t="shared" si="115"/>
        <v>0</v>
      </c>
      <c r="AH225" s="82">
        <f t="shared" si="116"/>
        <v>0</v>
      </c>
      <c r="AI225" s="83">
        <f t="shared" si="116"/>
        <v>0</v>
      </c>
      <c r="AJ225" s="83">
        <f t="shared" si="116"/>
        <v>0</v>
      </c>
      <c r="AK225" s="58">
        <f t="shared" si="114"/>
        <v>0</v>
      </c>
      <c r="AL225" s="82">
        <f t="shared" si="122"/>
        <v>0</v>
      </c>
      <c r="AM225" s="58">
        <f t="shared" si="123"/>
        <v>0</v>
      </c>
      <c r="AN225" s="74"/>
      <c r="AO225" s="84"/>
      <c r="AP225" s="74"/>
      <c r="AQ225" s="85"/>
      <c r="AR225" s="74"/>
      <c r="AS225" s="74"/>
      <c r="AT225" s="74"/>
      <c r="AU225" s="55" t="str">
        <f t="shared" si="133"/>
        <v/>
      </c>
      <c r="AV225" s="55" t="str">
        <f t="shared" ca="1" si="134"/>
        <v/>
      </c>
      <c r="AW225" s="55" t="str">
        <f t="shared" si="124"/>
        <v/>
      </c>
      <c r="AX225" s="55" t="str">
        <f t="shared" ca="1" si="125"/>
        <v/>
      </c>
      <c r="AY225" s="86"/>
      <c r="AZ225" s="86"/>
      <c r="BA225" s="55" t="str">
        <f t="shared" si="135"/>
        <v/>
      </c>
      <c r="BB225" s="86"/>
      <c r="BC225" s="86"/>
      <c r="BD225" s="55" t="str">
        <f t="shared" si="136"/>
        <v/>
      </c>
      <c r="BE225" s="74"/>
      <c r="BS225" s="118"/>
      <c r="BT225" s="118"/>
      <c r="BU225" s="118"/>
      <c r="BV225" s="118"/>
      <c r="BW225" s="118"/>
      <c r="BX225" s="118"/>
      <c r="BZ225" s="118"/>
      <c r="CB225" s="118"/>
      <c r="CC225" s="118"/>
      <c r="CD225" s="118"/>
    </row>
    <row r="226" spans="1:82" ht="17.399999999999999" customHeight="1">
      <c r="A226" s="72">
        <f t="shared" si="138"/>
        <v>31.6</v>
      </c>
      <c r="B226" s="111">
        <f t="shared" si="118"/>
        <v>216</v>
      </c>
      <c r="C226" s="60"/>
      <c r="D226" s="74"/>
      <c r="E226" s="75"/>
      <c r="F226" s="74"/>
      <c r="G226" s="54">
        <f t="shared" si="142"/>
        <v>0</v>
      </c>
      <c r="H226" s="55">
        <f t="shared" si="142"/>
        <v>0</v>
      </c>
      <c r="I226" s="76">
        <f t="shared" si="127"/>
        <v>0</v>
      </c>
      <c r="J226" s="58">
        <f t="shared" si="128"/>
        <v>0</v>
      </c>
      <c r="K226" s="58">
        <f t="shared" si="129"/>
        <v>0</v>
      </c>
      <c r="L226" s="58">
        <f t="shared" si="130"/>
        <v>0</v>
      </c>
      <c r="M226" s="58" t="str">
        <f t="shared" ca="1" si="131"/>
        <v/>
      </c>
      <c r="N226" s="58" t="str">
        <f t="shared" ca="1" si="131"/>
        <v/>
      </c>
      <c r="O226" s="58">
        <f t="shared" si="132"/>
        <v>5.0000000000000001E-4</v>
      </c>
      <c r="P226" s="77"/>
      <c r="Q226" s="60"/>
      <c r="R226" s="77"/>
      <c r="S226" s="78">
        <f t="shared" si="119"/>
        <v>0</v>
      </c>
      <c r="T226" s="55">
        <f t="shared" si="119"/>
        <v>0</v>
      </c>
      <c r="U226" s="79">
        <f t="shared" si="139"/>
        <v>0</v>
      </c>
      <c r="V226" s="63">
        <f t="shared" si="140"/>
        <v>0</v>
      </c>
      <c r="W226" s="64">
        <f t="shared" si="143"/>
        <v>128</v>
      </c>
      <c r="X226" s="80">
        <f t="shared" si="143"/>
        <v>169</v>
      </c>
      <c r="Y226" s="75"/>
      <c r="Z226" s="60"/>
      <c r="AA226" s="75"/>
      <c r="AB226" s="75"/>
      <c r="AC226" s="75"/>
      <c r="AD226" s="75"/>
      <c r="AE226" s="81">
        <f t="shared" si="120"/>
        <v>0</v>
      </c>
      <c r="AF226" s="55">
        <f t="shared" si="121"/>
        <v>0</v>
      </c>
      <c r="AG226" s="76">
        <f t="shared" si="115"/>
        <v>0</v>
      </c>
      <c r="AH226" s="82">
        <f t="shared" si="116"/>
        <v>0</v>
      </c>
      <c r="AI226" s="83">
        <f t="shared" si="116"/>
        <v>0</v>
      </c>
      <c r="AJ226" s="83">
        <f t="shared" si="116"/>
        <v>0</v>
      </c>
      <c r="AK226" s="58">
        <f t="shared" si="114"/>
        <v>0</v>
      </c>
      <c r="AL226" s="82">
        <f t="shared" si="122"/>
        <v>0</v>
      </c>
      <c r="AM226" s="58">
        <f t="shared" si="123"/>
        <v>0</v>
      </c>
      <c r="AN226" s="74"/>
      <c r="AO226" s="84"/>
      <c r="AP226" s="74"/>
      <c r="AQ226" s="85"/>
      <c r="AR226" s="74"/>
      <c r="AS226" s="74"/>
      <c r="AT226" s="74"/>
      <c r="AU226" s="55" t="str">
        <f t="shared" si="133"/>
        <v/>
      </c>
      <c r="AV226" s="55" t="str">
        <f t="shared" ca="1" si="134"/>
        <v/>
      </c>
      <c r="AW226" s="55" t="str">
        <f t="shared" si="124"/>
        <v/>
      </c>
      <c r="AX226" s="55" t="str">
        <f t="shared" ca="1" si="125"/>
        <v/>
      </c>
      <c r="AY226" s="86"/>
      <c r="AZ226" s="86"/>
      <c r="BA226" s="55" t="str">
        <f t="shared" si="135"/>
        <v/>
      </c>
      <c r="BB226" s="86"/>
      <c r="BC226" s="86"/>
      <c r="BD226" s="55" t="str">
        <f t="shared" si="136"/>
        <v/>
      </c>
      <c r="BE226" s="74"/>
      <c r="BS226" s="118"/>
      <c r="BT226" s="118"/>
      <c r="BU226" s="118"/>
      <c r="BV226" s="118"/>
      <c r="BW226" s="118"/>
      <c r="BX226" s="118"/>
      <c r="BZ226" s="118"/>
      <c r="CB226" s="118"/>
      <c r="CC226" s="118"/>
      <c r="CD226" s="118"/>
    </row>
    <row r="227" spans="1:82" ht="17.399999999999999" customHeight="1" thickBot="1">
      <c r="A227" s="87">
        <f t="shared" si="138"/>
        <v>31.700000000000003</v>
      </c>
      <c r="B227" s="113">
        <f t="shared" si="118"/>
        <v>217</v>
      </c>
      <c r="C227" s="89"/>
      <c r="D227" s="90"/>
      <c r="E227" s="91"/>
      <c r="F227" s="90"/>
      <c r="G227" s="92">
        <f t="shared" si="142"/>
        <v>0</v>
      </c>
      <c r="H227" s="93">
        <f t="shared" si="142"/>
        <v>0</v>
      </c>
      <c r="I227" s="94">
        <f t="shared" si="127"/>
        <v>0</v>
      </c>
      <c r="J227" s="95">
        <f t="shared" si="128"/>
        <v>0</v>
      </c>
      <c r="K227" s="95">
        <f t="shared" si="129"/>
        <v>0</v>
      </c>
      <c r="L227" s="95">
        <f t="shared" si="130"/>
        <v>0</v>
      </c>
      <c r="M227" s="95" t="str">
        <f t="shared" ca="1" si="131"/>
        <v/>
      </c>
      <c r="N227" s="95" t="str">
        <f t="shared" ca="1" si="131"/>
        <v/>
      </c>
      <c r="O227" s="95">
        <f t="shared" si="132"/>
        <v>5.0000000000000001E-4</v>
      </c>
      <c r="P227" s="96"/>
      <c r="Q227" s="89"/>
      <c r="R227" s="96"/>
      <c r="S227" s="78">
        <f t="shared" si="119"/>
        <v>0</v>
      </c>
      <c r="T227" s="55">
        <f t="shared" si="119"/>
        <v>0</v>
      </c>
      <c r="U227" s="97">
        <f t="shared" si="139"/>
        <v>0</v>
      </c>
      <c r="V227" s="98">
        <f t="shared" si="140"/>
        <v>0</v>
      </c>
      <c r="W227" s="99">
        <f t="shared" si="143"/>
        <v>128</v>
      </c>
      <c r="X227" s="100">
        <f t="shared" si="143"/>
        <v>169</v>
      </c>
      <c r="Y227" s="91"/>
      <c r="Z227" s="60"/>
      <c r="AA227" s="75"/>
      <c r="AB227" s="75"/>
      <c r="AC227" s="75"/>
      <c r="AD227" s="75"/>
      <c r="AE227" s="101">
        <f t="shared" si="120"/>
        <v>0</v>
      </c>
      <c r="AF227" s="93">
        <f t="shared" si="121"/>
        <v>0</v>
      </c>
      <c r="AG227" s="94">
        <f t="shared" si="115"/>
        <v>0</v>
      </c>
      <c r="AH227" s="102">
        <f t="shared" si="116"/>
        <v>0</v>
      </c>
      <c r="AI227" s="103">
        <f t="shared" si="116"/>
        <v>0</v>
      </c>
      <c r="AJ227" s="103">
        <f t="shared" si="116"/>
        <v>0</v>
      </c>
      <c r="AK227" s="95">
        <f t="shared" si="114"/>
        <v>0</v>
      </c>
      <c r="AL227" s="102">
        <f t="shared" si="122"/>
        <v>0</v>
      </c>
      <c r="AM227" s="95">
        <f t="shared" si="123"/>
        <v>0</v>
      </c>
      <c r="AN227" s="90"/>
      <c r="AO227" s="104"/>
      <c r="AP227" s="90"/>
      <c r="AQ227" s="105"/>
      <c r="AR227" s="90"/>
      <c r="AS227" s="90"/>
      <c r="AT227" s="90"/>
      <c r="AU227" s="93" t="str">
        <f t="shared" si="133"/>
        <v/>
      </c>
      <c r="AV227" s="93" t="str">
        <f t="shared" ca="1" si="134"/>
        <v/>
      </c>
      <c r="AW227" s="93" t="str">
        <f t="shared" si="124"/>
        <v/>
      </c>
      <c r="AX227" s="93" t="str">
        <f t="shared" ca="1" si="125"/>
        <v/>
      </c>
      <c r="AY227" s="106"/>
      <c r="AZ227" s="106"/>
      <c r="BA227" s="93" t="str">
        <f t="shared" si="135"/>
        <v/>
      </c>
      <c r="BB227" s="106"/>
      <c r="BC227" s="106"/>
      <c r="BD227" s="93" t="str">
        <f t="shared" si="136"/>
        <v/>
      </c>
      <c r="BE227" s="90"/>
      <c r="BS227" s="118"/>
      <c r="BT227" s="118"/>
      <c r="BU227" s="118"/>
      <c r="BV227" s="118"/>
      <c r="BW227" s="118"/>
      <c r="BX227" s="118"/>
      <c r="BZ227" s="118"/>
      <c r="CB227" s="118"/>
      <c r="CC227" s="118"/>
      <c r="CD227" s="118"/>
    </row>
    <row r="228" spans="1:82" ht="17.399999999999999" customHeight="1" thickTop="1">
      <c r="A228" s="107">
        <f>A221+1</f>
        <v>32.1</v>
      </c>
      <c r="B228" s="108">
        <f>B227+1</f>
        <v>218</v>
      </c>
      <c r="C228" s="51"/>
      <c r="D228" s="52"/>
      <c r="E228" s="53"/>
      <c r="F228" s="52"/>
      <c r="G228" s="54">
        <f t="shared" si="142"/>
        <v>0</v>
      </c>
      <c r="H228" s="55">
        <f t="shared" si="142"/>
        <v>0</v>
      </c>
      <c r="I228" s="56">
        <f t="shared" si="127"/>
        <v>0</v>
      </c>
      <c r="J228" s="57">
        <f t="shared" si="128"/>
        <v>0</v>
      </c>
      <c r="K228" s="57">
        <f t="shared" si="129"/>
        <v>0</v>
      </c>
      <c r="L228" s="57">
        <f t="shared" si="130"/>
        <v>0</v>
      </c>
      <c r="M228" s="58" t="str">
        <f t="shared" ca="1" si="131"/>
        <v/>
      </c>
      <c r="N228" s="58" t="str">
        <f t="shared" ca="1" si="131"/>
        <v/>
      </c>
      <c r="O228" s="58">
        <f t="shared" si="132"/>
        <v>5.0000000000000001E-4</v>
      </c>
      <c r="P228" s="77"/>
      <c r="Q228" s="60"/>
      <c r="R228" s="77"/>
      <c r="S228" s="109">
        <f t="shared" si="119"/>
        <v>0</v>
      </c>
      <c r="T228" s="61">
        <f t="shared" si="119"/>
        <v>0</v>
      </c>
      <c r="U228" s="62">
        <f t="shared" si="139"/>
        <v>0</v>
      </c>
      <c r="V228" s="63">
        <f t="shared" si="140"/>
        <v>0</v>
      </c>
      <c r="W228" s="64">
        <v>128</v>
      </c>
      <c r="X228" s="80">
        <f t="shared" si="143"/>
        <v>169</v>
      </c>
      <c r="Y228" s="53"/>
      <c r="Z228" s="51"/>
      <c r="AA228" s="53"/>
      <c r="AB228" s="53"/>
      <c r="AC228" s="53"/>
      <c r="AD228" s="53"/>
      <c r="AE228" s="66">
        <f t="shared" si="120"/>
        <v>0</v>
      </c>
      <c r="AF228" s="61">
        <f t="shared" si="121"/>
        <v>0</v>
      </c>
      <c r="AG228" s="56">
        <f t="shared" si="115"/>
        <v>0</v>
      </c>
      <c r="AH228" s="67">
        <f t="shared" si="116"/>
        <v>0</v>
      </c>
      <c r="AI228" s="68">
        <f t="shared" si="116"/>
        <v>0</v>
      </c>
      <c r="AJ228" s="68">
        <f t="shared" si="116"/>
        <v>0</v>
      </c>
      <c r="AK228" s="57">
        <f t="shared" si="114"/>
        <v>0</v>
      </c>
      <c r="AL228" s="67">
        <f t="shared" si="122"/>
        <v>0</v>
      </c>
      <c r="AM228" s="57">
        <f t="shared" si="123"/>
        <v>0</v>
      </c>
      <c r="AN228" s="52"/>
      <c r="AO228" s="69"/>
      <c r="AP228" s="52"/>
      <c r="AQ228" s="70"/>
      <c r="AR228" s="52"/>
      <c r="AS228" s="52"/>
      <c r="AT228" s="52"/>
      <c r="AU228" s="61" t="str">
        <f t="shared" si="133"/>
        <v/>
      </c>
      <c r="AV228" s="61" t="str">
        <f t="shared" ca="1" si="134"/>
        <v/>
      </c>
      <c r="AW228" s="61" t="str">
        <f t="shared" si="124"/>
        <v/>
      </c>
      <c r="AX228" s="61" t="str">
        <f t="shared" ca="1" si="125"/>
        <v/>
      </c>
      <c r="AY228" s="71"/>
      <c r="AZ228" s="71"/>
      <c r="BA228" s="61" t="str">
        <f t="shared" si="135"/>
        <v/>
      </c>
      <c r="BB228" s="71"/>
      <c r="BC228" s="71"/>
      <c r="BD228" s="61" t="str">
        <f t="shared" si="136"/>
        <v/>
      </c>
      <c r="BE228" s="52"/>
      <c r="BS228" s="118"/>
      <c r="BT228" s="118"/>
      <c r="BU228" s="118"/>
      <c r="BV228" s="118"/>
      <c r="BW228" s="118"/>
      <c r="BX228" s="118"/>
      <c r="BZ228" s="118"/>
      <c r="CB228" s="118"/>
      <c r="CC228" s="118"/>
      <c r="CD228" s="118"/>
    </row>
    <row r="229" spans="1:82" ht="17.399999999999999" customHeight="1">
      <c r="A229" s="87">
        <f t="shared" si="138"/>
        <v>32.200000000000003</v>
      </c>
      <c r="B229" s="111">
        <f t="shared" si="118"/>
        <v>219</v>
      </c>
      <c r="C229" s="60"/>
      <c r="D229" s="74"/>
      <c r="E229" s="75"/>
      <c r="F229" s="74"/>
      <c r="G229" s="54">
        <f t="shared" si="142"/>
        <v>0</v>
      </c>
      <c r="H229" s="55">
        <f t="shared" si="142"/>
        <v>0</v>
      </c>
      <c r="I229" s="76">
        <f t="shared" si="127"/>
        <v>0</v>
      </c>
      <c r="J229" s="58">
        <f t="shared" si="128"/>
        <v>0</v>
      </c>
      <c r="K229" s="58">
        <f t="shared" si="129"/>
        <v>0</v>
      </c>
      <c r="L229" s="58">
        <f t="shared" si="130"/>
        <v>0</v>
      </c>
      <c r="M229" s="58" t="str">
        <f t="shared" ca="1" si="131"/>
        <v/>
      </c>
      <c r="N229" s="58" t="str">
        <f t="shared" ca="1" si="131"/>
        <v/>
      </c>
      <c r="O229" s="58">
        <f t="shared" si="132"/>
        <v>5.0000000000000001E-4</v>
      </c>
      <c r="P229" s="77"/>
      <c r="Q229" s="60"/>
      <c r="R229" s="77"/>
      <c r="S229" s="78">
        <f t="shared" si="119"/>
        <v>0</v>
      </c>
      <c r="T229" s="55">
        <f t="shared" si="119"/>
        <v>0</v>
      </c>
      <c r="U229" s="79">
        <f t="shared" si="139"/>
        <v>0</v>
      </c>
      <c r="V229" s="63">
        <f t="shared" si="140"/>
        <v>0</v>
      </c>
      <c r="W229" s="64">
        <f t="shared" ref="W229:W234" si="144">W228</f>
        <v>128</v>
      </c>
      <c r="X229" s="80">
        <f t="shared" si="143"/>
        <v>169</v>
      </c>
      <c r="Y229" s="75"/>
      <c r="Z229" s="60"/>
      <c r="AA229" s="75"/>
      <c r="AB229" s="75"/>
      <c r="AC229" s="75"/>
      <c r="AD229" s="75"/>
      <c r="AE229" s="81">
        <f t="shared" si="120"/>
        <v>0</v>
      </c>
      <c r="AF229" s="55">
        <f t="shared" si="121"/>
        <v>0</v>
      </c>
      <c r="AG229" s="76">
        <f t="shared" si="115"/>
        <v>0</v>
      </c>
      <c r="AH229" s="82">
        <f t="shared" si="116"/>
        <v>0</v>
      </c>
      <c r="AI229" s="83">
        <f t="shared" si="116"/>
        <v>0</v>
      </c>
      <c r="AJ229" s="83">
        <f t="shared" si="116"/>
        <v>0</v>
      </c>
      <c r="AK229" s="58">
        <f t="shared" si="114"/>
        <v>0</v>
      </c>
      <c r="AL229" s="82">
        <f t="shared" si="122"/>
        <v>0</v>
      </c>
      <c r="AM229" s="58">
        <f t="shared" si="123"/>
        <v>0</v>
      </c>
      <c r="AN229" s="74"/>
      <c r="AO229" s="84"/>
      <c r="AP229" s="74"/>
      <c r="AQ229" s="85"/>
      <c r="AR229" s="74"/>
      <c r="AS229" s="74"/>
      <c r="AT229" s="74"/>
      <c r="AU229" s="55" t="str">
        <f t="shared" si="133"/>
        <v/>
      </c>
      <c r="AV229" s="55" t="str">
        <f t="shared" ca="1" si="134"/>
        <v/>
      </c>
      <c r="AW229" s="55" t="str">
        <f t="shared" si="124"/>
        <v/>
      </c>
      <c r="AX229" s="55" t="str">
        <f t="shared" ca="1" si="125"/>
        <v/>
      </c>
      <c r="AY229" s="86"/>
      <c r="AZ229" s="86"/>
      <c r="BA229" s="55" t="str">
        <f t="shared" si="135"/>
        <v/>
      </c>
      <c r="BB229" s="86"/>
      <c r="BC229" s="86"/>
      <c r="BD229" s="55" t="str">
        <f t="shared" si="136"/>
        <v/>
      </c>
      <c r="BE229" s="74"/>
      <c r="BS229" s="118"/>
      <c r="BT229" s="118"/>
      <c r="BU229" s="118"/>
      <c r="BV229" s="118"/>
      <c r="BW229" s="118"/>
      <c r="BX229" s="118"/>
      <c r="BZ229" s="118"/>
      <c r="CB229" s="118"/>
      <c r="CC229" s="118"/>
      <c r="CD229" s="118"/>
    </row>
    <row r="230" spans="1:82" ht="17.399999999999999" customHeight="1">
      <c r="A230" s="72">
        <f t="shared" si="138"/>
        <v>32.299999999999997</v>
      </c>
      <c r="B230" s="111">
        <f t="shared" si="118"/>
        <v>220</v>
      </c>
      <c r="C230" s="60"/>
      <c r="D230" s="74"/>
      <c r="E230" s="75"/>
      <c r="F230" s="74"/>
      <c r="G230" s="54">
        <f t="shared" si="142"/>
        <v>0</v>
      </c>
      <c r="H230" s="55">
        <f t="shared" si="142"/>
        <v>0</v>
      </c>
      <c r="I230" s="76">
        <f t="shared" si="127"/>
        <v>0</v>
      </c>
      <c r="J230" s="58">
        <f t="shared" si="128"/>
        <v>0</v>
      </c>
      <c r="K230" s="58">
        <f t="shared" si="129"/>
        <v>0</v>
      </c>
      <c r="L230" s="58">
        <f t="shared" si="130"/>
        <v>0</v>
      </c>
      <c r="M230" s="58" t="str">
        <f t="shared" ca="1" si="131"/>
        <v/>
      </c>
      <c r="N230" s="58" t="str">
        <f t="shared" ca="1" si="131"/>
        <v/>
      </c>
      <c r="O230" s="58">
        <f t="shared" si="132"/>
        <v>5.0000000000000001E-4</v>
      </c>
      <c r="P230" s="77"/>
      <c r="Q230" s="60"/>
      <c r="R230" s="77"/>
      <c r="S230" s="78">
        <f t="shared" si="119"/>
        <v>0</v>
      </c>
      <c r="T230" s="55">
        <f t="shared" si="119"/>
        <v>0</v>
      </c>
      <c r="U230" s="79">
        <f t="shared" si="139"/>
        <v>0</v>
      </c>
      <c r="V230" s="63">
        <f t="shared" si="140"/>
        <v>0</v>
      </c>
      <c r="W230" s="64">
        <f t="shared" si="144"/>
        <v>128</v>
      </c>
      <c r="X230" s="80">
        <f t="shared" si="143"/>
        <v>169</v>
      </c>
      <c r="Y230" s="75"/>
      <c r="Z230" s="60"/>
      <c r="AA230" s="75"/>
      <c r="AB230" s="75"/>
      <c r="AC230" s="75"/>
      <c r="AD230" s="75"/>
      <c r="AE230" s="81">
        <f t="shared" si="120"/>
        <v>0</v>
      </c>
      <c r="AF230" s="55">
        <f t="shared" si="121"/>
        <v>0</v>
      </c>
      <c r="AG230" s="76">
        <f t="shared" si="115"/>
        <v>0</v>
      </c>
      <c r="AH230" s="82">
        <f t="shared" si="116"/>
        <v>0</v>
      </c>
      <c r="AI230" s="83">
        <f t="shared" si="116"/>
        <v>0</v>
      </c>
      <c r="AJ230" s="83">
        <f t="shared" si="116"/>
        <v>0</v>
      </c>
      <c r="AK230" s="58">
        <f t="shared" si="114"/>
        <v>0</v>
      </c>
      <c r="AL230" s="82">
        <f t="shared" si="122"/>
        <v>0</v>
      </c>
      <c r="AM230" s="58">
        <f t="shared" si="123"/>
        <v>0</v>
      </c>
      <c r="AN230" s="74"/>
      <c r="AO230" s="84"/>
      <c r="AP230" s="74"/>
      <c r="AQ230" s="85"/>
      <c r="AR230" s="74"/>
      <c r="AS230" s="74"/>
      <c r="AT230" s="74"/>
      <c r="AU230" s="55" t="str">
        <f t="shared" si="133"/>
        <v/>
      </c>
      <c r="AV230" s="55" t="str">
        <f t="shared" ca="1" si="134"/>
        <v/>
      </c>
      <c r="AW230" s="55" t="str">
        <f t="shared" si="124"/>
        <v/>
      </c>
      <c r="AX230" s="55" t="str">
        <f t="shared" ca="1" si="125"/>
        <v/>
      </c>
      <c r="AY230" s="86"/>
      <c r="AZ230" s="86"/>
      <c r="BA230" s="55" t="str">
        <f t="shared" si="135"/>
        <v/>
      </c>
      <c r="BB230" s="86"/>
      <c r="BC230" s="86"/>
      <c r="BD230" s="55" t="str">
        <f t="shared" si="136"/>
        <v/>
      </c>
      <c r="BE230" s="74"/>
      <c r="BS230" s="118"/>
      <c r="BT230" s="118"/>
      <c r="BU230" s="118"/>
      <c r="BV230" s="118"/>
      <c r="BW230" s="118"/>
      <c r="BX230" s="118"/>
      <c r="BZ230" s="118"/>
      <c r="CB230" s="118"/>
      <c r="CC230" s="118"/>
      <c r="CD230" s="118"/>
    </row>
    <row r="231" spans="1:82" ht="17.399999999999999" customHeight="1">
      <c r="A231" s="87">
        <f t="shared" si="138"/>
        <v>32.4</v>
      </c>
      <c r="B231" s="111">
        <f t="shared" si="118"/>
        <v>221</v>
      </c>
      <c r="C231" s="60"/>
      <c r="D231" s="74"/>
      <c r="E231" s="75"/>
      <c r="F231" s="74"/>
      <c r="G231" s="54">
        <f t="shared" si="142"/>
        <v>0</v>
      </c>
      <c r="H231" s="55">
        <f t="shared" si="142"/>
        <v>0</v>
      </c>
      <c r="I231" s="76">
        <f t="shared" si="127"/>
        <v>0</v>
      </c>
      <c r="J231" s="58">
        <f t="shared" si="128"/>
        <v>0</v>
      </c>
      <c r="K231" s="58">
        <f t="shared" si="129"/>
        <v>0</v>
      </c>
      <c r="L231" s="58">
        <f t="shared" si="130"/>
        <v>0</v>
      </c>
      <c r="M231" s="58" t="str">
        <f t="shared" ca="1" si="131"/>
        <v/>
      </c>
      <c r="N231" s="58" t="str">
        <f t="shared" ca="1" si="131"/>
        <v/>
      </c>
      <c r="O231" s="58">
        <f t="shared" si="132"/>
        <v>5.0000000000000001E-4</v>
      </c>
      <c r="P231" s="77"/>
      <c r="Q231" s="60"/>
      <c r="R231" s="77"/>
      <c r="S231" s="78">
        <f t="shared" si="119"/>
        <v>0</v>
      </c>
      <c r="T231" s="55">
        <f t="shared" si="119"/>
        <v>0</v>
      </c>
      <c r="U231" s="79">
        <f t="shared" si="139"/>
        <v>0</v>
      </c>
      <c r="V231" s="63">
        <f t="shared" si="140"/>
        <v>0</v>
      </c>
      <c r="W231" s="64">
        <f t="shared" si="144"/>
        <v>128</v>
      </c>
      <c r="X231" s="80">
        <f t="shared" si="143"/>
        <v>169</v>
      </c>
      <c r="Y231" s="75"/>
      <c r="Z231" s="60"/>
      <c r="AA231" s="75"/>
      <c r="AB231" s="75"/>
      <c r="AC231" s="75"/>
      <c r="AD231" s="75"/>
      <c r="AE231" s="81">
        <f t="shared" si="120"/>
        <v>0</v>
      </c>
      <c r="AF231" s="55">
        <f t="shared" si="121"/>
        <v>0</v>
      </c>
      <c r="AG231" s="76">
        <f t="shared" si="115"/>
        <v>0</v>
      </c>
      <c r="AH231" s="82">
        <f t="shared" si="116"/>
        <v>0</v>
      </c>
      <c r="AI231" s="83">
        <f t="shared" si="116"/>
        <v>0</v>
      </c>
      <c r="AJ231" s="83">
        <f t="shared" si="116"/>
        <v>0</v>
      </c>
      <c r="AK231" s="58">
        <f t="shared" si="114"/>
        <v>0</v>
      </c>
      <c r="AL231" s="82">
        <f t="shared" si="122"/>
        <v>0</v>
      </c>
      <c r="AM231" s="58">
        <f t="shared" si="123"/>
        <v>0</v>
      </c>
      <c r="AN231" s="74"/>
      <c r="AO231" s="84"/>
      <c r="AP231" s="74"/>
      <c r="AQ231" s="85"/>
      <c r="AR231" s="74"/>
      <c r="AS231" s="74"/>
      <c r="AT231" s="74"/>
      <c r="AU231" s="55" t="str">
        <f t="shared" si="133"/>
        <v/>
      </c>
      <c r="AV231" s="55" t="str">
        <f t="shared" ca="1" si="134"/>
        <v/>
      </c>
      <c r="AW231" s="55" t="str">
        <f t="shared" si="124"/>
        <v/>
      </c>
      <c r="AX231" s="55" t="str">
        <f t="shared" ca="1" si="125"/>
        <v/>
      </c>
      <c r="AY231" s="86"/>
      <c r="AZ231" s="86"/>
      <c r="BA231" s="55" t="str">
        <f t="shared" si="135"/>
        <v/>
      </c>
      <c r="BB231" s="86"/>
      <c r="BC231" s="86"/>
      <c r="BD231" s="55" t="str">
        <f t="shared" si="136"/>
        <v/>
      </c>
      <c r="BE231" s="74"/>
      <c r="BS231" s="118"/>
      <c r="BT231" s="118"/>
      <c r="BU231" s="118"/>
      <c r="BV231" s="118"/>
      <c r="BW231" s="118"/>
      <c r="BX231" s="118"/>
      <c r="BZ231" s="118"/>
      <c r="CB231" s="118"/>
      <c r="CC231" s="118"/>
      <c r="CD231" s="118"/>
    </row>
    <row r="232" spans="1:82" ht="17.399999999999999" customHeight="1">
      <c r="A232" s="72">
        <f t="shared" si="138"/>
        <v>32.5</v>
      </c>
      <c r="B232" s="111">
        <f t="shared" si="118"/>
        <v>222</v>
      </c>
      <c r="C232" s="60"/>
      <c r="D232" s="74"/>
      <c r="E232" s="75"/>
      <c r="F232" s="74"/>
      <c r="G232" s="54">
        <f t="shared" si="142"/>
        <v>0</v>
      </c>
      <c r="H232" s="55">
        <f t="shared" si="142"/>
        <v>0</v>
      </c>
      <c r="I232" s="76">
        <f t="shared" si="127"/>
        <v>0</v>
      </c>
      <c r="J232" s="58">
        <f t="shared" si="128"/>
        <v>0</v>
      </c>
      <c r="K232" s="58">
        <f t="shared" si="129"/>
        <v>0</v>
      </c>
      <c r="L232" s="58">
        <f t="shared" si="130"/>
        <v>0</v>
      </c>
      <c r="M232" s="58" t="str">
        <f t="shared" ca="1" si="131"/>
        <v/>
      </c>
      <c r="N232" s="58" t="str">
        <f t="shared" ca="1" si="131"/>
        <v/>
      </c>
      <c r="O232" s="58">
        <f t="shared" si="132"/>
        <v>5.0000000000000001E-4</v>
      </c>
      <c r="P232" s="77"/>
      <c r="Q232" s="60"/>
      <c r="R232" s="77"/>
      <c r="S232" s="78">
        <f t="shared" si="119"/>
        <v>0</v>
      </c>
      <c r="T232" s="55">
        <f t="shared" si="119"/>
        <v>0</v>
      </c>
      <c r="U232" s="79">
        <f t="shared" si="139"/>
        <v>0</v>
      </c>
      <c r="V232" s="63">
        <f t="shared" si="140"/>
        <v>0</v>
      </c>
      <c r="W232" s="64">
        <f t="shared" si="144"/>
        <v>128</v>
      </c>
      <c r="X232" s="80">
        <f t="shared" si="143"/>
        <v>169</v>
      </c>
      <c r="Y232" s="75"/>
      <c r="Z232" s="60"/>
      <c r="AA232" s="75"/>
      <c r="AB232" s="75"/>
      <c r="AC232" s="75"/>
      <c r="AD232" s="75"/>
      <c r="AE232" s="81">
        <f t="shared" si="120"/>
        <v>0</v>
      </c>
      <c r="AF232" s="55">
        <f t="shared" si="121"/>
        <v>0</v>
      </c>
      <c r="AG232" s="76">
        <f t="shared" si="115"/>
        <v>0</v>
      </c>
      <c r="AH232" s="82">
        <f t="shared" si="116"/>
        <v>0</v>
      </c>
      <c r="AI232" s="83">
        <f t="shared" si="116"/>
        <v>0</v>
      </c>
      <c r="AJ232" s="83">
        <f t="shared" si="116"/>
        <v>0</v>
      </c>
      <c r="AK232" s="58">
        <f t="shared" si="114"/>
        <v>0</v>
      </c>
      <c r="AL232" s="82">
        <f t="shared" si="122"/>
        <v>0</v>
      </c>
      <c r="AM232" s="58">
        <f t="shared" si="123"/>
        <v>0</v>
      </c>
      <c r="AN232" s="74"/>
      <c r="AO232" s="84"/>
      <c r="AP232" s="74"/>
      <c r="AQ232" s="85"/>
      <c r="AR232" s="74"/>
      <c r="AS232" s="74"/>
      <c r="AT232" s="74"/>
      <c r="AU232" s="55" t="str">
        <f t="shared" si="133"/>
        <v/>
      </c>
      <c r="AV232" s="55" t="str">
        <f t="shared" ca="1" si="134"/>
        <v/>
      </c>
      <c r="AW232" s="55" t="str">
        <f t="shared" si="124"/>
        <v/>
      </c>
      <c r="AX232" s="55" t="str">
        <f t="shared" ca="1" si="125"/>
        <v/>
      </c>
      <c r="AY232" s="86"/>
      <c r="AZ232" s="86"/>
      <c r="BA232" s="55" t="str">
        <f t="shared" si="135"/>
        <v/>
      </c>
      <c r="BB232" s="86"/>
      <c r="BC232" s="86"/>
      <c r="BD232" s="55" t="str">
        <f t="shared" si="136"/>
        <v/>
      </c>
      <c r="BE232" s="74"/>
      <c r="BS232" s="118"/>
      <c r="BT232" s="118"/>
      <c r="BU232" s="118"/>
      <c r="BV232" s="118"/>
      <c r="BW232" s="118"/>
      <c r="BX232" s="118"/>
      <c r="BZ232" s="118"/>
      <c r="CB232" s="118"/>
      <c r="CC232" s="118"/>
      <c r="CD232" s="118"/>
    </row>
    <row r="233" spans="1:82" ht="17.399999999999999" customHeight="1">
      <c r="A233" s="87">
        <f t="shared" si="138"/>
        <v>32.6</v>
      </c>
      <c r="B233" s="111">
        <f t="shared" si="118"/>
        <v>223</v>
      </c>
      <c r="C233" s="60"/>
      <c r="D233" s="74"/>
      <c r="E233" s="75"/>
      <c r="F233" s="74"/>
      <c r="G233" s="54">
        <f t="shared" si="142"/>
        <v>0</v>
      </c>
      <c r="H233" s="55">
        <f t="shared" si="142"/>
        <v>0</v>
      </c>
      <c r="I233" s="76">
        <f t="shared" si="127"/>
        <v>0</v>
      </c>
      <c r="J233" s="58">
        <f t="shared" si="128"/>
        <v>0</v>
      </c>
      <c r="K233" s="58">
        <f t="shared" si="129"/>
        <v>0</v>
      </c>
      <c r="L233" s="58">
        <f t="shared" si="130"/>
        <v>0</v>
      </c>
      <c r="M233" s="58" t="str">
        <f t="shared" ca="1" si="131"/>
        <v/>
      </c>
      <c r="N233" s="58" t="str">
        <f t="shared" ca="1" si="131"/>
        <v/>
      </c>
      <c r="O233" s="58">
        <f t="shared" si="132"/>
        <v>5.0000000000000001E-4</v>
      </c>
      <c r="P233" s="77"/>
      <c r="Q233" s="60"/>
      <c r="R233" s="77"/>
      <c r="S233" s="78">
        <f t="shared" si="119"/>
        <v>0</v>
      </c>
      <c r="T233" s="55">
        <f t="shared" si="119"/>
        <v>0</v>
      </c>
      <c r="U233" s="79">
        <f t="shared" si="139"/>
        <v>0</v>
      </c>
      <c r="V233" s="63">
        <f t="shared" si="140"/>
        <v>0</v>
      </c>
      <c r="W233" s="64">
        <f t="shared" si="144"/>
        <v>128</v>
      </c>
      <c r="X233" s="80">
        <f t="shared" si="143"/>
        <v>169</v>
      </c>
      <c r="Y233" s="75"/>
      <c r="Z233" s="60"/>
      <c r="AA233" s="75"/>
      <c r="AB233" s="75"/>
      <c r="AC233" s="75"/>
      <c r="AD233" s="75"/>
      <c r="AE233" s="81">
        <f t="shared" si="120"/>
        <v>0</v>
      </c>
      <c r="AF233" s="55">
        <f t="shared" si="121"/>
        <v>0</v>
      </c>
      <c r="AG233" s="76">
        <f t="shared" si="115"/>
        <v>0</v>
      </c>
      <c r="AH233" s="82">
        <f t="shared" si="116"/>
        <v>0</v>
      </c>
      <c r="AI233" s="83">
        <f t="shared" si="116"/>
        <v>0</v>
      </c>
      <c r="AJ233" s="83">
        <f t="shared" si="116"/>
        <v>0</v>
      </c>
      <c r="AK233" s="58">
        <f t="shared" si="114"/>
        <v>0</v>
      </c>
      <c r="AL233" s="82">
        <f t="shared" si="122"/>
        <v>0</v>
      </c>
      <c r="AM233" s="58">
        <f t="shared" si="123"/>
        <v>0</v>
      </c>
      <c r="AN233" s="74"/>
      <c r="AO233" s="84"/>
      <c r="AP233" s="74"/>
      <c r="AQ233" s="85"/>
      <c r="AR233" s="74"/>
      <c r="AS233" s="74"/>
      <c r="AT233" s="74"/>
      <c r="AU233" s="55" t="str">
        <f t="shared" si="133"/>
        <v/>
      </c>
      <c r="AV233" s="55" t="str">
        <f t="shared" ca="1" si="134"/>
        <v/>
      </c>
      <c r="AW233" s="55" t="str">
        <f t="shared" si="124"/>
        <v/>
      </c>
      <c r="AX233" s="55" t="str">
        <f t="shared" ca="1" si="125"/>
        <v/>
      </c>
      <c r="AY233" s="86"/>
      <c r="AZ233" s="86"/>
      <c r="BA233" s="55" t="str">
        <f t="shared" si="135"/>
        <v/>
      </c>
      <c r="BB233" s="86"/>
      <c r="BC233" s="86"/>
      <c r="BD233" s="55" t="str">
        <f t="shared" si="136"/>
        <v/>
      </c>
      <c r="BE233" s="74"/>
      <c r="BS233" s="118"/>
      <c r="BT233" s="118"/>
      <c r="BU233" s="118"/>
      <c r="BV233" s="118"/>
      <c r="BW233" s="118"/>
      <c r="BX233" s="118"/>
      <c r="BZ233" s="118"/>
      <c r="CB233" s="118"/>
      <c r="CC233" s="118"/>
      <c r="CD233" s="118"/>
    </row>
    <row r="234" spans="1:82" ht="17.399999999999999" customHeight="1" thickBot="1">
      <c r="A234" s="72">
        <f t="shared" si="138"/>
        <v>32.700000000000003</v>
      </c>
      <c r="B234" s="113">
        <f t="shared" si="118"/>
        <v>224</v>
      </c>
      <c r="C234" s="89"/>
      <c r="D234" s="90"/>
      <c r="E234" s="91"/>
      <c r="F234" s="90"/>
      <c r="G234" s="92">
        <f t="shared" si="142"/>
        <v>0</v>
      </c>
      <c r="H234" s="93">
        <f t="shared" si="142"/>
        <v>0</v>
      </c>
      <c r="I234" s="94">
        <f t="shared" si="127"/>
        <v>0</v>
      </c>
      <c r="J234" s="95">
        <f t="shared" si="128"/>
        <v>0</v>
      </c>
      <c r="K234" s="95">
        <f t="shared" si="129"/>
        <v>0</v>
      </c>
      <c r="L234" s="95">
        <f t="shared" si="130"/>
        <v>0</v>
      </c>
      <c r="M234" s="95" t="str">
        <f t="shared" ca="1" si="131"/>
        <v/>
      </c>
      <c r="N234" s="95" t="str">
        <f t="shared" ca="1" si="131"/>
        <v/>
      </c>
      <c r="O234" s="95">
        <f t="shared" si="132"/>
        <v>5.0000000000000001E-4</v>
      </c>
      <c r="P234" s="96"/>
      <c r="Q234" s="89"/>
      <c r="R234" s="96"/>
      <c r="S234" s="78">
        <f t="shared" si="119"/>
        <v>0</v>
      </c>
      <c r="T234" s="55">
        <f t="shared" si="119"/>
        <v>0</v>
      </c>
      <c r="U234" s="97">
        <f t="shared" si="139"/>
        <v>0</v>
      </c>
      <c r="V234" s="98">
        <f t="shared" si="140"/>
        <v>0</v>
      </c>
      <c r="W234" s="99">
        <f t="shared" si="144"/>
        <v>128</v>
      </c>
      <c r="X234" s="100">
        <f t="shared" si="143"/>
        <v>169</v>
      </c>
      <c r="Y234" s="91"/>
      <c r="Z234" s="60"/>
      <c r="AA234" s="75"/>
      <c r="AB234" s="75"/>
      <c r="AC234" s="75"/>
      <c r="AD234" s="75"/>
      <c r="AE234" s="101">
        <f t="shared" si="120"/>
        <v>0</v>
      </c>
      <c r="AF234" s="93">
        <f t="shared" si="121"/>
        <v>0</v>
      </c>
      <c r="AG234" s="94">
        <f t="shared" si="115"/>
        <v>0</v>
      </c>
      <c r="AH234" s="102">
        <f t="shared" si="116"/>
        <v>0</v>
      </c>
      <c r="AI234" s="103">
        <f t="shared" si="116"/>
        <v>0</v>
      </c>
      <c r="AJ234" s="103">
        <f t="shared" si="116"/>
        <v>0</v>
      </c>
      <c r="AK234" s="95">
        <f t="shared" si="114"/>
        <v>0</v>
      </c>
      <c r="AL234" s="102">
        <f t="shared" si="122"/>
        <v>0</v>
      </c>
      <c r="AM234" s="95">
        <f t="shared" si="123"/>
        <v>0</v>
      </c>
      <c r="AN234" s="90"/>
      <c r="AO234" s="104"/>
      <c r="AP234" s="90"/>
      <c r="AQ234" s="105"/>
      <c r="AR234" s="90"/>
      <c r="AS234" s="90"/>
      <c r="AT234" s="90"/>
      <c r="AU234" s="93" t="str">
        <f t="shared" si="133"/>
        <v/>
      </c>
      <c r="AV234" s="93" t="str">
        <f t="shared" ca="1" si="134"/>
        <v/>
      </c>
      <c r="AW234" s="93" t="str">
        <f t="shared" si="124"/>
        <v/>
      </c>
      <c r="AX234" s="93" t="str">
        <f t="shared" ca="1" si="125"/>
        <v/>
      </c>
      <c r="AY234" s="106"/>
      <c r="AZ234" s="106"/>
      <c r="BA234" s="93" t="str">
        <f t="shared" si="135"/>
        <v/>
      </c>
      <c r="BB234" s="106"/>
      <c r="BC234" s="106"/>
      <c r="BD234" s="93" t="str">
        <f t="shared" si="136"/>
        <v/>
      </c>
      <c r="BE234" s="90"/>
      <c r="BS234" s="118"/>
      <c r="BT234" s="118"/>
      <c r="BU234" s="118"/>
      <c r="BV234" s="118"/>
      <c r="BW234" s="118"/>
      <c r="BX234" s="118"/>
      <c r="BZ234" s="118"/>
      <c r="CB234" s="118"/>
      <c r="CC234" s="118"/>
      <c r="CD234" s="118"/>
    </row>
    <row r="235" spans="1:82" ht="17.399999999999999" customHeight="1" thickTop="1">
      <c r="A235" s="49">
        <f>A228+1</f>
        <v>33.1</v>
      </c>
      <c r="B235" s="108">
        <f>B234+1</f>
        <v>225</v>
      </c>
      <c r="C235" s="51"/>
      <c r="D235" s="52"/>
      <c r="E235" s="53"/>
      <c r="F235" s="52"/>
      <c r="G235" s="54">
        <f t="shared" si="142"/>
        <v>0</v>
      </c>
      <c r="H235" s="55">
        <f t="shared" si="142"/>
        <v>0</v>
      </c>
      <c r="I235" s="56">
        <f t="shared" si="127"/>
        <v>0</v>
      </c>
      <c r="J235" s="57">
        <f t="shared" si="128"/>
        <v>0</v>
      </c>
      <c r="K235" s="57">
        <f t="shared" si="129"/>
        <v>0</v>
      </c>
      <c r="L235" s="57">
        <f t="shared" si="130"/>
        <v>0</v>
      </c>
      <c r="M235" s="58" t="str">
        <f t="shared" ca="1" si="131"/>
        <v/>
      </c>
      <c r="N235" s="58" t="str">
        <f t="shared" ca="1" si="131"/>
        <v/>
      </c>
      <c r="O235" s="58">
        <f t="shared" si="132"/>
        <v>5.0000000000000001E-4</v>
      </c>
      <c r="P235" s="77"/>
      <c r="Q235" s="60"/>
      <c r="R235" s="77"/>
      <c r="S235" s="109">
        <f t="shared" si="119"/>
        <v>0</v>
      </c>
      <c r="T235" s="61">
        <f t="shared" si="119"/>
        <v>0</v>
      </c>
      <c r="U235" s="62">
        <f t="shared" si="139"/>
        <v>0</v>
      </c>
      <c r="V235" s="63">
        <f t="shared" si="140"/>
        <v>0</v>
      </c>
      <c r="W235" s="64">
        <v>129</v>
      </c>
      <c r="X235" s="80">
        <f t="shared" si="143"/>
        <v>169</v>
      </c>
      <c r="Y235" s="53"/>
      <c r="Z235" s="51"/>
      <c r="AA235" s="53"/>
      <c r="AB235" s="53"/>
      <c r="AC235" s="53"/>
      <c r="AD235" s="53"/>
      <c r="AE235" s="66">
        <f t="shared" si="120"/>
        <v>0</v>
      </c>
      <c r="AF235" s="61">
        <f t="shared" si="121"/>
        <v>0</v>
      </c>
      <c r="AG235" s="56">
        <f t="shared" si="115"/>
        <v>0</v>
      </c>
      <c r="AH235" s="67">
        <f t="shared" si="116"/>
        <v>0</v>
      </c>
      <c r="AI235" s="68">
        <f t="shared" si="116"/>
        <v>0</v>
      </c>
      <c r="AJ235" s="68">
        <f t="shared" si="116"/>
        <v>0</v>
      </c>
      <c r="AK235" s="57">
        <f t="shared" si="114"/>
        <v>0</v>
      </c>
      <c r="AL235" s="67">
        <f t="shared" si="122"/>
        <v>0</v>
      </c>
      <c r="AM235" s="57">
        <f t="shared" si="123"/>
        <v>0</v>
      </c>
      <c r="AN235" s="52"/>
      <c r="AO235" s="69"/>
      <c r="AP235" s="52"/>
      <c r="AQ235" s="70"/>
      <c r="AR235" s="52"/>
      <c r="AS235" s="52"/>
      <c r="AT235" s="52"/>
      <c r="AU235" s="61" t="str">
        <f t="shared" si="133"/>
        <v/>
      </c>
      <c r="AV235" s="61" t="str">
        <f t="shared" ca="1" si="134"/>
        <v/>
      </c>
      <c r="AW235" s="61" t="str">
        <f t="shared" si="124"/>
        <v/>
      </c>
      <c r="AX235" s="61" t="str">
        <f t="shared" ca="1" si="125"/>
        <v/>
      </c>
      <c r="AY235" s="71"/>
      <c r="AZ235" s="71"/>
      <c r="BA235" s="61" t="str">
        <f t="shared" si="135"/>
        <v/>
      </c>
      <c r="BB235" s="71"/>
      <c r="BC235" s="71"/>
      <c r="BD235" s="61" t="str">
        <f t="shared" si="136"/>
        <v/>
      </c>
      <c r="BE235" s="52"/>
      <c r="BS235" s="118"/>
      <c r="BT235" s="118"/>
      <c r="BU235" s="118"/>
      <c r="BV235" s="118"/>
      <c r="BW235" s="118"/>
      <c r="BX235" s="118"/>
      <c r="BZ235" s="118"/>
      <c r="CB235" s="118"/>
      <c r="CC235" s="118"/>
      <c r="CD235" s="118"/>
    </row>
    <row r="236" spans="1:82" ht="17.399999999999999" customHeight="1">
      <c r="A236" s="72">
        <f t="shared" si="138"/>
        <v>33.200000000000003</v>
      </c>
      <c r="B236" s="111">
        <f t="shared" si="118"/>
        <v>226</v>
      </c>
      <c r="C236" s="60"/>
      <c r="D236" s="74"/>
      <c r="E236" s="75"/>
      <c r="F236" s="74"/>
      <c r="G236" s="54">
        <f t="shared" ref="G236:H251" si="145">G235-E236-C236</f>
        <v>0</v>
      </c>
      <c r="H236" s="55">
        <f t="shared" si="145"/>
        <v>0</v>
      </c>
      <c r="I236" s="76">
        <f t="shared" si="127"/>
        <v>0</v>
      </c>
      <c r="J236" s="58">
        <f t="shared" si="128"/>
        <v>0</v>
      </c>
      <c r="K236" s="58">
        <f t="shared" si="129"/>
        <v>0</v>
      </c>
      <c r="L236" s="58">
        <f t="shared" si="130"/>
        <v>0</v>
      </c>
      <c r="M236" s="58" t="str">
        <f t="shared" ca="1" si="131"/>
        <v/>
      </c>
      <c r="N236" s="58" t="str">
        <f t="shared" ca="1" si="131"/>
        <v/>
      </c>
      <c r="O236" s="58">
        <f t="shared" si="132"/>
        <v>5.0000000000000001E-4</v>
      </c>
      <c r="P236" s="77"/>
      <c r="Q236" s="60"/>
      <c r="R236" s="77"/>
      <c r="S236" s="78">
        <f t="shared" si="119"/>
        <v>0</v>
      </c>
      <c r="T236" s="55">
        <f t="shared" si="119"/>
        <v>0</v>
      </c>
      <c r="U236" s="79">
        <f t="shared" si="139"/>
        <v>0</v>
      </c>
      <c r="V236" s="63">
        <f t="shared" si="140"/>
        <v>0</v>
      </c>
      <c r="W236" s="64">
        <f t="shared" ref="W236:X251" si="146">W235</f>
        <v>129</v>
      </c>
      <c r="X236" s="80">
        <f t="shared" si="143"/>
        <v>169</v>
      </c>
      <c r="Y236" s="75"/>
      <c r="Z236" s="60"/>
      <c r="AA236" s="75"/>
      <c r="AB236" s="75"/>
      <c r="AC236" s="75"/>
      <c r="AD236" s="75"/>
      <c r="AE236" s="81">
        <f t="shared" si="120"/>
        <v>0</v>
      </c>
      <c r="AF236" s="55">
        <f t="shared" si="121"/>
        <v>0</v>
      </c>
      <c r="AG236" s="76">
        <f t="shared" si="115"/>
        <v>0</v>
      </c>
      <c r="AH236" s="82">
        <f t="shared" si="116"/>
        <v>0</v>
      </c>
      <c r="AI236" s="83">
        <f t="shared" si="116"/>
        <v>0</v>
      </c>
      <c r="AJ236" s="83">
        <f t="shared" si="116"/>
        <v>0</v>
      </c>
      <c r="AK236" s="58">
        <f t="shared" si="114"/>
        <v>0</v>
      </c>
      <c r="AL236" s="82">
        <f t="shared" si="122"/>
        <v>0</v>
      </c>
      <c r="AM236" s="58">
        <f t="shared" si="123"/>
        <v>0</v>
      </c>
      <c r="AN236" s="74"/>
      <c r="AO236" s="84"/>
      <c r="AP236" s="74"/>
      <c r="AQ236" s="85"/>
      <c r="AR236" s="74"/>
      <c r="AS236" s="74"/>
      <c r="AT236" s="74"/>
      <c r="AU236" s="55" t="str">
        <f t="shared" si="133"/>
        <v/>
      </c>
      <c r="AV236" s="55" t="str">
        <f t="shared" ca="1" si="134"/>
        <v/>
      </c>
      <c r="AW236" s="55" t="str">
        <f t="shared" si="124"/>
        <v/>
      </c>
      <c r="AX236" s="55" t="str">
        <f t="shared" ca="1" si="125"/>
        <v/>
      </c>
      <c r="AY236" s="86"/>
      <c r="AZ236" s="86"/>
      <c r="BA236" s="55" t="str">
        <f t="shared" si="135"/>
        <v/>
      </c>
      <c r="BB236" s="86"/>
      <c r="BC236" s="86"/>
      <c r="BD236" s="55" t="str">
        <f t="shared" si="136"/>
        <v/>
      </c>
      <c r="BE236" s="74"/>
      <c r="BS236" s="118"/>
      <c r="BT236" s="118"/>
      <c r="BU236" s="118"/>
      <c r="BV236" s="118"/>
      <c r="BW236" s="118"/>
      <c r="BX236" s="118"/>
      <c r="BZ236" s="118"/>
      <c r="CB236" s="118"/>
      <c r="CC236" s="118"/>
      <c r="CD236" s="118"/>
    </row>
    <row r="237" spans="1:82" ht="17.399999999999999" customHeight="1">
      <c r="A237" s="87">
        <f t="shared" si="138"/>
        <v>33.299999999999997</v>
      </c>
      <c r="B237" s="111">
        <f t="shared" si="118"/>
        <v>227</v>
      </c>
      <c r="C237" s="60"/>
      <c r="D237" s="74"/>
      <c r="E237" s="75"/>
      <c r="F237" s="74"/>
      <c r="G237" s="54">
        <f t="shared" si="145"/>
        <v>0</v>
      </c>
      <c r="H237" s="55">
        <f t="shared" si="145"/>
        <v>0</v>
      </c>
      <c r="I237" s="76">
        <f t="shared" si="127"/>
        <v>0</v>
      </c>
      <c r="J237" s="58">
        <f t="shared" si="128"/>
        <v>0</v>
      </c>
      <c r="K237" s="58">
        <f t="shared" si="129"/>
        <v>0</v>
      </c>
      <c r="L237" s="58">
        <f t="shared" si="130"/>
        <v>0</v>
      </c>
      <c r="M237" s="58" t="str">
        <f t="shared" ca="1" si="131"/>
        <v/>
      </c>
      <c r="N237" s="58" t="str">
        <f t="shared" ca="1" si="131"/>
        <v/>
      </c>
      <c r="O237" s="58">
        <f t="shared" si="132"/>
        <v>5.0000000000000001E-4</v>
      </c>
      <c r="P237" s="77"/>
      <c r="Q237" s="60"/>
      <c r="R237" s="77"/>
      <c r="S237" s="78">
        <f t="shared" si="119"/>
        <v>0</v>
      </c>
      <c r="T237" s="55">
        <f t="shared" si="119"/>
        <v>0</v>
      </c>
      <c r="U237" s="79">
        <f t="shared" si="139"/>
        <v>0</v>
      </c>
      <c r="V237" s="63">
        <f t="shared" si="140"/>
        <v>0</v>
      </c>
      <c r="W237" s="64">
        <f t="shared" si="146"/>
        <v>129</v>
      </c>
      <c r="X237" s="80">
        <f t="shared" si="143"/>
        <v>169</v>
      </c>
      <c r="Y237" s="75"/>
      <c r="Z237" s="60"/>
      <c r="AA237" s="75"/>
      <c r="AB237" s="75"/>
      <c r="AC237" s="75"/>
      <c r="AD237" s="75"/>
      <c r="AE237" s="81">
        <f t="shared" si="120"/>
        <v>0</v>
      </c>
      <c r="AF237" s="55">
        <f t="shared" si="121"/>
        <v>0</v>
      </c>
      <c r="AG237" s="76">
        <f t="shared" si="115"/>
        <v>0</v>
      </c>
      <c r="AH237" s="82">
        <f t="shared" si="116"/>
        <v>0</v>
      </c>
      <c r="AI237" s="83">
        <f t="shared" si="116"/>
        <v>0</v>
      </c>
      <c r="AJ237" s="83">
        <f t="shared" si="116"/>
        <v>0</v>
      </c>
      <c r="AK237" s="58">
        <f t="shared" si="114"/>
        <v>0</v>
      </c>
      <c r="AL237" s="82">
        <f t="shared" si="122"/>
        <v>0</v>
      </c>
      <c r="AM237" s="58">
        <f t="shared" si="123"/>
        <v>0</v>
      </c>
      <c r="AN237" s="74"/>
      <c r="AO237" s="84"/>
      <c r="AP237" s="74"/>
      <c r="AQ237" s="85"/>
      <c r="AR237" s="74"/>
      <c r="AS237" s="74"/>
      <c r="AT237" s="74"/>
      <c r="AU237" s="55" t="str">
        <f t="shared" si="133"/>
        <v/>
      </c>
      <c r="AV237" s="55" t="str">
        <f t="shared" ca="1" si="134"/>
        <v/>
      </c>
      <c r="AW237" s="55" t="str">
        <f t="shared" si="124"/>
        <v/>
      </c>
      <c r="AX237" s="55" t="str">
        <f t="shared" ca="1" si="125"/>
        <v/>
      </c>
      <c r="AY237" s="86"/>
      <c r="AZ237" s="86"/>
      <c r="BA237" s="55" t="str">
        <f t="shared" si="135"/>
        <v/>
      </c>
      <c r="BB237" s="86"/>
      <c r="BC237" s="86"/>
      <c r="BD237" s="55" t="str">
        <f t="shared" si="136"/>
        <v/>
      </c>
      <c r="BE237" s="74"/>
      <c r="BS237" s="118"/>
      <c r="BT237" s="118"/>
      <c r="BU237" s="118"/>
      <c r="BV237" s="118"/>
      <c r="BW237" s="118"/>
      <c r="BX237" s="118"/>
      <c r="BZ237" s="118"/>
      <c r="CB237" s="118"/>
      <c r="CC237" s="118"/>
      <c r="CD237" s="118"/>
    </row>
    <row r="238" spans="1:82" ht="17.399999999999999" customHeight="1">
      <c r="A238" s="72">
        <f t="shared" si="138"/>
        <v>33.4</v>
      </c>
      <c r="B238" s="111">
        <f t="shared" si="118"/>
        <v>228</v>
      </c>
      <c r="C238" s="60"/>
      <c r="D238" s="74"/>
      <c r="E238" s="75"/>
      <c r="F238" s="74"/>
      <c r="G238" s="54">
        <f t="shared" si="145"/>
        <v>0</v>
      </c>
      <c r="H238" s="55">
        <f t="shared" si="145"/>
        <v>0</v>
      </c>
      <c r="I238" s="76">
        <f t="shared" si="127"/>
        <v>0</v>
      </c>
      <c r="J238" s="58">
        <f t="shared" si="128"/>
        <v>0</v>
      </c>
      <c r="K238" s="58">
        <f t="shared" si="129"/>
        <v>0</v>
      </c>
      <c r="L238" s="58">
        <f t="shared" si="130"/>
        <v>0</v>
      </c>
      <c r="M238" s="58" t="str">
        <f t="shared" ca="1" si="131"/>
        <v/>
      </c>
      <c r="N238" s="58" t="str">
        <f t="shared" ca="1" si="131"/>
        <v/>
      </c>
      <c r="O238" s="58">
        <f t="shared" si="132"/>
        <v>5.0000000000000001E-4</v>
      </c>
      <c r="P238" s="77"/>
      <c r="Q238" s="60"/>
      <c r="R238" s="77"/>
      <c r="S238" s="78">
        <f t="shared" si="119"/>
        <v>0</v>
      </c>
      <c r="T238" s="55">
        <f t="shared" si="119"/>
        <v>0</v>
      </c>
      <c r="U238" s="79">
        <f t="shared" si="139"/>
        <v>0</v>
      </c>
      <c r="V238" s="63">
        <f t="shared" si="140"/>
        <v>0</v>
      </c>
      <c r="W238" s="64">
        <f t="shared" si="146"/>
        <v>129</v>
      </c>
      <c r="X238" s="80">
        <f t="shared" si="146"/>
        <v>169</v>
      </c>
      <c r="Y238" s="75"/>
      <c r="Z238" s="60"/>
      <c r="AA238" s="75"/>
      <c r="AB238" s="75"/>
      <c r="AC238" s="75"/>
      <c r="AD238" s="75"/>
      <c r="AE238" s="81">
        <f t="shared" si="120"/>
        <v>0</v>
      </c>
      <c r="AF238" s="55">
        <f t="shared" si="121"/>
        <v>0</v>
      </c>
      <c r="AG238" s="76">
        <f t="shared" si="115"/>
        <v>0</v>
      </c>
      <c r="AH238" s="82">
        <f t="shared" si="116"/>
        <v>0</v>
      </c>
      <c r="AI238" s="83">
        <f t="shared" si="116"/>
        <v>0</v>
      </c>
      <c r="AJ238" s="83">
        <f t="shared" si="116"/>
        <v>0</v>
      </c>
      <c r="AK238" s="58">
        <f t="shared" si="114"/>
        <v>0</v>
      </c>
      <c r="AL238" s="82">
        <f t="shared" si="122"/>
        <v>0</v>
      </c>
      <c r="AM238" s="58">
        <f t="shared" si="123"/>
        <v>0</v>
      </c>
      <c r="AN238" s="74"/>
      <c r="AO238" s="84"/>
      <c r="AP238" s="74"/>
      <c r="AQ238" s="85"/>
      <c r="AR238" s="74"/>
      <c r="AS238" s="74"/>
      <c r="AT238" s="74"/>
      <c r="AU238" s="55" t="str">
        <f t="shared" si="133"/>
        <v/>
      </c>
      <c r="AV238" s="55" t="str">
        <f t="shared" ca="1" si="134"/>
        <v/>
      </c>
      <c r="AW238" s="55" t="str">
        <f t="shared" si="124"/>
        <v/>
      </c>
      <c r="AX238" s="55" t="str">
        <f t="shared" ca="1" si="125"/>
        <v/>
      </c>
      <c r="AY238" s="86"/>
      <c r="AZ238" s="86"/>
      <c r="BA238" s="55" t="str">
        <f t="shared" si="135"/>
        <v/>
      </c>
      <c r="BB238" s="86"/>
      <c r="BC238" s="86"/>
      <c r="BD238" s="55" t="str">
        <f t="shared" si="136"/>
        <v/>
      </c>
      <c r="BE238" s="74"/>
      <c r="BS238" s="118"/>
      <c r="BT238" s="118"/>
      <c r="BU238" s="118"/>
      <c r="BV238" s="118"/>
      <c r="BW238" s="118"/>
      <c r="BX238" s="118"/>
      <c r="BZ238" s="118"/>
      <c r="CB238" s="118"/>
      <c r="CC238" s="118"/>
      <c r="CD238" s="118"/>
    </row>
    <row r="239" spans="1:82" ht="17.399999999999999" customHeight="1">
      <c r="A239" s="87">
        <f t="shared" si="138"/>
        <v>33.5</v>
      </c>
      <c r="B239" s="111">
        <f t="shared" si="118"/>
        <v>229</v>
      </c>
      <c r="C239" s="60"/>
      <c r="D239" s="74"/>
      <c r="E239" s="75"/>
      <c r="F239" s="74"/>
      <c r="G239" s="54">
        <f t="shared" si="145"/>
        <v>0</v>
      </c>
      <c r="H239" s="55">
        <f t="shared" si="145"/>
        <v>0</v>
      </c>
      <c r="I239" s="76">
        <f t="shared" si="127"/>
        <v>0</v>
      </c>
      <c r="J239" s="58">
        <f t="shared" si="128"/>
        <v>0</v>
      </c>
      <c r="K239" s="58">
        <f t="shared" si="129"/>
        <v>0</v>
      </c>
      <c r="L239" s="58">
        <f t="shared" si="130"/>
        <v>0</v>
      </c>
      <c r="M239" s="58" t="str">
        <f t="shared" ca="1" si="131"/>
        <v/>
      </c>
      <c r="N239" s="58" t="str">
        <f t="shared" ca="1" si="131"/>
        <v/>
      </c>
      <c r="O239" s="58">
        <f t="shared" si="132"/>
        <v>5.0000000000000001E-4</v>
      </c>
      <c r="P239" s="77"/>
      <c r="Q239" s="60"/>
      <c r="R239" s="77"/>
      <c r="S239" s="78">
        <f t="shared" si="119"/>
        <v>0</v>
      </c>
      <c r="T239" s="55">
        <f t="shared" si="119"/>
        <v>0</v>
      </c>
      <c r="U239" s="79">
        <f t="shared" si="139"/>
        <v>0</v>
      </c>
      <c r="V239" s="63">
        <f t="shared" si="140"/>
        <v>0</v>
      </c>
      <c r="W239" s="64">
        <f t="shared" si="146"/>
        <v>129</v>
      </c>
      <c r="X239" s="80">
        <f t="shared" si="146"/>
        <v>169</v>
      </c>
      <c r="Y239" s="75"/>
      <c r="Z239" s="60"/>
      <c r="AA239" s="75"/>
      <c r="AB239" s="75"/>
      <c r="AC239" s="75"/>
      <c r="AD239" s="75"/>
      <c r="AE239" s="81">
        <f t="shared" si="120"/>
        <v>0</v>
      </c>
      <c r="AF239" s="55">
        <f t="shared" si="121"/>
        <v>0</v>
      </c>
      <c r="AG239" s="76">
        <f t="shared" si="115"/>
        <v>0</v>
      </c>
      <c r="AH239" s="82">
        <f t="shared" si="116"/>
        <v>0</v>
      </c>
      <c r="AI239" s="83">
        <f t="shared" si="116"/>
        <v>0</v>
      </c>
      <c r="AJ239" s="83">
        <f t="shared" si="116"/>
        <v>0</v>
      </c>
      <c r="AK239" s="58">
        <f t="shared" si="114"/>
        <v>0</v>
      </c>
      <c r="AL239" s="82">
        <f t="shared" si="122"/>
        <v>0</v>
      </c>
      <c r="AM239" s="58">
        <f t="shared" si="123"/>
        <v>0</v>
      </c>
      <c r="AN239" s="74"/>
      <c r="AO239" s="84"/>
      <c r="AP239" s="74"/>
      <c r="AQ239" s="85"/>
      <c r="AR239" s="74"/>
      <c r="AS239" s="74"/>
      <c r="AT239" s="74"/>
      <c r="AU239" s="55" t="str">
        <f t="shared" si="133"/>
        <v/>
      </c>
      <c r="AV239" s="55" t="str">
        <f t="shared" ca="1" si="134"/>
        <v/>
      </c>
      <c r="AW239" s="55" t="str">
        <f t="shared" si="124"/>
        <v/>
      </c>
      <c r="AX239" s="55" t="str">
        <f t="shared" ca="1" si="125"/>
        <v/>
      </c>
      <c r="AY239" s="86"/>
      <c r="AZ239" s="86"/>
      <c r="BA239" s="55" t="str">
        <f t="shared" si="135"/>
        <v/>
      </c>
      <c r="BB239" s="86"/>
      <c r="BC239" s="86"/>
      <c r="BD239" s="55" t="str">
        <f t="shared" si="136"/>
        <v/>
      </c>
      <c r="BE239" s="74"/>
      <c r="BS239" s="118"/>
      <c r="BT239" s="118"/>
      <c r="BU239" s="118"/>
      <c r="BV239" s="118"/>
      <c r="BW239" s="118"/>
      <c r="BX239" s="118"/>
      <c r="BZ239" s="118"/>
      <c r="CB239" s="118"/>
      <c r="CC239" s="118"/>
      <c r="CD239" s="118"/>
    </row>
    <row r="240" spans="1:82" ht="17.399999999999999" customHeight="1">
      <c r="A240" s="72">
        <f t="shared" si="138"/>
        <v>33.6</v>
      </c>
      <c r="B240" s="111">
        <f t="shared" si="118"/>
        <v>230</v>
      </c>
      <c r="C240" s="60"/>
      <c r="D240" s="74"/>
      <c r="E240" s="75"/>
      <c r="F240" s="74"/>
      <c r="G240" s="54">
        <f t="shared" si="145"/>
        <v>0</v>
      </c>
      <c r="H240" s="55">
        <f t="shared" si="145"/>
        <v>0</v>
      </c>
      <c r="I240" s="76">
        <f t="shared" si="127"/>
        <v>0</v>
      </c>
      <c r="J240" s="58">
        <f t="shared" si="128"/>
        <v>0</v>
      </c>
      <c r="K240" s="58">
        <f t="shared" si="129"/>
        <v>0</v>
      </c>
      <c r="L240" s="58">
        <f t="shared" si="130"/>
        <v>0</v>
      </c>
      <c r="M240" s="58" t="str">
        <f t="shared" ca="1" si="131"/>
        <v/>
      </c>
      <c r="N240" s="58" t="str">
        <f t="shared" ca="1" si="131"/>
        <v/>
      </c>
      <c r="O240" s="58">
        <f t="shared" si="132"/>
        <v>5.0000000000000001E-4</v>
      </c>
      <c r="P240" s="77"/>
      <c r="Q240" s="60"/>
      <c r="R240" s="77"/>
      <c r="S240" s="78">
        <f t="shared" si="119"/>
        <v>0</v>
      </c>
      <c r="T240" s="55">
        <f t="shared" si="119"/>
        <v>0</v>
      </c>
      <c r="U240" s="79">
        <f t="shared" si="139"/>
        <v>0</v>
      </c>
      <c r="V240" s="63">
        <f t="shared" si="140"/>
        <v>0</v>
      </c>
      <c r="W240" s="64">
        <f t="shared" si="146"/>
        <v>129</v>
      </c>
      <c r="X240" s="80">
        <f t="shared" si="146"/>
        <v>169</v>
      </c>
      <c r="Y240" s="75"/>
      <c r="Z240" s="60"/>
      <c r="AA240" s="75"/>
      <c r="AB240" s="75"/>
      <c r="AC240" s="75"/>
      <c r="AD240" s="75"/>
      <c r="AE240" s="81">
        <f t="shared" si="120"/>
        <v>0</v>
      </c>
      <c r="AF240" s="55">
        <f t="shared" si="121"/>
        <v>0</v>
      </c>
      <c r="AG240" s="76">
        <f t="shared" si="115"/>
        <v>0</v>
      </c>
      <c r="AH240" s="82">
        <f t="shared" si="116"/>
        <v>0</v>
      </c>
      <c r="AI240" s="83">
        <f t="shared" si="116"/>
        <v>0</v>
      </c>
      <c r="AJ240" s="83">
        <f t="shared" si="116"/>
        <v>0</v>
      </c>
      <c r="AK240" s="58">
        <f t="shared" si="114"/>
        <v>0</v>
      </c>
      <c r="AL240" s="82">
        <f t="shared" si="122"/>
        <v>0</v>
      </c>
      <c r="AM240" s="58">
        <f t="shared" si="123"/>
        <v>0</v>
      </c>
      <c r="AN240" s="74"/>
      <c r="AO240" s="84"/>
      <c r="AP240" s="74"/>
      <c r="AQ240" s="85"/>
      <c r="AR240" s="74"/>
      <c r="AS240" s="74"/>
      <c r="AT240" s="74"/>
      <c r="AU240" s="55" t="str">
        <f t="shared" si="133"/>
        <v/>
      </c>
      <c r="AV240" s="55" t="str">
        <f t="shared" ca="1" si="134"/>
        <v/>
      </c>
      <c r="AW240" s="55" t="str">
        <f t="shared" si="124"/>
        <v/>
      </c>
      <c r="AX240" s="55" t="str">
        <f t="shared" ca="1" si="125"/>
        <v/>
      </c>
      <c r="AY240" s="86"/>
      <c r="AZ240" s="86"/>
      <c r="BA240" s="55" t="str">
        <f t="shared" si="135"/>
        <v/>
      </c>
      <c r="BB240" s="86"/>
      <c r="BC240" s="86"/>
      <c r="BD240" s="55" t="str">
        <f t="shared" si="136"/>
        <v/>
      </c>
      <c r="BE240" s="74"/>
      <c r="BS240" s="118"/>
      <c r="BT240" s="118"/>
      <c r="BU240" s="118"/>
      <c r="BV240" s="118"/>
      <c r="BW240" s="118"/>
      <c r="BX240" s="118"/>
      <c r="BZ240" s="118"/>
      <c r="CB240" s="118"/>
      <c r="CC240" s="118"/>
      <c r="CD240" s="118"/>
    </row>
    <row r="241" spans="1:82" ht="17.399999999999999" customHeight="1" thickBot="1">
      <c r="A241" s="87">
        <f t="shared" si="138"/>
        <v>33.700000000000003</v>
      </c>
      <c r="B241" s="113">
        <f t="shared" si="118"/>
        <v>231</v>
      </c>
      <c r="C241" s="89"/>
      <c r="D241" s="90"/>
      <c r="E241" s="91"/>
      <c r="F241" s="90"/>
      <c r="G241" s="92">
        <f t="shared" si="145"/>
        <v>0</v>
      </c>
      <c r="H241" s="93">
        <f t="shared" si="145"/>
        <v>0</v>
      </c>
      <c r="I241" s="94">
        <f t="shared" si="127"/>
        <v>0</v>
      </c>
      <c r="J241" s="95">
        <f t="shared" si="128"/>
        <v>0</v>
      </c>
      <c r="K241" s="95">
        <f t="shared" si="129"/>
        <v>0</v>
      </c>
      <c r="L241" s="95">
        <f t="shared" si="130"/>
        <v>0</v>
      </c>
      <c r="M241" s="95" t="str">
        <f t="shared" ca="1" si="131"/>
        <v/>
      </c>
      <c r="N241" s="95" t="str">
        <f t="shared" ca="1" si="131"/>
        <v/>
      </c>
      <c r="O241" s="95">
        <f t="shared" si="132"/>
        <v>5.0000000000000001E-4</v>
      </c>
      <c r="P241" s="96"/>
      <c r="Q241" s="89"/>
      <c r="R241" s="96"/>
      <c r="S241" s="78">
        <f t="shared" si="119"/>
        <v>0</v>
      </c>
      <c r="T241" s="55">
        <f t="shared" si="119"/>
        <v>0</v>
      </c>
      <c r="U241" s="97">
        <f t="shared" si="139"/>
        <v>0</v>
      </c>
      <c r="V241" s="98">
        <f t="shared" si="140"/>
        <v>0</v>
      </c>
      <c r="W241" s="99">
        <f t="shared" si="146"/>
        <v>129</v>
      </c>
      <c r="X241" s="100">
        <f t="shared" si="146"/>
        <v>169</v>
      </c>
      <c r="Y241" s="91"/>
      <c r="Z241" s="60"/>
      <c r="AA241" s="75"/>
      <c r="AB241" s="75"/>
      <c r="AC241" s="75"/>
      <c r="AD241" s="75"/>
      <c r="AE241" s="101">
        <f t="shared" si="120"/>
        <v>0</v>
      </c>
      <c r="AF241" s="93">
        <f t="shared" si="121"/>
        <v>0</v>
      </c>
      <c r="AG241" s="94">
        <f t="shared" si="115"/>
        <v>0</v>
      </c>
      <c r="AH241" s="102">
        <f t="shared" si="116"/>
        <v>0</v>
      </c>
      <c r="AI241" s="103">
        <f t="shared" si="116"/>
        <v>0</v>
      </c>
      <c r="AJ241" s="103">
        <f t="shared" si="116"/>
        <v>0</v>
      </c>
      <c r="AK241" s="95">
        <f t="shared" si="114"/>
        <v>0</v>
      </c>
      <c r="AL241" s="102">
        <f t="shared" si="122"/>
        <v>0</v>
      </c>
      <c r="AM241" s="95">
        <f t="shared" si="123"/>
        <v>0</v>
      </c>
      <c r="AN241" s="90"/>
      <c r="AO241" s="104"/>
      <c r="AP241" s="90"/>
      <c r="AQ241" s="105"/>
      <c r="AR241" s="90"/>
      <c r="AS241" s="90"/>
      <c r="AT241" s="90"/>
      <c r="AU241" s="93" t="str">
        <f t="shared" si="133"/>
        <v/>
      </c>
      <c r="AV241" s="93" t="str">
        <f t="shared" ca="1" si="134"/>
        <v/>
      </c>
      <c r="AW241" s="93" t="str">
        <f t="shared" si="124"/>
        <v/>
      </c>
      <c r="AX241" s="93" t="str">
        <f t="shared" ca="1" si="125"/>
        <v/>
      </c>
      <c r="AY241" s="106"/>
      <c r="AZ241" s="106"/>
      <c r="BA241" s="93" t="str">
        <f t="shared" si="135"/>
        <v/>
      </c>
      <c r="BB241" s="106"/>
      <c r="BC241" s="106"/>
      <c r="BD241" s="93" t="str">
        <f t="shared" si="136"/>
        <v/>
      </c>
      <c r="BE241" s="90"/>
      <c r="BS241" s="118"/>
      <c r="BT241" s="118"/>
      <c r="BU241" s="118"/>
      <c r="BV241" s="118"/>
      <c r="BW241" s="118"/>
      <c r="BX241" s="118"/>
      <c r="BZ241" s="118"/>
      <c r="CB241" s="118"/>
      <c r="CC241" s="118"/>
      <c r="CD241" s="118"/>
    </row>
    <row r="242" spans="1:82" ht="17.399999999999999" customHeight="1" thickTop="1">
      <c r="A242" s="107">
        <f>A235+1</f>
        <v>34.1</v>
      </c>
      <c r="B242" s="108">
        <f>B241+1</f>
        <v>232</v>
      </c>
      <c r="C242" s="51"/>
      <c r="D242" s="52"/>
      <c r="E242" s="53"/>
      <c r="F242" s="52"/>
      <c r="G242" s="54">
        <f t="shared" si="145"/>
        <v>0</v>
      </c>
      <c r="H242" s="55">
        <f t="shared" si="145"/>
        <v>0</v>
      </c>
      <c r="I242" s="56">
        <f t="shared" si="127"/>
        <v>0</v>
      </c>
      <c r="J242" s="57">
        <f t="shared" si="128"/>
        <v>0</v>
      </c>
      <c r="K242" s="57">
        <f t="shared" si="129"/>
        <v>0</v>
      </c>
      <c r="L242" s="57">
        <f t="shared" si="130"/>
        <v>0</v>
      </c>
      <c r="M242" s="58" t="str">
        <f t="shared" ca="1" si="131"/>
        <v/>
      </c>
      <c r="N242" s="58" t="str">
        <f t="shared" ca="1" si="131"/>
        <v/>
      </c>
      <c r="O242" s="58">
        <f t="shared" si="132"/>
        <v>5.0000000000000001E-4</v>
      </c>
      <c r="P242" s="77"/>
      <c r="Q242" s="60"/>
      <c r="R242" s="77"/>
      <c r="S242" s="109">
        <f t="shared" si="119"/>
        <v>0</v>
      </c>
      <c r="T242" s="61">
        <f t="shared" si="119"/>
        <v>0</v>
      </c>
      <c r="U242" s="62">
        <f t="shared" si="139"/>
        <v>0</v>
      </c>
      <c r="V242" s="63">
        <f t="shared" si="140"/>
        <v>0</v>
      </c>
      <c r="W242" s="64">
        <v>130</v>
      </c>
      <c r="X242" s="80">
        <f t="shared" si="146"/>
        <v>169</v>
      </c>
      <c r="Y242" s="53"/>
      <c r="Z242" s="51"/>
      <c r="AA242" s="53"/>
      <c r="AB242" s="53"/>
      <c r="AC242" s="53"/>
      <c r="AD242" s="53"/>
      <c r="AE242" s="66">
        <f t="shared" si="120"/>
        <v>0</v>
      </c>
      <c r="AF242" s="61">
        <f t="shared" si="121"/>
        <v>0</v>
      </c>
      <c r="AG242" s="56">
        <f t="shared" si="115"/>
        <v>0</v>
      </c>
      <c r="AH242" s="67">
        <f t="shared" si="116"/>
        <v>0</v>
      </c>
      <c r="AI242" s="68">
        <f t="shared" si="116"/>
        <v>0</v>
      </c>
      <c r="AJ242" s="68">
        <f t="shared" si="116"/>
        <v>0</v>
      </c>
      <c r="AK242" s="57">
        <f t="shared" si="114"/>
        <v>0</v>
      </c>
      <c r="AL242" s="67">
        <f t="shared" si="122"/>
        <v>0</v>
      </c>
      <c r="AM242" s="57">
        <f t="shared" si="123"/>
        <v>0</v>
      </c>
      <c r="AN242" s="52"/>
      <c r="AO242" s="69"/>
      <c r="AP242" s="52"/>
      <c r="AQ242" s="70"/>
      <c r="AR242" s="52"/>
      <c r="AS242" s="52"/>
      <c r="AT242" s="52"/>
      <c r="AU242" s="61" t="str">
        <f t="shared" si="133"/>
        <v/>
      </c>
      <c r="AV242" s="61" t="str">
        <f t="shared" ca="1" si="134"/>
        <v/>
      </c>
      <c r="AW242" s="61" t="str">
        <f t="shared" si="124"/>
        <v/>
      </c>
      <c r="AX242" s="61" t="str">
        <f t="shared" ca="1" si="125"/>
        <v/>
      </c>
      <c r="AY242" s="71"/>
      <c r="AZ242" s="71"/>
      <c r="BA242" s="61" t="str">
        <f t="shared" si="135"/>
        <v/>
      </c>
      <c r="BB242" s="71"/>
      <c r="BC242" s="71"/>
      <c r="BD242" s="61" t="str">
        <f t="shared" si="136"/>
        <v/>
      </c>
      <c r="BE242" s="52"/>
      <c r="BS242" s="118"/>
      <c r="BT242" s="118"/>
      <c r="BU242" s="118"/>
      <c r="BV242" s="118"/>
      <c r="BW242" s="118"/>
      <c r="BX242" s="118"/>
      <c r="BZ242" s="118"/>
      <c r="CB242" s="118"/>
      <c r="CC242" s="118"/>
      <c r="CD242" s="118"/>
    </row>
    <row r="243" spans="1:82" ht="17.399999999999999" customHeight="1">
      <c r="A243" s="87">
        <f t="shared" si="138"/>
        <v>34.200000000000003</v>
      </c>
      <c r="B243" s="111">
        <f t="shared" si="118"/>
        <v>233</v>
      </c>
      <c r="C243" s="60"/>
      <c r="D243" s="74"/>
      <c r="E243" s="75"/>
      <c r="F243" s="74"/>
      <c r="G243" s="54">
        <f t="shared" si="145"/>
        <v>0</v>
      </c>
      <c r="H243" s="55">
        <f t="shared" si="145"/>
        <v>0</v>
      </c>
      <c r="I243" s="76">
        <f t="shared" si="127"/>
        <v>0</v>
      </c>
      <c r="J243" s="58">
        <f t="shared" si="128"/>
        <v>0</v>
      </c>
      <c r="K243" s="58">
        <f t="shared" si="129"/>
        <v>0</v>
      </c>
      <c r="L243" s="58">
        <f t="shared" si="130"/>
        <v>0</v>
      </c>
      <c r="M243" s="58" t="str">
        <f t="shared" ca="1" si="131"/>
        <v/>
      </c>
      <c r="N243" s="58" t="str">
        <f t="shared" ca="1" si="131"/>
        <v/>
      </c>
      <c r="O243" s="58">
        <f t="shared" si="132"/>
        <v>5.0000000000000001E-4</v>
      </c>
      <c r="P243" s="77"/>
      <c r="Q243" s="60"/>
      <c r="R243" s="77"/>
      <c r="S243" s="78">
        <f t="shared" si="119"/>
        <v>0</v>
      </c>
      <c r="T243" s="55">
        <f t="shared" si="119"/>
        <v>0</v>
      </c>
      <c r="U243" s="79">
        <f t="shared" si="139"/>
        <v>0</v>
      </c>
      <c r="V243" s="63">
        <f t="shared" si="140"/>
        <v>0</v>
      </c>
      <c r="W243" s="64">
        <f t="shared" ref="W243:W248" si="147">W242</f>
        <v>130</v>
      </c>
      <c r="X243" s="80">
        <f t="shared" si="146"/>
        <v>169</v>
      </c>
      <c r="Y243" s="75"/>
      <c r="Z243" s="60"/>
      <c r="AA243" s="75"/>
      <c r="AB243" s="75"/>
      <c r="AC243" s="75"/>
      <c r="AD243" s="75"/>
      <c r="AE243" s="81">
        <f t="shared" si="120"/>
        <v>0</v>
      </c>
      <c r="AF243" s="55">
        <f t="shared" si="121"/>
        <v>0</v>
      </c>
      <c r="AG243" s="76">
        <f t="shared" si="115"/>
        <v>0</v>
      </c>
      <c r="AH243" s="82">
        <f t="shared" si="116"/>
        <v>0</v>
      </c>
      <c r="AI243" s="83">
        <f t="shared" si="116"/>
        <v>0</v>
      </c>
      <c r="AJ243" s="83">
        <f t="shared" si="116"/>
        <v>0</v>
      </c>
      <c r="AK243" s="58">
        <f t="shared" si="114"/>
        <v>0</v>
      </c>
      <c r="AL243" s="82">
        <f t="shared" si="122"/>
        <v>0</v>
      </c>
      <c r="AM243" s="58">
        <f t="shared" si="123"/>
        <v>0</v>
      </c>
      <c r="AN243" s="74"/>
      <c r="AO243" s="84"/>
      <c r="AP243" s="74"/>
      <c r="AQ243" s="85"/>
      <c r="AR243" s="74"/>
      <c r="AS243" s="74"/>
      <c r="AT243" s="74"/>
      <c r="AU243" s="55" t="str">
        <f t="shared" si="133"/>
        <v/>
      </c>
      <c r="AV243" s="55" t="str">
        <f t="shared" ca="1" si="134"/>
        <v/>
      </c>
      <c r="AW243" s="55" t="str">
        <f t="shared" si="124"/>
        <v/>
      </c>
      <c r="AX243" s="55" t="str">
        <f t="shared" ca="1" si="125"/>
        <v/>
      </c>
      <c r="AY243" s="86"/>
      <c r="AZ243" s="86"/>
      <c r="BA243" s="55" t="str">
        <f t="shared" si="135"/>
        <v/>
      </c>
      <c r="BB243" s="86"/>
      <c r="BC243" s="86"/>
      <c r="BD243" s="55" t="str">
        <f t="shared" si="136"/>
        <v/>
      </c>
      <c r="BE243" s="74"/>
      <c r="BS243" s="118"/>
      <c r="BT243" s="118"/>
      <c r="BU243" s="118"/>
      <c r="BV243" s="118"/>
      <c r="BW243" s="118"/>
      <c r="BX243" s="118"/>
      <c r="BZ243" s="118"/>
      <c r="CB243" s="118"/>
      <c r="CC243" s="118"/>
      <c r="CD243" s="118"/>
    </row>
    <row r="244" spans="1:82" ht="17.399999999999999" customHeight="1">
      <c r="A244" s="72">
        <f t="shared" si="138"/>
        <v>34.299999999999997</v>
      </c>
      <c r="B244" s="111">
        <f t="shared" si="118"/>
        <v>234</v>
      </c>
      <c r="C244" s="60"/>
      <c r="D244" s="74"/>
      <c r="E244" s="75"/>
      <c r="F244" s="74"/>
      <c r="G244" s="54">
        <f t="shared" si="145"/>
        <v>0</v>
      </c>
      <c r="H244" s="55">
        <f t="shared" si="145"/>
        <v>0</v>
      </c>
      <c r="I244" s="76">
        <f t="shared" si="127"/>
        <v>0</v>
      </c>
      <c r="J244" s="58">
        <f t="shared" si="128"/>
        <v>0</v>
      </c>
      <c r="K244" s="58">
        <f t="shared" si="129"/>
        <v>0</v>
      </c>
      <c r="L244" s="58">
        <f t="shared" si="130"/>
        <v>0</v>
      </c>
      <c r="M244" s="58" t="str">
        <f t="shared" ca="1" si="131"/>
        <v/>
      </c>
      <c r="N244" s="58" t="str">
        <f t="shared" ca="1" si="131"/>
        <v/>
      </c>
      <c r="O244" s="58">
        <f t="shared" si="132"/>
        <v>5.0000000000000001E-4</v>
      </c>
      <c r="P244" s="77"/>
      <c r="Q244" s="60"/>
      <c r="R244" s="77"/>
      <c r="S244" s="78">
        <f t="shared" si="119"/>
        <v>0</v>
      </c>
      <c r="T244" s="55">
        <f t="shared" si="119"/>
        <v>0</v>
      </c>
      <c r="U244" s="79">
        <f t="shared" si="139"/>
        <v>0</v>
      </c>
      <c r="V244" s="63">
        <f t="shared" si="140"/>
        <v>0</v>
      </c>
      <c r="W244" s="64">
        <f t="shared" si="147"/>
        <v>130</v>
      </c>
      <c r="X244" s="80">
        <f t="shared" si="146"/>
        <v>169</v>
      </c>
      <c r="Y244" s="75"/>
      <c r="Z244" s="60"/>
      <c r="AA244" s="75"/>
      <c r="AB244" s="75"/>
      <c r="AC244" s="75"/>
      <c r="AD244" s="75"/>
      <c r="AE244" s="81">
        <f t="shared" si="120"/>
        <v>0</v>
      </c>
      <c r="AF244" s="55">
        <f t="shared" si="121"/>
        <v>0</v>
      </c>
      <c r="AG244" s="76">
        <f t="shared" si="115"/>
        <v>0</v>
      </c>
      <c r="AH244" s="82">
        <f t="shared" si="116"/>
        <v>0</v>
      </c>
      <c r="AI244" s="83">
        <f t="shared" si="116"/>
        <v>0</v>
      </c>
      <c r="AJ244" s="83">
        <f t="shared" si="116"/>
        <v>0</v>
      </c>
      <c r="AK244" s="58">
        <f t="shared" si="114"/>
        <v>0</v>
      </c>
      <c r="AL244" s="82">
        <f t="shared" si="122"/>
        <v>0</v>
      </c>
      <c r="AM244" s="58">
        <f t="shared" si="123"/>
        <v>0</v>
      </c>
      <c r="AN244" s="74"/>
      <c r="AO244" s="84"/>
      <c r="AP244" s="74"/>
      <c r="AQ244" s="85"/>
      <c r="AR244" s="74"/>
      <c r="AS244" s="74"/>
      <c r="AT244" s="74"/>
      <c r="AU244" s="55" t="str">
        <f t="shared" si="133"/>
        <v/>
      </c>
      <c r="AV244" s="55" t="str">
        <f t="shared" ca="1" si="134"/>
        <v/>
      </c>
      <c r="AW244" s="55" t="str">
        <f t="shared" si="124"/>
        <v/>
      </c>
      <c r="AX244" s="55" t="str">
        <f t="shared" ca="1" si="125"/>
        <v/>
      </c>
      <c r="AY244" s="86"/>
      <c r="AZ244" s="86"/>
      <c r="BA244" s="55" t="str">
        <f t="shared" si="135"/>
        <v/>
      </c>
      <c r="BB244" s="86"/>
      <c r="BC244" s="86"/>
      <c r="BD244" s="55" t="str">
        <f t="shared" si="136"/>
        <v/>
      </c>
      <c r="BE244" s="74"/>
      <c r="BS244" s="118"/>
      <c r="BT244" s="118"/>
      <c r="BU244" s="118"/>
      <c r="BV244" s="118"/>
      <c r="BW244" s="118"/>
      <c r="BX244" s="118"/>
      <c r="BZ244" s="118"/>
      <c r="CB244" s="118"/>
      <c r="CC244" s="118"/>
      <c r="CD244" s="118"/>
    </row>
    <row r="245" spans="1:82" ht="17.399999999999999" customHeight="1">
      <c r="A245" s="87">
        <f t="shared" si="138"/>
        <v>34.4</v>
      </c>
      <c r="B245" s="111">
        <f t="shared" si="118"/>
        <v>235</v>
      </c>
      <c r="C245" s="60"/>
      <c r="D245" s="74"/>
      <c r="E245" s="75"/>
      <c r="F245" s="74"/>
      <c r="G245" s="54">
        <f t="shared" si="145"/>
        <v>0</v>
      </c>
      <c r="H245" s="55">
        <f t="shared" si="145"/>
        <v>0</v>
      </c>
      <c r="I245" s="76">
        <f t="shared" si="127"/>
        <v>0</v>
      </c>
      <c r="J245" s="58">
        <f t="shared" si="128"/>
        <v>0</v>
      </c>
      <c r="K245" s="58">
        <f t="shared" si="129"/>
        <v>0</v>
      </c>
      <c r="L245" s="58">
        <f t="shared" si="130"/>
        <v>0</v>
      </c>
      <c r="M245" s="58" t="str">
        <f t="shared" ca="1" si="131"/>
        <v/>
      </c>
      <c r="N245" s="58" t="str">
        <f t="shared" ca="1" si="131"/>
        <v/>
      </c>
      <c r="O245" s="58">
        <f t="shared" si="132"/>
        <v>5.0000000000000001E-4</v>
      </c>
      <c r="P245" s="77"/>
      <c r="Q245" s="60"/>
      <c r="R245" s="77"/>
      <c r="S245" s="78">
        <f t="shared" si="119"/>
        <v>0</v>
      </c>
      <c r="T245" s="55">
        <f t="shared" si="119"/>
        <v>0</v>
      </c>
      <c r="U245" s="79">
        <f t="shared" si="139"/>
        <v>0</v>
      </c>
      <c r="V245" s="63">
        <f t="shared" si="140"/>
        <v>0</v>
      </c>
      <c r="W245" s="64">
        <f t="shared" si="147"/>
        <v>130</v>
      </c>
      <c r="X245" s="80">
        <f t="shared" si="146"/>
        <v>169</v>
      </c>
      <c r="Y245" s="75"/>
      <c r="Z245" s="60"/>
      <c r="AA245" s="75"/>
      <c r="AB245" s="75"/>
      <c r="AC245" s="75"/>
      <c r="AD245" s="75"/>
      <c r="AE245" s="81">
        <f t="shared" si="120"/>
        <v>0</v>
      </c>
      <c r="AF245" s="55">
        <f t="shared" si="121"/>
        <v>0</v>
      </c>
      <c r="AG245" s="76">
        <f t="shared" si="115"/>
        <v>0</v>
      </c>
      <c r="AH245" s="82">
        <f t="shared" si="116"/>
        <v>0</v>
      </c>
      <c r="AI245" s="83">
        <f t="shared" si="116"/>
        <v>0</v>
      </c>
      <c r="AJ245" s="83">
        <f t="shared" si="116"/>
        <v>0</v>
      </c>
      <c r="AK245" s="58">
        <f t="shared" si="114"/>
        <v>0</v>
      </c>
      <c r="AL245" s="82">
        <f t="shared" si="122"/>
        <v>0</v>
      </c>
      <c r="AM245" s="58">
        <f t="shared" si="123"/>
        <v>0</v>
      </c>
      <c r="AN245" s="74"/>
      <c r="AO245" s="84"/>
      <c r="AP245" s="74"/>
      <c r="AQ245" s="85"/>
      <c r="AR245" s="74"/>
      <c r="AS245" s="74"/>
      <c r="AT245" s="74"/>
      <c r="AU245" s="55" t="str">
        <f t="shared" si="133"/>
        <v/>
      </c>
      <c r="AV245" s="55" t="str">
        <f t="shared" ca="1" si="134"/>
        <v/>
      </c>
      <c r="AW245" s="55" t="str">
        <f t="shared" si="124"/>
        <v/>
      </c>
      <c r="AX245" s="55" t="str">
        <f t="shared" ca="1" si="125"/>
        <v/>
      </c>
      <c r="AY245" s="86"/>
      <c r="AZ245" s="86"/>
      <c r="BA245" s="55" t="str">
        <f t="shared" si="135"/>
        <v/>
      </c>
      <c r="BB245" s="86"/>
      <c r="BC245" s="86"/>
      <c r="BD245" s="55" t="str">
        <f t="shared" si="136"/>
        <v/>
      </c>
      <c r="BE245" s="74"/>
      <c r="BS245" s="118"/>
      <c r="BT245" s="118"/>
      <c r="BU245" s="118"/>
      <c r="BV245" s="118"/>
      <c r="BW245" s="118"/>
      <c r="BX245" s="118"/>
      <c r="BZ245" s="118"/>
      <c r="CB245" s="118"/>
      <c r="CC245" s="118"/>
      <c r="CD245" s="118"/>
    </row>
    <row r="246" spans="1:82" ht="17.399999999999999" customHeight="1">
      <c r="A246" s="72">
        <f t="shared" si="138"/>
        <v>34.5</v>
      </c>
      <c r="B246" s="111">
        <f t="shared" si="118"/>
        <v>236</v>
      </c>
      <c r="C246" s="60"/>
      <c r="D246" s="74"/>
      <c r="E246" s="75"/>
      <c r="F246" s="74"/>
      <c r="G246" s="54">
        <f t="shared" si="145"/>
        <v>0</v>
      </c>
      <c r="H246" s="55">
        <f t="shared" si="145"/>
        <v>0</v>
      </c>
      <c r="I246" s="76">
        <f t="shared" si="127"/>
        <v>0</v>
      </c>
      <c r="J246" s="58">
        <f t="shared" si="128"/>
        <v>0</v>
      </c>
      <c r="K246" s="58">
        <f t="shared" si="129"/>
        <v>0</v>
      </c>
      <c r="L246" s="58">
        <f t="shared" si="130"/>
        <v>0</v>
      </c>
      <c r="M246" s="58" t="str">
        <f t="shared" ca="1" si="131"/>
        <v/>
      </c>
      <c r="N246" s="58" t="str">
        <f t="shared" ca="1" si="131"/>
        <v/>
      </c>
      <c r="O246" s="58">
        <f t="shared" si="132"/>
        <v>5.0000000000000001E-4</v>
      </c>
      <c r="P246" s="77"/>
      <c r="Q246" s="60"/>
      <c r="R246" s="77"/>
      <c r="S246" s="78">
        <f t="shared" si="119"/>
        <v>0</v>
      </c>
      <c r="T246" s="55">
        <f t="shared" si="119"/>
        <v>0</v>
      </c>
      <c r="U246" s="79">
        <f t="shared" si="139"/>
        <v>0</v>
      </c>
      <c r="V246" s="63">
        <f t="shared" si="140"/>
        <v>0</v>
      </c>
      <c r="W246" s="64">
        <f t="shared" si="147"/>
        <v>130</v>
      </c>
      <c r="X246" s="80">
        <f t="shared" si="146"/>
        <v>169</v>
      </c>
      <c r="Y246" s="75"/>
      <c r="Z246" s="60"/>
      <c r="AA246" s="75"/>
      <c r="AB246" s="75"/>
      <c r="AC246" s="75"/>
      <c r="AD246" s="75"/>
      <c r="AE246" s="81">
        <f t="shared" si="120"/>
        <v>0</v>
      </c>
      <c r="AF246" s="55">
        <f t="shared" si="121"/>
        <v>0</v>
      </c>
      <c r="AG246" s="76">
        <f t="shared" si="115"/>
        <v>0</v>
      </c>
      <c r="AH246" s="82">
        <f t="shared" si="116"/>
        <v>0</v>
      </c>
      <c r="AI246" s="83">
        <f t="shared" si="116"/>
        <v>0</v>
      </c>
      <c r="AJ246" s="83">
        <f t="shared" si="116"/>
        <v>0</v>
      </c>
      <c r="AK246" s="58">
        <f t="shared" si="114"/>
        <v>0</v>
      </c>
      <c r="AL246" s="82">
        <f t="shared" si="122"/>
        <v>0</v>
      </c>
      <c r="AM246" s="58">
        <f t="shared" si="123"/>
        <v>0</v>
      </c>
      <c r="AN246" s="74"/>
      <c r="AO246" s="84"/>
      <c r="AP246" s="74"/>
      <c r="AQ246" s="85"/>
      <c r="AR246" s="74"/>
      <c r="AS246" s="74"/>
      <c r="AT246" s="74"/>
      <c r="AU246" s="55" t="str">
        <f t="shared" si="133"/>
        <v/>
      </c>
      <c r="AV246" s="55" t="str">
        <f t="shared" ca="1" si="134"/>
        <v/>
      </c>
      <c r="AW246" s="55" t="str">
        <f t="shared" si="124"/>
        <v/>
      </c>
      <c r="AX246" s="55" t="str">
        <f t="shared" ca="1" si="125"/>
        <v/>
      </c>
      <c r="AY246" s="86"/>
      <c r="AZ246" s="86"/>
      <c r="BA246" s="55" t="str">
        <f t="shared" si="135"/>
        <v/>
      </c>
      <c r="BB246" s="86"/>
      <c r="BC246" s="86"/>
      <c r="BD246" s="55" t="str">
        <f t="shared" si="136"/>
        <v/>
      </c>
      <c r="BE246" s="74"/>
      <c r="BS246" s="118"/>
      <c r="BT246" s="118"/>
      <c r="BU246" s="118"/>
      <c r="BV246" s="118"/>
      <c r="BW246" s="118"/>
      <c r="BX246" s="118"/>
      <c r="BZ246" s="118"/>
      <c r="CB246" s="118"/>
      <c r="CC246" s="118"/>
      <c r="CD246" s="118"/>
    </row>
    <row r="247" spans="1:82" ht="17.399999999999999" customHeight="1">
      <c r="A247" s="87">
        <f t="shared" si="138"/>
        <v>34.6</v>
      </c>
      <c r="B247" s="111">
        <f t="shared" si="118"/>
        <v>237</v>
      </c>
      <c r="C247" s="60"/>
      <c r="D247" s="74"/>
      <c r="E247" s="75"/>
      <c r="F247" s="74"/>
      <c r="G247" s="54">
        <f t="shared" si="145"/>
        <v>0</v>
      </c>
      <c r="H247" s="55">
        <f t="shared" si="145"/>
        <v>0</v>
      </c>
      <c r="I247" s="76">
        <f t="shared" si="127"/>
        <v>0</v>
      </c>
      <c r="J247" s="58">
        <f t="shared" si="128"/>
        <v>0</v>
      </c>
      <c r="K247" s="58">
        <f t="shared" si="129"/>
        <v>0</v>
      </c>
      <c r="L247" s="58">
        <f t="shared" si="130"/>
        <v>0</v>
      </c>
      <c r="M247" s="58" t="str">
        <f t="shared" ca="1" si="131"/>
        <v/>
      </c>
      <c r="N247" s="58" t="str">
        <f t="shared" ca="1" si="131"/>
        <v/>
      </c>
      <c r="O247" s="58">
        <f t="shared" si="132"/>
        <v>5.0000000000000001E-4</v>
      </c>
      <c r="P247" s="77"/>
      <c r="Q247" s="60"/>
      <c r="R247" s="77"/>
      <c r="S247" s="78">
        <f t="shared" si="119"/>
        <v>0</v>
      </c>
      <c r="T247" s="55">
        <f t="shared" si="119"/>
        <v>0</v>
      </c>
      <c r="U247" s="79">
        <f t="shared" si="139"/>
        <v>0</v>
      </c>
      <c r="V247" s="63">
        <f t="shared" si="140"/>
        <v>0</v>
      </c>
      <c r="W247" s="64">
        <f t="shared" si="147"/>
        <v>130</v>
      </c>
      <c r="X247" s="80">
        <f t="shared" si="146"/>
        <v>169</v>
      </c>
      <c r="Y247" s="75"/>
      <c r="Z247" s="60"/>
      <c r="AA247" s="75"/>
      <c r="AB247" s="75"/>
      <c r="AC247" s="75"/>
      <c r="AD247" s="75"/>
      <c r="AE247" s="81">
        <f t="shared" si="120"/>
        <v>0</v>
      </c>
      <c r="AF247" s="55">
        <f t="shared" si="121"/>
        <v>0</v>
      </c>
      <c r="AG247" s="76">
        <f t="shared" si="115"/>
        <v>0</v>
      </c>
      <c r="AH247" s="82">
        <f t="shared" si="116"/>
        <v>0</v>
      </c>
      <c r="AI247" s="83">
        <f t="shared" si="116"/>
        <v>0</v>
      </c>
      <c r="AJ247" s="83">
        <f t="shared" si="116"/>
        <v>0</v>
      </c>
      <c r="AK247" s="58">
        <f t="shared" si="114"/>
        <v>0</v>
      </c>
      <c r="AL247" s="82">
        <f t="shared" si="122"/>
        <v>0</v>
      </c>
      <c r="AM247" s="58">
        <f t="shared" si="123"/>
        <v>0</v>
      </c>
      <c r="AN247" s="74"/>
      <c r="AO247" s="84"/>
      <c r="AP247" s="74"/>
      <c r="AQ247" s="85"/>
      <c r="AR247" s="74"/>
      <c r="AS247" s="74"/>
      <c r="AT247" s="74"/>
      <c r="AU247" s="55" t="str">
        <f t="shared" si="133"/>
        <v/>
      </c>
      <c r="AV247" s="55" t="str">
        <f t="shared" ca="1" si="134"/>
        <v/>
      </c>
      <c r="AW247" s="55" t="str">
        <f t="shared" si="124"/>
        <v/>
      </c>
      <c r="AX247" s="55" t="str">
        <f t="shared" ca="1" si="125"/>
        <v/>
      </c>
      <c r="AY247" s="86"/>
      <c r="AZ247" s="86"/>
      <c r="BA247" s="55" t="str">
        <f t="shared" si="135"/>
        <v/>
      </c>
      <c r="BB247" s="86"/>
      <c r="BC247" s="86"/>
      <c r="BD247" s="55" t="str">
        <f t="shared" si="136"/>
        <v/>
      </c>
      <c r="BE247" s="74"/>
      <c r="BS247" s="118"/>
      <c r="BT247" s="118"/>
      <c r="BU247" s="118"/>
      <c r="BV247" s="118"/>
      <c r="BW247" s="118"/>
      <c r="BX247" s="118"/>
      <c r="BZ247" s="118"/>
      <c r="CB247" s="118"/>
      <c r="CC247" s="118"/>
      <c r="CD247" s="118"/>
    </row>
    <row r="248" spans="1:82" ht="17.399999999999999" customHeight="1" thickBot="1">
      <c r="A248" s="72">
        <f t="shared" si="138"/>
        <v>34.700000000000003</v>
      </c>
      <c r="B248" s="113">
        <f t="shared" si="118"/>
        <v>238</v>
      </c>
      <c r="C248" s="89"/>
      <c r="D248" s="90"/>
      <c r="E248" s="91"/>
      <c r="F248" s="90"/>
      <c r="G248" s="92">
        <f t="shared" si="145"/>
        <v>0</v>
      </c>
      <c r="H248" s="93">
        <f t="shared" si="145"/>
        <v>0</v>
      </c>
      <c r="I248" s="94">
        <f t="shared" si="127"/>
        <v>0</v>
      </c>
      <c r="J248" s="95">
        <f t="shared" si="128"/>
        <v>0</v>
      </c>
      <c r="K248" s="95">
        <f t="shared" si="129"/>
        <v>0</v>
      </c>
      <c r="L248" s="95">
        <f t="shared" si="130"/>
        <v>0</v>
      </c>
      <c r="M248" s="95" t="str">
        <f t="shared" ca="1" si="131"/>
        <v/>
      </c>
      <c r="N248" s="95" t="str">
        <f t="shared" ca="1" si="131"/>
        <v/>
      </c>
      <c r="O248" s="95">
        <f t="shared" si="132"/>
        <v>5.0000000000000001E-4</v>
      </c>
      <c r="P248" s="96"/>
      <c r="Q248" s="89"/>
      <c r="R248" s="96"/>
      <c r="S248" s="78">
        <f t="shared" si="119"/>
        <v>0</v>
      </c>
      <c r="T248" s="55">
        <f t="shared" si="119"/>
        <v>0</v>
      </c>
      <c r="U248" s="97">
        <f t="shared" si="139"/>
        <v>0</v>
      </c>
      <c r="V248" s="98">
        <f t="shared" si="140"/>
        <v>0</v>
      </c>
      <c r="W248" s="99">
        <f t="shared" si="147"/>
        <v>130</v>
      </c>
      <c r="X248" s="100">
        <f t="shared" si="146"/>
        <v>169</v>
      </c>
      <c r="Y248" s="91"/>
      <c r="Z248" s="60"/>
      <c r="AA248" s="75"/>
      <c r="AB248" s="75"/>
      <c r="AC248" s="75"/>
      <c r="AD248" s="75"/>
      <c r="AE248" s="101">
        <f t="shared" si="120"/>
        <v>0</v>
      </c>
      <c r="AF248" s="93">
        <f t="shared" si="121"/>
        <v>0</v>
      </c>
      <c r="AG248" s="94">
        <f t="shared" si="115"/>
        <v>0</v>
      </c>
      <c r="AH248" s="102">
        <f t="shared" si="116"/>
        <v>0</v>
      </c>
      <c r="AI248" s="103">
        <f t="shared" si="116"/>
        <v>0</v>
      </c>
      <c r="AJ248" s="103">
        <f t="shared" si="116"/>
        <v>0</v>
      </c>
      <c r="AK248" s="95">
        <f t="shared" si="114"/>
        <v>0</v>
      </c>
      <c r="AL248" s="102">
        <f t="shared" si="122"/>
        <v>0</v>
      </c>
      <c r="AM248" s="95">
        <f t="shared" si="123"/>
        <v>0</v>
      </c>
      <c r="AN248" s="90"/>
      <c r="AO248" s="104"/>
      <c r="AP248" s="90"/>
      <c r="AQ248" s="105"/>
      <c r="AR248" s="90"/>
      <c r="AS248" s="90"/>
      <c r="AT248" s="90"/>
      <c r="AU248" s="93" t="str">
        <f t="shared" si="133"/>
        <v/>
      </c>
      <c r="AV248" s="93" t="str">
        <f t="shared" ca="1" si="134"/>
        <v/>
      </c>
      <c r="AW248" s="93" t="str">
        <f t="shared" si="124"/>
        <v/>
      </c>
      <c r="AX248" s="93" t="str">
        <f t="shared" ca="1" si="125"/>
        <v/>
      </c>
      <c r="AY248" s="106"/>
      <c r="AZ248" s="106"/>
      <c r="BA248" s="93" t="str">
        <f t="shared" si="135"/>
        <v/>
      </c>
      <c r="BB248" s="106"/>
      <c r="BC248" s="106"/>
      <c r="BD248" s="93" t="str">
        <f t="shared" si="136"/>
        <v/>
      </c>
      <c r="BE248" s="90"/>
      <c r="BS248" s="118"/>
      <c r="BT248" s="118"/>
      <c r="BU248" s="118"/>
      <c r="BV248" s="118"/>
      <c r="BW248" s="118"/>
      <c r="BX248" s="118"/>
      <c r="BZ248" s="118"/>
      <c r="CB248" s="118"/>
      <c r="CC248" s="118"/>
      <c r="CD248" s="118"/>
    </row>
    <row r="249" spans="1:82" ht="17.399999999999999" customHeight="1" thickTop="1">
      <c r="A249" s="49">
        <f>A242+1</f>
        <v>35.1</v>
      </c>
      <c r="B249" s="108">
        <f>B248+1</f>
        <v>239</v>
      </c>
      <c r="C249" s="51"/>
      <c r="D249" s="52"/>
      <c r="E249" s="53"/>
      <c r="F249" s="52"/>
      <c r="G249" s="54">
        <f t="shared" si="145"/>
        <v>0</v>
      </c>
      <c r="H249" s="55">
        <f t="shared" si="145"/>
        <v>0</v>
      </c>
      <c r="I249" s="56">
        <f t="shared" si="127"/>
        <v>0</v>
      </c>
      <c r="J249" s="57">
        <f t="shared" si="128"/>
        <v>0</v>
      </c>
      <c r="K249" s="57">
        <f t="shared" si="129"/>
        <v>0</v>
      </c>
      <c r="L249" s="57">
        <f t="shared" si="130"/>
        <v>0</v>
      </c>
      <c r="M249" s="58" t="str">
        <f t="shared" ca="1" si="131"/>
        <v/>
      </c>
      <c r="N249" s="58" t="str">
        <f t="shared" ca="1" si="131"/>
        <v/>
      </c>
      <c r="O249" s="58">
        <f t="shared" si="132"/>
        <v>5.0000000000000001E-4</v>
      </c>
      <c r="P249" s="77"/>
      <c r="Q249" s="60"/>
      <c r="R249" s="77"/>
      <c r="S249" s="109">
        <f t="shared" si="119"/>
        <v>0</v>
      </c>
      <c r="T249" s="61">
        <f t="shared" si="119"/>
        <v>0</v>
      </c>
      <c r="U249" s="62">
        <f t="shared" si="139"/>
        <v>0</v>
      </c>
      <c r="V249" s="63">
        <f t="shared" si="140"/>
        <v>0</v>
      </c>
      <c r="W249" s="64">
        <v>131</v>
      </c>
      <c r="X249" s="80">
        <f t="shared" si="146"/>
        <v>169</v>
      </c>
      <c r="Y249" s="53"/>
      <c r="Z249" s="51"/>
      <c r="AA249" s="53"/>
      <c r="AB249" s="53"/>
      <c r="AC249" s="53"/>
      <c r="AD249" s="53"/>
      <c r="AE249" s="66">
        <f t="shared" si="120"/>
        <v>0</v>
      </c>
      <c r="AF249" s="61">
        <f t="shared" si="121"/>
        <v>0</v>
      </c>
      <c r="AG249" s="56">
        <f t="shared" si="115"/>
        <v>0</v>
      </c>
      <c r="AH249" s="67">
        <f t="shared" si="116"/>
        <v>0</v>
      </c>
      <c r="AI249" s="68">
        <f t="shared" si="116"/>
        <v>0</v>
      </c>
      <c r="AJ249" s="68">
        <f t="shared" si="116"/>
        <v>0</v>
      </c>
      <c r="AK249" s="57">
        <f t="shared" si="114"/>
        <v>0</v>
      </c>
      <c r="AL249" s="67">
        <f t="shared" si="122"/>
        <v>0</v>
      </c>
      <c r="AM249" s="57">
        <f t="shared" si="123"/>
        <v>0</v>
      </c>
      <c r="AN249" s="52"/>
      <c r="AO249" s="69"/>
      <c r="AP249" s="52"/>
      <c r="AQ249" s="70"/>
      <c r="AR249" s="52"/>
      <c r="AS249" s="52"/>
      <c r="AT249" s="52"/>
      <c r="AU249" s="61" t="str">
        <f t="shared" si="133"/>
        <v/>
      </c>
      <c r="AV249" s="61" t="str">
        <f t="shared" ca="1" si="134"/>
        <v/>
      </c>
      <c r="AW249" s="61" t="str">
        <f t="shared" si="124"/>
        <v/>
      </c>
      <c r="AX249" s="61" t="str">
        <f t="shared" ca="1" si="125"/>
        <v/>
      </c>
      <c r="AY249" s="71"/>
      <c r="AZ249" s="71"/>
      <c r="BA249" s="61" t="str">
        <f t="shared" si="135"/>
        <v/>
      </c>
      <c r="BB249" s="71"/>
      <c r="BC249" s="71"/>
      <c r="BD249" s="61" t="str">
        <f t="shared" si="136"/>
        <v/>
      </c>
      <c r="BE249" s="52"/>
      <c r="BS249" s="118"/>
      <c r="BT249" s="118"/>
      <c r="BU249" s="118"/>
      <c r="BV249" s="118"/>
      <c r="BW249" s="118"/>
      <c r="BX249" s="118"/>
      <c r="BZ249" s="118"/>
      <c r="CB249" s="118"/>
      <c r="CC249" s="118"/>
      <c r="CD249" s="118"/>
    </row>
    <row r="250" spans="1:82" ht="17.399999999999999" customHeight="1">
      <c r="A250" s="72">
        <f t="shared" si="138"/>
        <v>35.200000000000003</v>
      </c>
      <c r="B250" s="111">
        <f t="shared" si="118"/>
        <v>240</v>
      </c>
      <c r="C250" s="60"/>
      <c r="D250" s="74"/>
      <c r="E250" s="75"/>
      <c r="F250" s="74"/>
      <c r="G250" s="54">
        <f t="shared" si="145"/>
        <v>0</v>
      </c>
      <c r="H250" s="55">
        <f t="shared" si="145"/>
        <v>0</v>
      </c>
      <c r="I250" s="76">
        <f t="shared" si="127"/>
        <v>0</v>
      </c>
      <c r="J250" s="58">
        <f t="shared" si="128"/>
        <v>0</v>
      </c>
      <c r="K250" s="58">
        <f t="shared" si="129"/>
        <v>0</v>
      </c>
      <c r="L250" s="58">
        <f t="shared" si="130"/>
        <v>0</v>
      </c>
      <c r="M250" s="58" t="str">
        <f t="shared" ca="1" si="131"/>
        <v/>
      </c>
      <c r="N250" s="58" t="str">
        <f t="shared" ca="1" si="131"/>
        <v/>
      </c>
      <c r="O250" s="58">
        <f t="shared" si="132"/>
        <v>5.0000000000000001E-4</v>
      </c>
      <c r="P250" s="77"/>
      <c r="Q250" s="60"/>
      <c r="R250" s="77"/>
      <c r="S250" s="78">
        <f t="shared" si="119"/>
        <v>0</v>
      </c>
      <c r="T250" s="55">
        <f t="shared" si="119"/>
        <v>0</v>
      </c>
      <c r="U250" s="79">
        <f t="shared" si="139"/>
        <v>0</v>
      </c>
      <c r="V250" s="63">
        <f t="shared" si="140"/>
        <v>0</v>
      </c>
      <c r="W250" s="64">
        <f t="shared" ref="W250:X262" si="148">W249</f>
        <v>131</v>
      </c>
      <c r="X250" s="80">
        <f t="shared" si="146"/>
        <v>169</v>
      </c>
      <c r="Y250" s="75"/>
      <c r="Z250" s="60"/>
      <c r="AA250" s="75"/>
      <c r="AB250" s="75"/>
      <c r="AC250" s="75"/>
      <c r="AD250" s="75"/>
      <c r="AE250" s="81">
        <f t="shared" si="120"/>
        <v>0</v>
      </c>
      <c r="AF250" s="55">
        <f t="shared" si="121"/>
        <v>0</v>
      </c>
      <c r="AG250" s="76">
        <f t="shared" si="115"/>
        <v>0</v>
      </c>
      <c r="AH250" s="82">
        <f t="shared" si="116"/>
        <v>0</v>
      </c>
      <c r="AI250" s="83">
        <f t="shared" si="116"/>
        <v>0</v>
      </c>
      <c r="AJ250" s="83">
        <f t="shared" si="116"/>
        <v>0</v>
      </c>
      <c r="AK250" s="58">
        <f t="shared" si="114"/>
        <v>0</v>
      </c>
      <c r="AL250" s="82">
        <f t="shared" si="122"/>
        <v>0</v>
      </c>
      <c r="AM250" s="58">
        <f t="shared" si="123"/>
        <v>0</v>
      </c>
      <c r="AN250" s="74"/>
      <c r="AO250" s="84"/>
      <c r="AP250" s="74"/>
      <c r="AQ250" s="85"/>
      <c r="AR250" s="74"/>
      <c r="AS250" s="74"/>
      <c r="AT250" s="74"/>
      <c r="AU250" s="55" t="str">
        <f t="shared" si="133"/>
        <v/>
      </c>
      <c r="AV250" s="55" t="str">
        <f t="shared" ca="1" si="134"/>
        <v/>
      </c>
      <c r="AW250" s="55" t="str">
        <f t="shared" si="124"/>
        <v/>
      </c>
      <c r="AX250" s="55" t="str">
        <f t="shared" ca="1" si="125"/>
        <v/>
      </c>
      <c r="AY250" s="86"/>
      <c r="AZ250" s="86"/>
      <c r="BA250" s="55" t="str">
        <f t="shared" si="135"/>
        <v/>
      </c>
      <c r="BB250" s="86"/>
      <c r="BC250" s="86"/>
      <c r="BD250" s="55" t="str">
        <f t="shared" si="136"/>
        <v/>
      </c>
      <c r="BE250" s="74"/>
      <c r="BS250" s="118"/>
      <c r="BT250" s="118"/>
      <c r="BU250" s="118"/>
      <c r="BV250" s="118"/>
      <c r="BW250" s="118"/>
      <c r="BX250" s="118"/>
      <c r="BZ250" s="118"/>
      <c r="CB250" s="118"/>
      <c r="CC250" s="118"/>
      <c r="CD250" s="118"/>
    </row>
    <row r="251" spans="1:82" ht="17.399999999999999" customHeight="1">
      <c r="A251" s="87">
        <f t="shared" si="138"/>
        <v>35.299999999999997</v>
      </c>
      <c r="B251" s="111">
        <f t="shared" si="118"/>
        <v>241</v>
      </c>
      <c r="C251" s="60"/>
      <c r="D251" s="74"/>
      <c r="E251" s="75"/>
      <c r="F251" s="74"/>
      <c r="G251" s="54">
        <f t="shared" si="145"/>
        <v>0</v>
      </c>
      <c r="H251" s="55">
        <f t="shared" si="145"/>
        <v>0</v>
      </c>
      <c r="I251" s="76">
        <f t="shared" si="127"/>
        <v>0</v>
      </c>
      <c r="J251" s="58">
        <f t="shared" si="128"/>
        <v>0</v>
      </c>
      <c r="K251" s="58">
        <f t="shared" si="129"/>
        <v>0</v>
      </c>
      <c r="L251" s="58">
        <f t="shared" si="130"/>
        <v>0</v>
      </c>
      <c r="M251" s="58" t="str">
        <f t="shared" ca="1" si="131"/>
        <v/>
      </c>
      <c r="N251" s="58" t="str">
        <f t="shared" ca="1" si="131"/>
        <v/>
      </c>
      <c r="O251" s="58">
        <f t="shared" si="132"/>
        <v>5.0000000000000001E-4</v>
      </c>
      <c r="P251" s="77"/>
      <c r="Q251" s="60"/>
      <c r="R251" s="77"/>
      <c r="S251" s="78">
        <f t="shared" si="119"/>
        <v>0</v>
      </c>
      <c r="T251" s="55">
        <f t="shared" si="119"/>
        <v>0</v>
      </c>
      <c r="U251" s="79">
        <f t="shared" si="139"/>
        <v>0</v>
      </c>
      <c r="V251" s="63">
        <f t="shared" si="140"/>
        <v>0</v>
      </c>
      <c r="W251" s="64">
        <f t="shared" si="148"/>
        <v>131</v>
      </c>
      <c r="X251" s="80">
        <f t="shared" si="146"/>
        <v>169</v>
      </c>
      <c r="Y251" s="75"/>
      <c r="Z251" s="60"/>
      <c r="AA251" s="75"/>
      <c r="AB251" s="75"/>
      <c r="AC251" s="75"/>
      <c r="AD251" s="75"/>
      <c r="AE251" s="81">
        <f t="shared" si="120"/>
        <v>0</v>
      </c>
      <c r="AF251" s="55">
        <f t="shared" si="121"/>
        <v>0</v>
      </c>
      <c r="AG251" s="76">
        <f t="shared" si="115"/>
        <v>0</v>
      </c>
      <c r="AH251" s="82">
        <f t="shared" si="116"/>
        <v>0</v>
      </c>
      <c r="AI251" s="83">
        <f t="shared" si="116"/>
        <v>0</v>
      </c>
      <c r="AJ251" s="83">
        <f t="shared" si="116"/>
        <v>0</v>
      </c>
      <c r="AK251" s="58">
        <f t="shared" si="114"/>
        <v>0</v>
      </c>
      <c r="AL251" s="82">
        <f t="shared" si="122"/>
        <v>0</v>
      </c>
      <c r="AM251" s="58">
        <f t="shared" si="123"/>
        <v>0</v>
      </c>
      <c r="AN251" s="74"/>
      <c r="AO251" s="84"/>
      <c r="AP251" s="74"/>
      <c r="AQ251" s="85"/>
      <c r="AR251" s="74"/>
      <c r="AS251" s="74"/>
      <c r="AT251" s="74"/>
      <c r="AU251" s="55" t="str">
        <f t="shared" si="133"/>
        <v/>
      </c>
      <c r="AV251" s="55" t="str">
        <f t="shared" ca="1" si="134"/>
        <v/>
      </c>
      <c r="AW251" s="55" t="str">
        <f t="shared" si="124"/>
        <v/>
      </c>
      <c r="AX251" s="55" t="str">
        <f t="shared" ca="1" si="125"/>
        <v/>
      </c>
      <c r="AY251" s="86"/>
      <c r="AZ251" s="86"/>
      <c r="BA251" s="55" t="str">
        <f t="shared" si="135"/>
        <v/>
      </c>
      <c r="BB251" s="86"/>
      <c r="BC251" s="86"/>
      <c r="BD251" s="55" t="str">
        <f t="shared" si="136"/>
        <v/>
      </c>
      <c r="BE251" s="74"/>
      <c r="BS251" s="118"/>
      <c r="BT251" s="118"/>
      <c r="BU251" s="118"/>
      <c r="BV251" s="118"/>
      <c r="BW251" s="118"/>
      <c r="BX251" s="118"/>
      <c r="BZ251" s="118"/>
      <c r="CB251" s="118"/>
      <c r="CC251" s="118"/>
      <c r="CD251" s="118"/>
    </row>
    <row r="252" spans="1:82" ht="17.399999999999999" customHeight="1">
      <c r="A252" s="72">
        <f t="shared" si="138"/>
        <v>35.4</v>
      </c>
      <c r="B252" s="111">
        <f t="shared" si="118"/>
        <v>242</v>
      </c>
      <c r="C252" s="60"/>
      <c r="D252" s="74"/>
      <c r="E252" s="75"/>
      <c r="F252" s="74"/>
      <c r="G252" s="54">
        <f t="shared" ref="G252:H267" si="149">G251-E252-C252</f>
        <v>0</v>
      </c>
      <c r="H252" s="55">
        <f t="shared" si="149"/>
        <v>0</v>
      </c>
      <c r="I252" s="76">
        <f t="shared" si="127"/>
        <v>0</v>
      </c>
      <c r="J252" s="58">
        <f t="shared" si="128"/>
        <v>0</v>
      </c>
      <c r="K252" s="58">
        <f t="shared" si="129"/>
        <v>0</v>
      </c>
      <c r="L252" s="58">
        <f t="shared" si="130"/>
        <v>0</v>
      </c>
      <c r="M252" s="58" t="str">
        <f t="shared" ca="1" si="131"/>
        <v/>
      </c>
      <c r="N252" s="58" t="str">
        <f t="shared" ca="1" si="131"/>
        <v/>
      </c>
      <c r="O252" s="58">
        <f t="shared" si="132"/>
        <v>5.0000000000000001E-4</v>
      </c>
      <c r="P252" s="77"/>
      <c r="Q252" s="60"/>
      <c r="R252" s="77"/>
      <c r="S252" s="78">
        <f t="shared" si="119"/>
        <v>0</v>
      </c>
      <c r="T252" s="55">
        <f t="shared" si="119"/>
        <v>0</v>
      </c>
      <c r="U252" s="79">
        <f t="shared" si="139"/>
        <v>0</v>
      </c>
      <c r="V252" s="63">
        <f t="shared" si="140"/>
        <v>0</v>
      </c>
      <c r="W252" s="64">
        <f t="shared" si="148"/>
        <v>131</v>
      </c>
      <c r="X252" s="80">
        <f t="shared" si="148"/>
        <v>169</v>
      </c>
      <c r="Y252" s="75"/>
      <c r="Z252" s="60"/>
      <c r="AA252" s="75"/>
      <c r="AB252" s="75"/>
      <c r="AC252" s="75"/>
      <c r="AD252" s="75"/>
      <c r="AE252" s="81">
        <f t="shared" si="120"/>
        <v>0</v>
      </c>
      <c r="AF252" s="55">
        <f t="shared" si="121"/>
        <v>0</v>
      </c>
      <c r="AG252" s="76">
        <f t="shared" si="115"/>
        <v>0</v>
      </c>
      <c r="AH252" s="82">
        <f t="shared" si="116"/>
        <v>0</v>
      </c>
      <c r="AI252" s="83">
        <f t="shared" si="116"/>
        <v>0</v>
      </c>
      <c r="AJ252" s="83">
        <f t="shared" si="116"/>
        <v>0</v>
      </c>
      <c r="AK252" s="58">
        <f t="shared" si="114"/>
        <v>0</v>
      </c>
      <c r="AL252" s="82">
        <f t="shared" si="122"/>
        <v>0</v>
      </c>
      <c r="AM252" s="58">
        <f t="shared" si="123"/>
        <v>0</v>
      </c>
      <c r="AN252" s="74"/>
      <c r="AO252" s="84"/>
      <c r="AP252" s="74"/>
      <c r="AQ252" s="85"/>
      <c r="AR252" s="74"/>
      <c r="AS252" s="74"/>
      <c r="AT252" s="74"/>
      <c r="AU252" s="55" t="str">
        <f t="shared" si="133"/>
        <v/>
      </c>
      <c r="AV252" s="55" t="str">
        <f t="shared" ca="1" si="134"/>
        <v/>
      </c>
      <c r="AW252" s="55" t="str">
        <f t="shared" si="124"/>
        <v/>
      </c>
      <c r="AX252" s="55" t="str">
        <f t="shared" ca="1" si="125"/>
        <v/>
      </c>
      <c r="AY252" s="86"/>
      <c r="AZ252" s="86"/>
      <c r="BA252" s="55" t="str">
        <f t="shared" si="135"/>
        <v/>
      </c>
      <c r="BB252" s="86"/>
      <c r="BC252" s="86"/>
      <c r="BD252" s="55" t="str">
        <f t="shared" si="136"/>
        <v/>
      </c>
      <c r="BE252" s="74"/>
      <c r="BS252" s="118"/>
      <c r="BT252" s="118"/>
      <c r="BU252" s="118"/>
      <c r="BV252" s="118"/>
      <c r="BW252" s="118"/>
      <c r="BX252" s="118"/>
      <c r="BZ252" s="118"/>
      <c r="CB252" s="118"/>
      <c r="CC252" s="118"/>
      <c r="CD252" s="118"/>
    </row>
    <row r="253" spans="1:82" ht="17.399999999999999" customHeight="1">
      <c r="A253" s="87">
        <f t="shared" si="138"/>
        <v>35.5</v>
      </c>
      <c r="B253" s="111">
        <f t="shared" si="118"/>
        <v>243</v>
      </c>
      <c r="C253" s="60"/>
      <c r="D253" s="74"/>
      <c r="E253" s="75"/>
      <c r="F253" s="74"/>
      <c r="G253" s="54">
        <f t="shared" si="149"/>
        <v>0</v>
      </c>
      <c r="H253" s="55">
        <f t="shared" si="149"/>
        <v>0</v>
      </c>
      <c r="I253" s="76">
        <f t="shared" si="127"/>
        <v>0</v>
      </c>
      <c r="J253" s="58">
        <f t="shared" si="128"/>
        <v>0</v>
      </c>
      <c r="K253" s="58">
        <f t="shared" si="129"/>
        <v>0</v>
      </c>
      <c r="L253" s="58">
        <f t="shared" si="130"/>
        <v>0</v>
      </c>
      <c r="M253" s="58" t="str">
        <f t="shared" ca="1" si="131"/>
        <v/>
      </c>
      <c r="N253" s="58" t="str">
        <f t="shared" ca="1" si="131"/>
        <v/>
      </c>
      <c r="O253" s="58">
        <f t="shared" si="132"/>
        <v>5.0000000000000001E-4</v>
      </c>
      <c r="P253" s="77"/>
      <c r="Q253" s="60"/>
      <c r="R253" s="77"/>
      <c r="S253" s="78">
        <f t="shared" si="119"/>
        <v>0</v>
      </c>
      <c r="T253" s="55">
        <f t="shared" si="119"/>
        <v>0</v>
      </c>
      <c r="U253" s="79">
        <f t="shared" si="139"/>
        <v>0</v>
      </c>
      <c r="V253" s="63">
        <f t="shared" si="140"/>
        <v>0</v>
      </c>
      <c r="W253" s="64">
        <f t="shared" si="148"/>
        <v>131</v>
      </c>
      <c r="X253" s="80">
        <f t="shared" si="148"/>
        <v>169</v>
      </c>
      <c r="Y253" s="75"/>
      <c r="Z253" s="60"/>
      <c r="AA253" s="75"/>
      <c r="AB253" s="75"/>
      <c r="AC253" s="75"/>
      <c r="AD253" s="75"/>
      <c r="AE253" s="81">
        <f t="shared" si="120"/>
        <v>0</v>
      </c>
      <c r="AF253" s="55">
        <f t="shared" si="121"/>
        <v>0</v>
      </c>
      <c r="AG253" s="76">
        <f t="shared" si="115"/>
        <v>0</v>
      </c>
      <c r="AH253" s="82">
        <f t="shared" si="116"/>
        <v>0</v>
      </c>
      <c r="AI253" s="83">
        <f t="shared" si="116"/>
        <v>0</v>
      </c>
      <c r="AJ253" s="83">
        <f t="shared" si="116"/>
        <v>0</v>
      </c>
      <c r="AK253" s="58">
        <f t="shared" si="114"/>
        <v>0</v>
      </c>
      <c r="AL253" s="82">
        <f t="shared" si="122"/>
        <v>0</v>
      </c>
      <c r="AM253" s="58">
        <f t="shared" si="123"/>
        <v>0</v>
      </c>
      <c r="AN253" s="74"/>
      <c r="AO253" s="84"/>
      <c r="AP253" s="74"/>
      <c r="AQ253" s="85"/>
      <c r="AR253" s="74"/>
      <c r="AS253" s="74"/>
      <c r="AT253" s="74"/>
      <c r="AU253" s="55" t="str">
        <f t="shared" si="133"/>
        <v/>
      </c>
      <c r="AV253" s="55" t="str">
        <f t="shared" ca="1" si="134"/>
        <v/>
      </c>
      <c r="AW253" s="55" t="str">
        <f t="shared" si="124"/>
        <v/>
      </c>
      <c r="AX253" s="55" t="str">
        <f t="shared" ca="1" si="125"/>
        <v/>
      </c>
      <c r="AY253" s="86"/>
      <c r="AZ253" s="86"/>
      <c r="BA253" s="55" t="str">
        <f t="shared" si="135"/>
        <v/>
      </c>
      <c r="BB253" s="86"/>
      <c r="BC253" s="86"/>
      <c r="BD253" s="55" t="str">
        <f t="shared" si="136"/>
        <v/>
      </c>
      <c r="BE253" s="74"/>
      <c r="BS253" s="118"/>
      <c r="BT253" s="118"/>
      <c r="BU253" s="118"/>
      <c r="BV253" s="118"/>
      <c r="BW253" s="118"/>
      <c r="BX253" s="118"/>
      <c r="BZ253" s="118"/>
      <c r="CB253" s="118"/>
      <c r="CC253" s="118"/>
      <c r="CD253" s="118"/>
    </row>
    <row r="254" spans="1:82" ht="17.399999999999999" customHeight="1">
      <c r="A254" s="72">
        <f t="shared" si="138"/>
        <v>35.6</v>
      </c>
      <c r="B254" s="111">
        <f t="shared" si="118"/>
        <v>244</v>
      </c>
      <c r="C254" s="60"/>
      <c r="D254" s="74"/>
      <c r="E254" s="75"/>
      <c r="F254" s="74"/>
      <c r="G254" s="54">
        <f t="shared" si="149"/>
        <v>0</v>
      </c>
      <c r="H254" s="55">
        <f t="shared" si="149"/>
        <v>0</v>
      </c>
      <c r="I254" s="76">
        <f t="shared" si="127"/>
        <v>0</v>
      </c>
      <c r="J254" s="58">
        <f t="shared" si="128"/>
        <v>0</v>
      </c>
      <c r="K254" s="58">
        <f t="shared" si="129"/>
        <v>0</v>
      </c>
      <c r="L254" s="58">
        <f t="shared" si="130"/>
        <v>0</v>
      </c>
      <c r="M254" s="58" t="str">
        <f t="shared" ca="1" si="131"/>
        <v/>
      </c>
      <c r="N254" s="58" t="str">
        <f t="shared" ca="1" si="131"/>
        <v/>
      </c>
      <c r="O254" s="58">
        <f t="shared" si="132"/>
        <v>5.0000000000000001E-4</v>
      </c>
      <c r="P254" s="77"/>
      <c r="Q254" s="60"/>
      <c r="R254" s="77"/>
      <c r="S254" s="78">
        <f t="shared" si="119"/>
        <v>0</v>
      </c>
      <c r="T254" s="55">
        <f t="shared" si="119"/>
        <v>0</v>
      </c>
      <c r="U254" s="79">
        <f t="shared" si="139"/>
        <v>0</v>
      </c>
      <c r="V254" s="63">
        <f t="shared" si="140"/>
        <v>0</v>
      </c>
      <c r="W254" s="64">
        <f t="shared" si="148"/>
        <v>131</v>
      </c>
      <c r="X254" s="80">
        <f t="shared" si="148"/>
        <v>169</v>
      </c>
      <c r="Y254" s="75"/>
      <c r="Z254" s="60"/>
      <c r="AA254" s="75"/>
      <c r="AB254" s="75"/>
      <c r="AC254" s="75"/>
      <c r="AD254" s="75"/>
      <c r="AE254" s="81">
        <f t="shared" si="120"/>
        <v>0</v>
      </c>
      <c r="AF254" s="55">
        <f t="shared" si="121"/>
        <v>0</v>
      </c>
      <c r="AG254" s="76">
        <f t="shared" si="115"/>
        <v>0</v>
      </c>
      <c r="AH254" s="82">
        <f t="shared" si="116"/>
        <v>0</v>
      </c>
      <c r="AI254" s="83">
        <f t="shared" si="116"/>
        <v>0</v>
      </c>
      <c r="AJ254" s="83">
        <f t="shared" si="116"/>
        <v>0</v>
      </c>
      <c r="AK254" s="58">
        <f t="shared" si="114"/>
        <v>0</v>
      </c>
      <c r="AL254" s="82">
        <f t="shared" si="122"/>
        <v>0</v>
      </c>
      <c r="AM254" s="58">
        <f t="shared" si="123"/>
        <v>0</v>
      </c>
      <c r="AN254" s="74"/>
      <c r="AO254" s="84"/>
      <c r="AP254" s="74"/>
      <c r="AQ254" s="85"/>
      <c r="AR254" s="74"/>
      <c r="AS254" s="74"/>
      <c r="AT254" s="74"/>
      <c r="AU254" s="55" t="str">
        <f t="shared" si="133"/>
        <v/>
      </c>
      <c r="AV254" s="55" t="str">
        <f t="shared" ca="1" si="134"/>
        <v/>
      </c>
      <c r="AW254" s="55" t="str">
        <f t="shared" si="124"/>
        <v/>
      </c>
      <c r="AX254" s="55" t="str">
        <f t="shared" ca="1" si="125"/>
        <v/>
      </c>
      <c r="AY254" s="86"/>
      <c r="AZ254" s="86"/>
      <c r="BA254" s="55" t="str">
        <f t="shared" si="135"/>
        <v/>
      </c>
      <c r="BB254" s="86"/>
      <c r="BC254" s="86"/>
      <c r="BD254" s="55" t="str">
        <f t="shared" si="136"/>
        <v/>
      </c>
      <c r="BE254" s="74"/>
      <c r="BS254" s="118"/>
      <c r="BT254" s="118"/>
      <c r="BU254" s="118"/>
      <c r="BV254" s="118"/>
      <c r="BW254" s="118"/>
      <c r="BX254" s="118"/>
      <c r="BZ254" s="118"/>
      <c r="CB254" s="118"/>
      <c r="CC254" s="118"/>
      <c r="CD254" s="118"/>
    </row>
    <row r="255" spans="1:82" ht="17.399999999999999" customHeight="1" thickBot="1">
      <c r="A255" s="87">
        <f t="shared" si="138"/>
        <v>35.700000000000003</v>
      </c>
      <c r="B255" s="113">
        <f t="shared" si="118"/>
        <v>245</v>
      </c>
      <c r="C255" s="89"/>
      <c r="D255" s="90"/>
      <c r="E255" s="91"/>
      <c r="F255" s="90"/>
      <c r="G255" s="92">
        <f t="shared" si="149"/>
        <v>0</v>
      </c>
      <c r="H255" s="93">
        <f t="shared" si="149"/>
        <v>0</v>
      </c>
      <c r="I255" s="94">
        <f t="shared" si="127"/>
        <v>0</v>
      </c>
      <c r="J255" s="95">
        <f t="shared" si="128"/>
        <v>0</v>
      </c>
      <c r="K255" s="95">
        <f t="shared" si="129"/>
        <v>0</v>
      </c>
      <c r="L255" s="95">
        <f t="shared" si="130"/>
        <v>0</v>
      </c>
      <c r="M255" s="95" t="str">
        <f t="shared" ca="1" si="131"/>
        <v/>
      </c>
      <c r="N255" s="95" t="str">
        <f t="shared" ca="1" si="131"/>
        <v/>
      </c>
      <c r="O255" s="95">
        <f t="shared" si="132"/>
        <v>5.0000000000000001E-4</v>
      </c>
      <c r="P255" s="96"/>
      <c r="Q255" s="89"/>
      <c r="R255" s="96"/>
      <c r="S255" s="78">
        <f t="shared" si="119"/>
        <v>0</v>
      </c>
      <c r="T255" s="55">
        <f t="shared" si="119"/>
        <v>0</v>
      </c>
      <c r="U255" s="97">
        <f t="shared" si="139"/>
        <v>0</v>
      </c>
      <c r="V255" s="98">
        <f t="shared" si="140"/>
        <v>0</v>
      </c>
      <c r="W255" s="99">
        <f t="shared" si="148"/>
        <v>131</v>
      </c>
      <c r="X255" s="100">
        <f t="shared" si="148"/>
        <v>169</v>
      </c>
      <c r="Y255" s="91"/>
      <c r="Z255" s="60"/>
      <c r="AA255" s="75"/>
      <c r="AB255" s="75"/>
      <c r="AC255" s="75"/>
      <c r="AD255" s="75"/>
      <c r="AE255" s="101">
        <f t="shared" si="120"/>
        <v>0</v>
      </c>
      <c r="AF255" s="93">
        <f t="shared" si="121"/>
        <v>0</v>
      </c>
      <c r="AG255" s="94">
        <f t="shared" si="115"/>
        <v>0</v>
      </c>
      <c r="AH255" s="102">
        <f t="shared" si="116"/>
        <v>0</v>
      </c>
      <c r="AI255" s="103">
        <f t="shared" si="116"/>
        <v>0</v>
      </c>
      <c r="AJ255" s="103">
        <f t="shared" si="116"/>
        <v>0</v>
      </c>
      <c r="AK255" s="95">
        <f t="shared" si="114"/>
        <v>0</v>
      </c>
      <c r="AL255" s="102">
        <f t="shared" si="122"/>
        <v>0</v>
      </c>
      <c r="AM255" s="95">
        <f t="shared" si="123"/>
        <v>0</v>
      </c>
      <c r="AN255" s="90"/>
      <c r="AO255" s="104"/>
      <c r="AP255" s="90"/>
      <c r="AQ255" s="105"/>
      <c r="AR255" s="90"/>
      <c r="AS255" s="90"/>
      <c r="AT255" s="90"/>
      <c r="AU255" s="93" t="str">
        <f t="shared" si="133"/>
        <v/>
      </c>
      <c r="AV255" s="93" t="str">
        <f t="shared" ca="1" si="134"/>
        <v/>
      </c>
      <c r="AW255" s="93" t="str">
        <f t="shared" si="124"/>
        <v/>
      </c>
      <c r="AX255" s="93" t="str">
        <f t="shared" ca="1" si="125"/>
        <v/>
      </c>
      <c r="AY255" s="106"/>
      <c r="AZ255" s="106"/>
      <c r="BA255" s="93" t="str">
        <f t="shared" si="135"/>
        <v/>
      </c>
      <c r="BB255" s="106"/>
      <c r="BC255" s="106"/>
      <c r="BD255" s="93" t="str">
        <f t="shared" si="136"/>
        <v/>
      </c>
      <c r="BE255" s="90"/>
      <c r="BS255" s="118"/>
      <c r="BT255" s="118"/>
      <c r="BU255" s="118"/>
      <c r="BV255" s="118"/>
      <c r="BW255" s="118"/>
      <c r="BX255" s="118"/>
      <c r="BZ255" s="118"/>
      <c r="CB255" s="118"/>
      <c r="CC255" s="118"/>
      <c r="CD255" s="118"/>
    </row>
    <row r="256" spans="1:82" ht="17.399999999999999" customHeight="1" thickTop="1">
      <c r="A256" s="107">
        <f>A249+1</f>
        <v>36.1</v>
      </c>
      <c r="B256" s="108">
        <f>B255+1</f>
        <v>246</v>
      </c>
      <c r="C256" s="51"/>
      <c r="D256" s="52"/>
      <c r="E256" s="53"/>
      <c r="F256" s="52"/>
      <c r="G256" s="54">
        <f t="shared" si="149"/>
        <v>0</v>
      </c>
      <c r="H256" s="55">
        <f t="shared" si="149"/>
        <v>0</v>
      </c>
      <c r="I256" s="56">
        <f t="shared" si="127"/>
        <v>0</v>
      </c>
      <c r="J256" s="57">
        <f t="shared" si="128"/>
        <v>0</v>
      </c>
      <c r="K256" s="57">
        <f t="shared" si="129"/>
        <v>0</v>
      </c>
      <c r="L256" s="57">
        <f t="shared" si="130"/>
        <v>0</v>
      </c>
      <c r="M256" s="58" t="str">
        <f t="shared" ca="1" si="131"/>
        <v/>
      </c>
      <c r="N256" s="58" t="str">
        <f t="shared" ca="1" si="131"/>
        <v/>
      </c>
      <c r="O256" s="58">
        <f t="shared" si="132"/>
        <v>5.0000000000000001E-4</v>
      </c>
      <c r="P256" s="77"/>
      <c r="Q256" s="60"/>
      <c r="R256" s="77"/>
      <c r="S256" s="109">
        <f t="shared" si="119"/>
        <v>0</v>
      </c>
      <c r="T256" s="61">
        <f t="shared" si="119"/>
        <v>0</v>
      </c>
      <c r="U256" s="62">
        <f t="shared" si="139"/>
        <v>0</v>
      </c>
      <c r="V256" s="63">
        <f t="shared" si="140"/>
        <v>0</v>
      </c>
      <c r="W256" s="64">
        <v>132</v>
      </c>
      <c r="X256" s="80">
        <f t="shared" si="148"/>
        <v>169</v>
      </c>
      <c r="Y256" s="53"/>
      <c r="Z256" s="51"/>
      <c r="AA256" s="53"/>
      <c r="AB256" s="53"/>
      <c r="AC256" s="53"/>
      <c r="AD256" s="53"/>
      <c r="AE256" s="66">
        <f t="shared" si="120"/>
        <v>0</v>
      </c>
      <c r="AF256" s="61">
        <f t="shared" si="121"/>
        <v>0</v>
      </c>
      <c r="AG256" s="56">
        <f t="shared" si="115"/>
        <v>0</v>
      </c>
      <c r="AH256" s="67">
        <f t="shared" si="116"/>
        <v>0</v>
      </c>
      <c r="AI256" s="68">
        <f t="shared" si="116"/>
        <v>0</v>
      </c>
      <c r="AJ256" s="68">
        <f t="shared" si="116"/>
        <v>0</v>
      </c>
      <c r="AK256" s="57">
        <f t="shared" si="114"/>
        <v>0</v>
      </c>
      <c r="AL256" s="67">
        <f t="shared" si="122"/>
        <v>0</v>
      </c>
      <c r="AM256" s="57">
        <f t="shared" si="123"/>
        <v>0</v>
      </c>
      <c r="AN256" s="52"/>
      <c r="AO256" s="69"/>
      <c r="AP256" s="52"/>
      <c r="AQ256" s="70"/>
      <c r="AR256" s="52"/>
      <c r="AS256" s="52"/>
      <c r="AT256" s="52"/>
      <c r="AU256" s="61" t="str">
        <f t="shared" si="133"/>
        <v/>
      </c>
      <c r="AV256" s="61" t="str">
        <f t="shared" ca="1" si="134"/>
        <v/>
      </c>
      <c r="AW256" s="61" t="str">
        <f t="shared" si="124"/>
        <v/>
      </c>
      <c r="AX256" s="61" t="str">
        <f t="shared" ca="1" si="125"/>
        <v/>
      </c>
      <c r="AY256" s="71"/>
      <c r="AZ256" s="71"/>
      <c r="BA256" s="61" t="str">
        <f t="shared" si="135"/>
        <v/>
      </c>
      <c r="BB256" s="71"/>
      <c r="BC256" s="71"/>
      <c r="BD256" s="61" t="str">
        <f t="shared" si="136"/>
        <v/>
      </c>
      <c r="BE256" s="52"/>
      <c r="BS256" s="118"/>
      <c r="BT256" s="118"/>
      <c r="BU256" s="118"/>
      <c r="BV256" s="118"/>
      <c r="BW256" s="118"/>
      <c r="BX256" s="118"/>
      <c r="BZ256" s="118"/>
      <c r="CB256" s="118"/>
      <c r="CC256" s="118"/>
      <c r="CD256" s="118"/>
    </row>
    <row r="257" spans="1:82" ht="17.399999999999999" customHeight="1">
      <c r="A257" s="87">
        <f t="shared" si="138"/>
        <v>36.200000000000003</v>
      </c>
      <c r="B257" s="111">
        <f t="shared" si="118"/>
        <v>247</v>
      </c>
      <c r="C257" s="60"/>
      <c r="D257" s="74"/>
      <c r="E257" s="75"/>
      <c r="F257" s="74"/>
      <c r="G257" s="54">
        <f t="shared" si="149"/>
        <v>0</v>
      </c>
      <c r="H257" s="55">
        <f t="shared" si="149"/>
        <v>0</v>
      </c>
      <c r="I257" s="76">
        <f t="shared" si="127"/>
        <v>0</v>
      </c>
      <c r="J257" s="58">
        <f t="shared" si="128"/>
        <v>0</v>
      </c>
      <c r="K257" s="58">
        <f t="shared" si="129"/>
        <v>0</v>
      </c>
      <c r="L257" s="58">
        <f t="shared" si="130"/>
        <v>0</v>
      </c>
      <c r="M257" s="58" t="str">
        <f t="shared" ca="1" si="131"/>
        <v/>
      </c>
      <c r="N257" s="58" t="str">
        <f t="shared" ca="1" si="131"/>
        <v/>
      </c>
      <c r="O257" s="58">
        <f t="shared" si="132"/>
        <v>5.0000000000000001E-4</v>
      </c>
      <c r="P257" s="77"/>
      <c r="Q257" s="60"/>
      <c r="R257" s="77"/>
      <c r="S257" s="78">
        <f t="shared" si="119"/>
        <v>0</v>
      </c>
      <c r="T257" s="55">
        <f t="shared" si="119"/>
        <v>0</v>
      </c>
      <c r="U257" s="79">
        <f t="shared" si="139"/>
        <v>0</v>
      </c>
      <c r="V257" s="63">
        <f t="shared" si="140"/>
        <v>0</v>
      </c>
      <c r="W257" s="64">
        <f t="shared" ref="W257:W262" si="150">W256</f>
        <v>132</v>
      </c>
      <c r="X257" s="80">
        <f t="shared" si="148"/>
        <v>169</v>
      </c>
      <c r="Y257" s="75"/>
      <c r="Z257" s="60"/>
      <c r="AA257" s="75"/>
      <c r="AB257" s="75"/>
      <c r="AC257" s="75"/>
      <c r="AD257" s="75"/>
      <c r="AE257" s="81">
        <f t="shared" si="120"/>
        <v>0</v>
      </c>
      <c r="AF257" s="55">
        <f t="shared" si="121"/>
        <v>0</v>
      </c>
      <c r="AG257" s="76">
        <f t="shared" si="115"/>
        <v>0</v>
      </c>
      <c r="AH257" s="82">
        <f t="shared" si="116"/>
        <v>0</v>
      </c>
      <c r="AI257" s="83">
        <f t="shared" si="116"/>
        <v>0</v>
      </c>
      <c r="AJ257" s="83">
        <f t="shared" si="116"/>
        <v>0</v>
      </c>
      <c r="AK257" s="58">
        <f t="shared" si="114"/>
        <v>0</v>
      </c>
      <c r="AL257" s="82">
        <f t="shared" si="122"/>
        <v>0</v>
      </c>
      <c r="AM257" s="58">
        <f t="shared" si="123"/>
        <v>0</v>
      </c>
      <c r="AN257" s="74"/>
      <c r="AO257" s="84"/>
      <c r="AP257" s="74"/>
      <c r="AQ257" s="85"/>
      <c r="AR257" s="74"/>
      <c r="AS257" s="74"/>
      <c r="AT257" s="74"/>
      <c r="AU257" s="55" t="str">
        <f t="shared" si="133"/>
        <v/>
      </c>
      <c r="AV257" s="55" t="str">
        <f t="shared" ca="1" si="134"/>
        <v/>
      </c>
      <c r="AW257" s="55" t="str">
        <f t="shared" si="124"/>
        <v/>
      </c>
      <c r="AX257" s="55" t="str">
        <f t="shared" ca="1" si="125"/>
        <v/>
      </c>
      <c r="AY257" s="86"/>
      <c r="AZ257" s="86"/>
      <c r="BA257" s="55" t="str">
        <f t="shared" si="135"/>
        <v/>
      </c>
      <c r="BB257" s="86"/>
      <c r="BC257" s="86"/>
      <c r="BD257" s="55" t="str">
        <f t="shared" si="136"/>
        <v/>
      </c>
      <c r="BE257" s="74"/>
      <c r="BS257" s="118"/>
      <c r="BT257" s="118"/>
      <c r="BU257" s="118"/>
      <c r="BV257" s="118"/>
      <c r="BW257" s="118"/>
      <c r="BX257" s="118"/>
      <c r="BZ257" s="118"/>
      <c r="CB257" s="118"/>
      <c r="CC257" s="118"/>
      <c r="CD257" s="118"/>
    </row>
    <row r="258" spans="1:82" ht="17.399999999999999" customHeight="1">
      <c r="A258" s="72">
        <f t="shared" si="138"/>
        <v>36.299999999999997</v>
      </c>
      <c r="B258" s="111">
        <f t="shared" si="118"/>
        <v>248</v>
      </c>
      <c r="C258" s="60"/>
      <c r="D258" s="74"/>
      <c r="E258" s="75"/>
      <c r="F258" s="74"/>
      <c r="G258" s="54">
        <f t="shared" si="149"/>
        <v>0</v>
      </c>
      <c r="H258" s="55">
        <f t="shared" si="149"/>
        <v>0</v>
      </c>
      <c r="I258" s="76">
        <f t="shared" si="127"/>
        <v>0</v>
      </c>
      <c r="J258" s="58">
        <f t="shared" si="128"/>
        <v>0</v>
      </c>
      <c r="K258" s="58">
        <f t="shared" si="129"/>
        <v>0</v>
      </c>
      <c r="L258" s="58">
        <f t="shared" si="130"/>
        <v>0</v>
      </c>
      <c r="M258" s="58" t="str">
        <f t="shared" ca="1" si="131"/>
        <v/>
      </c>
      <c r="N258" s="58" t="str">
        <f t="shared" ca="1" si="131"/>
        <v/>
      </c>
      <c r="O258" s="58">
        <f t="shared" si="132"/>
        <v>5.0000000000000001E-4</v>
      </c>
      <c r="P258" s="77"/>
      <c r="Q258" s="60"/>
      <c r="R258" s="77"/>
      <c r="S258" s="78">
        <f t="shared" si="119"/>
        <v>0</v>
      </c>
      <c r="T258" s="55">
        <f t="shared" si="119"/>
        <v>0</v>
      </c>
      <c r="U258" s="79">
        <f t="shared" si="139"/>
        <v>0</v>
      </c>
      <c r="V258" s="63">
        <f t="shared" si="140"/>
        <v>0</v>
      </c>
      <c r="W258" s="64">
        <f t="shared" si="150"/>
        <v>132</v>
      </c>
      <c r="X258" s="80">
        <f t="shared" si="148"/>
        <v>169</v>
      </c>
      <c r="Y258" s="75"/>
      <c r="Z258" s="60"/>
      <c r="AA258" s="75"/>
      <c r="AB258" s="75"/>
      <c r="AC258" s="75"/>
      <c r="AD258" s="75"/>
      <c r="AE258" s="81">
        <f t="shared" si="120"/>
        <v>0</v>
      </c>
      <c r="AF258" s="55">
        <f t="shared" si="121"/>
        <v>0</v>
      </c>
      <c r="AG258" s="76">
        <f t="shared" si="115"/>
        <v>0</v>
      </c>
      <c r="AH258" s="82">
        <f t="shared" si="116"/>
        <v>0</v>
      </c>
      <c r="AI258" s="83">
        <f t="shared" si="116"/>
        <v>0</v>
      </c>
      <c r="AJ258" s="83">
        <f t="shared" si="116"/>
        <v>0</v>
      </c>
      <c r="AK258" s="58">
        <f t="shared" si="114"/>
        <v>0</v>
      </c>
      <c r="AL258" s="82">
        <f t="shared" si="122"/>
        <v>0</v>
      </c>
      <c r="AM258" s="58">
        <f t="shared" si="123"/>
        <v>0</v>
      </c>
      <c r="AN258" s="74"/>
      <c r="AO258" s="84"/>
      <c r="AP258" s="74"/>
      <c r="AQ258" s="85"/>
      <c r="AR258" s="74"/>
      <c r="AS258" s="74"/>
      <c r="AT258" s="74"/>
      <c r="AU258" s="55" t="str">
        <f t="shared" si="133"/>
        <v/>
      </c>
      <c r="AV258" s="55" t="str">
        <f t="shared" ca="1" si="134"/>
        <v/>
      </c>
      <c r="AW258" s="55" t="str">
        <f t="shared" si="124"/>
        <v/>
      </c>
      <c r="AX258" s="55" t="str">
        <f t="shared" ca="1" si="125"/>
        <v/>
      </c>
      <c r="AY258" s="86"/>
      <c r="AZ258" s="86"/>
      <c r="BA258" s="55" t="str">
        <f t="shared" si="135"/>
        <v/>
      </c>
      <c r="BB258" s="86"/>
      <c r="BC258" s="86"/>
      <c r="BD258" s="55" t="str">
        <f t="shared" si="136"/>
        <v/>
      </c>
      <c r="BE258" s="74"/>
      <c r="BS258" s="118"/>
      <c r="BT258" s="118"/>
      <c r="BU258" s="118"/>
      <c r="BV258" s="118"/>
      <c r="BW258" s="118"/>
      <c r="BX258" s="118"/>
      <c r="BZ258" s="118"/>
      <c r="CB258" s="118"/>
      <c r="CC258" s="118"/>
      <c r="CD258" s="118"/>
    </row>
    <row r="259" spans="1:82" ht="17.399999999999999" customHeight="1">
      <c r="A259" s="87">
        <f t="shared" si="138"/>
        <v>36.4</v>
      </c>
      <c r="B259" s="111">
        <f t="shared" si="118"/>
        <v>249</v>
      </c>
      <c r="C259" s="60"/>
      <c r="D259" s="74"/>
      <c r="E259" s="75"/>
      <c r="F259" s="74"/>
      <c r="G259" s="54">
        <f t="shared" si="149"/>
        <v>0</v>
      </c>
      <c r="H259" s="55">
        <f t="shared" si="149"/>
        <v>0</v>
      </c>
      <c r="I259" s="76">
        <f t="shared" si="127"/>
        <v>0</v>
      </c>
      <c r="J259" s="58">
        <f t="shared" si="128"/>
        <v>0</v>
      </c>
      <c r="K259" s="58">
        <f t="shared" si="129"/>
        <v>0</v>
      </c>
      <c r="L259" s="58">
        <f t="shared" si="130"/>
        <v>0</v>
      </c>
      <c r="M259" s="58" t="str">
        <f t="shared" ca="1" si="131"/>
        <v/>
      </c>
      <c r="N259" s="58" t="str">
        <f t="shared" ca="1" si="131"/>
        <v/>
      </c>
      <c r="O259" s="58">
        <f t="shared" si="132"/>
        <v>5.0000000000000001E-4</v>
      </c>
      <c r="P259" s="77"/>
      <c r="Q259" s="60"/>
      <c r="R259" s="77"/>
      <c r="S259" s="78">
        <f t="shared" si="119"/>
        <v>0</v>
      </c>
      <c r="T259" s="55">
        <f t="shared" si="119"/>
        <v>0</v>
      </c>
      <c r="U259" s="79">
        <f t="shared" si="139"/>
        <v>0</v>
      </c>
      <c r="V259" s="63">
        <f t="shared" si="140"/>
        <v>0</v>
      </c>
      <c r="W259" s="64">
        <f t="shared" si="150"/>
        <v>132</v>
      </c>
      <c r="X259" s="80">
        <f t="shared" si="148"/>
        <v>169</v>
      </c>
      <c r="Y259" s="75"/>
      <c r="Z259" s="60"/>
      <c r="AA259" s="75"/>
      <c r="AB259" s="75"/>
      <c r="AC259" s="75"/>
      <c r="AD259" s="75"/>
      <c r="AE259" s="81">
        <f t="shared" si="120"/>
        <v>0</v>
      </c>
      <c r="AF259" s="55">
        <f t="shared" si="121"/>
        <v>0</v>
      </c>
      <c r="AG259" s="76">
        <f t="shared" si="115"/>
        <v>0</v>
      </c>
      <c r="AH259" s="82">
        <f t="shared" si="116"/>
        <v>0</v>
      </c>
      <c r="AI259" s="83">
        <f t="shared" si="116"/>
        <v>0</v>
      </c>
      <c r="AJ259" s="83">
        <f t="shared" si="116"/>
        <v>0</v>
      </c>
      <c r="AK259" s="58">
        <f t="shared" si="114"/>
        <v>0</v>
      </c>
      <c r="AL259" s="82">
        <f t="shared" si="122"/>
        <v>0</v>
      </c>
      <c r="AM259" s="58">
        <f t="shared" si="123"/>
        <v>0</v>
      </c>
      <c r="AN259" s="74"/>
      <c r="AO259" s="84"/>
      <c r="AP259" s="74"/>
      <c r="AQ259" s="85"/>
      <c r="AR259" s="74"/>
      <c r="AS259" s="74"/>
      <c r="AT259" s="74"/>
      <c r="AU259" s="55" t="str">
        <f t="shared" si="133"/>
        <v/>
      </c>
      <c r="AV259" s="55" t="str">
        <f t="shared" ca="1" si="134"/>
        <v/>
      </c>
      <c r="AW259" s="55" t="str">
        <f t="shared" si="124"/>
        <v/>
      </c>
      <c r="AX259" s="55" t="str">
        <f t="shared" ca="1" si="125"/>
        <v/>
      </c>
      <c r="AY259" s="86"/>
      <c r="AZ259" s="86"/>
      <c r="BA259" s="55" t="str">
        <f t="shared" si="135"/>
        <v/>
      </c>
      <c r="BB259" s="86"/>
      <c r="BC259" s="86"/>
      <c r="BD259" s="55" t="str">
        <f t="shared" si="136"/>
        <v/>
      </c>
      <c r="BE259" s="74"/>
      <c r="BS259" s="118"/>
      <c r="BT259" s="118"/>
      <c r="BU259" s="118"/>
      <c r="BV259" s="118"/>
      <c r="BW259" s="118"/>
      <c r="BX259" s="118"/>
      <c r="BZ259" s="118"/>
      <c r="CB259" s="118"/>
      <c r="CC259" s="118"/>
      <c r="CD259" s="118"/>
    </row>
    <row r="260" spans="1:82" ht="17.399999999999999" customHeight="1">
      <c r="A260" s="72">
        <f t="shared" si="138"/>
        <v>36.5</v>
      </c>
      <c r="B260" s="111">
        <f t="shared" si="118"/>
        <v>250</v>
      </c>
      <c r="C260" s="60"/>
      <c r="D260" s="74"/>
      <c r="E260" s="75"/>
      <c r="F260" s="74"/>
      <c r="G260" s="54">
        <f t="shared" si="149"/>
        <v>0</v>
      </c>
      <c r="H260" s="55">
        <f t="shared" si="149"/>
        <v>0</v>
      </c>
      <c r="I260" s="76">
        <f t="shared" si="127"/>
        <v>0</v>
      </c>
      <c r="J260" s="58">
        <f t="shared" si="128"/>
        <v>0</v>
      </c>
      <c r="K260" s="58">
        <f t="shared" si="129"/>
        <v>0</v>
      </c>
      <c r="L260" s="58">
        <f t="shared" si="130"/>
        <v>0</v>
      </c>
      <c r="M260" s="58" t="str">
        <f t="shared" ca="1" si="131"/>
        <v/>
      </c>
      <c r="N260" s="58" t="str">
        <f t="shared" ca="1" si="131"/>
        <v/>
      </c>
      <c r="O260" s="58">
        <f t="shared" si="132"/>
        <v>5.0000000000000001E-4</v>
      </c>
      <c r="P260" s="77"/>
      <c r="Q260" s="60"/>
      <c r="R260" s="77"/>
      <c r="S260" s="78">
        <f t="shared" si="119"/>
        <v>0</v>
      </c>
      <c r="T260" s="55">
        <f t="shared" si="119"/>
        <v>0</v>
      </c>
      <c r="U260" s="79">
        <f t="shared" si="139"/>
        <v>0</v>
      </c>
      <c r="V260" s="63">
        <f t="shared" si="140"/>
        <v>0</v>
      </c>
      <c r="W260" s="64">
        <f t="shared" si="150"/>
        <v>132</v>
      </c>
      <c r="X260" s="80">
        <f t="shared" si="148"/>
        <v>169</v>
      </c>
      <c r="Y260" s="75"/>
      <c r="Z260" s="60"/>
      <c r="AA260" s="75"/>
      <c r="AB260" s="75"/>
      <c r="AC260" s="75"/>
      <c r="AD260" s="75"/>
      <c r="AE260" s="81">
        <f t="shared" si="120"/>
        <v>0</v>
      </c>
      <c r="AF260" s="55">
        <f t="shared" si="121"/>
        <v>0</v>
      </c>
      <c r="AG260" s="76">
        <f t="shared" si="115"/>
        <v>0</v>
      </c>
      <c r="AH260" s="82">
        <f t="shared" si="116"/>
        <v>0</v>
      </c>
      <c r="AI260" s="83">
        <f t="shared" si="116"/>
        <v>0</v>
      </c>
      <c r="AJ260" s="83">
        <f t="shared" si="116"/>
        <v>0</v>
      </c>
      <c r="AK260" s="58">
        <f t="shared" si="116"/>
        <v>0</v>
      </c>
      <c r="AL260" s="82">
        <f t="shared" si="122"/>
        <v>0</v>
      </c>
      <c r="AM260" s="58">
        <f t="shared" si="123"/>
        <v>0</v>
      </c>
      <c r="AN260" s="74"/>
      <c r="AO260" s="84"/>
      <c r="AP260" s="74"/>
      <c r="AQ260" s="85"/>
      <c r="AR260" s="74"/>
      <c r="AS260" s="74"/>
      <c r="AT260" s="74"/>
      <c r="AU260" s="55" t="str">
        <f t="shared" si="133"/>
        <v/>
      </c>
      <c r="AV260" s="55" t="str">
        <f t="shared" ca="1" si="134"/>
        <v/>
      </c>
      <c r="AW260" s="55" t="str">
        <f t="shared" si="124"/>
        <v/>
      </c>
      <c r="AX260" s="55" t="str">
        <f t="shared" ca="1" si="125"/>
        <v/>
      </c>
      <c r="AY260" s="86"/>
      <c r="AZ260" s="86"/>
      <c r="BA260" s="55" t="str">
        <f t="shared" si="135"/>
        <v/>
      </c>
      <c r="BB260" s="86"/>
      <c r="BC260" s="86"/>
      <c r="BD260" s="55" t="str">
        <f t="shared" si="136"/>
        <v/>
      </c>
      <c r="BE260" s="74"/>
      <c r="BS260" s="118"/>
      <c r="BT260" s="118"/>
      <c r="BU260" s="118"/>
      <c r="BV260" s="118"/>
      <c r="BW260" s="118"/>
      <c r="BX260" s="118"/>
      <c r="BZ260" s="118"/>
      <c r="CB260" s="118"/>
      <c r="CC260" s="118"/>
      <c r="CD260" s="118"/>
    </row>
    <row r="261" spans="1:82" ht="17.399999999999999" customHeight="1">
      <c r="A261" s="87">
        <f t="shared" si="138"/>
        <v>36.6</v>
      </c>
      <c r="B261" s="111">
        <f t="shared" si="118"/>
        <v>251</v>
      </c>
      <c r="C261" s="60"/>
      <c r="D261" s="74"/>
      <c r="E261" s="75"/>
      <c r="F261" s="74"/>
      <c r="G261" s="54">
        <f t="shared" si="149"/>
        <v>0</v>
      </c>
      <c r="H261" s="55">
        <f t="shared" si="149"/>
        <v>0</v>
      </c>
      <c r="I261" s="76">
        <f t="shared" si="127"/>
        <v>0</v>
      </c>
      <c r="J261" s="58">
        <f t="shared" si="128"/>
        <v>0</v>
      </c>
      <c r="K261" s="58">
        <f t="shared" si="129"/>
        <v>0</v>
      </c>
      <c r="L261" s="58">
        <f t="shared" si="130"/>
        <v>0</v>
      </c>
      <c r="M261" s="58" t="str">
        <f t="shared" ca="1" si="131"/>
        <v/>
      </c>
      <c r="N261" s="58" t="str">
        <f t="shared" ca="1" si="131"/>
        <v/>
      </c>
      <c r="O261" s="58">
        <f t="shared" si="132"/>
        <v>5.0000000000000001E-4</v>
      </c>
      <c r="P261" s="77"/>
      <c r="Q261" s="60"/>
      <c r="R261" s="77"/>
      <c r="S261" s="78">
        <f t="shared" si="119"/>
        <v>0</v>
      </c>
      <c r="T261" s="55">
        <f t="shared" si="119"/>
        <v>0</v>
      </c>
      <c r="U261" s="79">
        <f t="shared" si="139"/>
        <v>0</v>
      </c>
      <c r="V261" s="63">
        <f t="shared" si="140"/>
        <v>0</v>
      </c>
      <c r="W261" s="64">
        <f t="shared" si="150"/>
        <v>132</v>
      </c>
      <c r="X261" s="80">
        <f t="shared" si="148"/>
        <v>169</v>
      </c>
      <c r="Y261" s="75"/>
      <c r="Z261" s="60"/>
      <c r="AA261" s="75"/>
      <c r="AB261" s="75"/>
      <c r="AC261" s="75"/>
      <c r="AD261" s="75"/>
      <c r="AE261" s="81">
        <f t="shared" si="120"/>
        <v>0</v>
      </c>
      <c r="AF261" s="55">
        <f t="shared" si="121"/>
        <v>0</v>
      </c>
      <c r="AG261" s="76">
        <f t="shared" ref="AG261:AG324" si="151">IFERROR(Y261/H260,0)</f>
        <v>0</v>
      </c>
      <c r="AH261" s="82">
        <f t="shared" ref="AH261:AK324" si="152">IFERROR(Z261/$Y261,0)</f>
        <v>0</v>
      </c>
      <c r="AI261" s="83">
        <f t="shared" si="152"/>
        <v>0</v>
      </c>
      <c r="AJ261" s="83">
        <f t="shared" si="152"/>
        <v>0</v>
      </c>
      <c r="AK261" s="58">
        <f t="shared" si="152"/>
        <v>0</v>
      </c>
      <c r="AL261" s="82">
        <f t="shared" si="122"/>
        <v>0</v>
      </c>
      <c r="AM261" s="58">
        <f t="shared" si="123"/>
        <v>0</v>
      </c>
      <c r="AN261" s="74"/>
      <c r="AO261" s="84"/>
      <c r="AP261" s="74"/>
      <c r="AQ261" s="85"/>
      <c r="AR261" s="74"/>
      <c r="AS261" s="74"/>
      <c r="AT261" s="74"/>
      <c r="AU261" s="55" t="str">
        <f t="shared" si="133"/>
        <v/>
      </c>
      <c r="AV261" s="55" t="str">
        <f t="shared" ca="1" si="134"/>
        <v/>
      </c>
      <c r="AW261" s="55" t="str">
        <f t="shared" si="124"/>
        <v/>
      </c>
      <c r="AX261" s="55" t="str">
        <f t="shared" ca="1" si="125"/>
        <v/>
      </c>
      <c r="AY261" s="86"/>
      <c r="AZ261" s="86"/>
      <c r="BA261" s="55" t="str">
        <f t="shared" si="135"/>
        <v/>
      </c>
      <c r="BB261" s="86"/>
      <c r="BC261" s="86"/>
      <c r="BD261" s="55" t="str">
        <f t="shared" si="136"/>
        <v/>
      </c>
      <c r="BE261" s="74"/>
      <c r="BS261" s="118"/>
      <c r="BT261" s="118"/>
      <c r="BU261" s="118"/>
      <c r="BV261" s="118"/>
      <c r="BW261" s="118"/>
      <c r="BX261" s="118"/>
      <c r="BZ261" s="118"/>
      <c r="CB261" s="118"/>
      <c r="CC261" s="118"/>
      <c r="CD261" s="118"/>
    </row>
    <row r="262" spans="1:82" ht="17.399999999999999" customHeight="1" thickBot="1">
      <c r="A262" s="72">
        <f t="shared" si="138"/>
        <v>36.700000000000003</v>
      </c>
      <c r="B262" s="113">
        <f t="shared" si="118"/>
        <v>252</v>
      </c>
      <c r="C262" s="89"/>
      <c r="D262" s="90"/>
      <c r="E262" s="91"/>
      <c r="F262" s="90"/>
      <c r="G262" s="92">
        <f t="shared" si="149"/>
        <v>0</v>
      </c>
      <c r="H262" s="93">
        <f t="shared" si="149"/>
        <v>0</v>
      </c>
      <c r="I262" s="94">
        <f t="shared" si="127"/>
        <v>0</v>
      </c>
      <c r="J262" s="95">
        <f t="shared" si="128"/>
        <v>0</v>
      </c>
      <c r="K262" s="95">
        <f t="shared" si="129"/>
        <v>0</v>
      </c>
      <c r="L262" s="95">
        <f t="shared" si="130"/>
        <v>0</v>
      </c>
      <c r="M262" s="95" t="str">
        <f t="shared" ca="1" si="131"/>
        <v/>
      </c>
      <c r="N262" s="95" t="str">
        <f t="shared" ca="1" si="131"/>
        <v/>
      </c>
      <c r="O262" s="95">
        <f t="shared" si="132"/>
        <v>5.0000000000000001E-4</v>
      </c>
      <c r="P262" s="96"/>
      <c r="Q262" s="89"/>
      <c r="R262" s="96"/>
      <c r="S262" s="78">
        <f t="shared" si="119"/>
        <v>0</v>
      </c>
      <c r="T262" s="55">
        <f t="shared" si="119"/>
        <v>0</v>
      </c>
      <c r="U262" s="97">
        <f t="shared" si="139"/>
        <v>0</v>
      </c>
      <c r="V262" s="98">
        <f t="shared" si="140"/>
        <v>0</v>
      </c>
      <c r="W262" s="99">
        <f t="shared" si="150"/>
        <v>132</v>
      </c>
      <c r="X262" s="100">
        <f t="shared" si="148"/>
        <v>169</v>
      </c>
      <c r="Y262" s="91"/>
      <c r="Z262" s="60"/>
      <c r="AA262" s="75"/>
      <c r="AB262" s="75"/>
      <c r="AC262" s="75"/>
      <c r="AD262" s="75"/>
      <c r="AE262" s="101">
        <f t="shared" si="120"/>
        <v>0</v>
      </c>
      <c r="AF262" s="93">
        <f t="shared" si="121"/>
        <v>0</v>
      </c>
      <c r="AG262" s="94">
        <f t="shared" si="151"/>
        <v>0</v>
      </c>
      <c r="AH262" s="102">
        <f t="shared" si="152"/>
        <v>0</v>
      </c>
      <c r="AI262" s="103">
        <f t="shared" si="152"/>
        <v>0</v>
      </c>
      <c r="AJ262" s="103">
        <f t="shared" si="152"/>
        <v>0</v>
      </c>
      <c r="AK262" s="95">
        <f t="shared" si="152"/>
        <v>0</v>
      </c>
      <c r="AL262" s="102">
        <f t="shared" si="122"/>
        <v>0</v>
      </c>
      <c r="AM262" s="95">
        <f t="shared" si="123"/>
        <v>0</v>
      </c>
      <c r="AN262" s="90"/>
      <c r="AO262" s="104"/>
      <c r="AP262" s="90"/>
      <c r="AQ262" s="105"/>
      <c r="AR262" s="90"/>
      <c r="AS262" s="90"/>
      <c r="AT262" s="90"/>
      <c r="AU262" s="93" t="str">
        <f t="shared" si="133"/>
        <v/>
      </c>
      <c r="AV262" s="93" t="str">
        <f t="shared" ca="1" si="134"/>
        <v/>
      </c>
      <c r="AW262" s="93" t="str">
        <f t="shared" si="124"/>
        <v/>
      </c>
      <c r="AX262" s="93" t="str">
        <f t="shared" ca="1" si="125"/>
        <v/>
      </c>
      <c r="AY262" s="106"/>
      <c r="AZ262" s="106"/>
      <c r="BA262" s="93" t="str">
        <f t="shared" si="135"/>
        <v/>
      </c>
      <c r="BB262" s="106"/>
      <c r="BC262" s="106"/>
      <c r="BD262" s="93" t="str">
        <f t="shared" si="136"/>
        <v/>
      </c>
      <c r="BE262" s="90"/>
      <c r="BS262" s="118"/>
      <c r="BT262" s="118"/>
      <c r="BU262" s="118"/>
      <c r="BV262" s="118"/>
      <c r="BW262" s="118"/>
      <c r="BX262" s="118"/>
      <c r="BZ262" s="118"/>
      <c r="CB262" s="118"/>
      <c r="CC262" s="118"/>
      <c r="CD262" s="118"/>
    </row>
    <row r="263" spans="1:82" ht="17.399999999999999" customHeight="1" thickTop="1">
      <c r="A263" s="49">
        <f>A256+1</f>
        <v>37.1</v>
      </c>
      <c r="B263" s="108">
        <f>B262+1</f>
        <v>253</v>
      </c>
      <c r="C263" s="51"/>
      <c r="D263" s="52"/>
      <c r="E263" s="53"/>
      <c r="F263" s="52"/>
      <c r="G263" s="54">
        <f t="shared" si="149"/>
        <v>0</v>
      </c>
      <c r="H263" s="55">
        <f t="shared" si="149"/>
        <v>0</v>
      </c>
      <c r="I263" s="56">
        <f t="shared" si="127"/>
        <v>0</v>
      </c>
      <c r="J263" s="57">
        <f t="shared" si="128"/>
        <v>0</v>
      </c>
      <c r="K263" s="57">
        <f t="shared" si="129"/>
        <v>0</v>
      </c>
      <c r="L263" s="57">
        <f t="shared" si="130"/>
        <v>0</v>
      </c>
      <c r="M263" s="58" t="str">
        <f t="shared" ca="1" si="131"/>
        <v/>
      </c>
      <c r="N263" s="58" t="str">
        <f t="shared" ca="1" si="131"/>
        <v/>
      </c>
      <c r="O263" s="58">
        <f t="shared" si="132"/>
        <v>5.0000000000000001E-4</v>
      </c>
      <c r="P263" s="77"/>
      <c r="Q263" s="60"/>
      <c r="R263" s="77"/>
      <c r="S263" s="109">
        <f t="shared" si="119"/>
        <v>0</v>
      </c>
      <c r="T263" s="61">
        <f t="shared" si="119"/>
        <v>0</v>
      </c>
      <c r="U263" s="62">
        <f t="shared" si="139"/>
        <v>0</v>
      </c>
      <c r="V263" s="63">
        <f t="shared" si="140"/>
        <v>0</v>
      </c>
      <c r="W263" s="64">
        <v>133</v>
      </c>
      <c r="X263" s="80">
        <v>168</v>
      </c>
      <c r="Y263" s="53"/>
      <c r="Z263" s="51"/>
      <c r="AA263" s="53"/>
      <c r="AB263" s="53"/>
      <c r="AC263" s="53"/>
      <c r="AD263" s="53"/>
      <c r="AE263" s="66">
        <f t="shared" si="120"/>
        <v>0</v>
      </c>
      <c r="AF263" s="61">
        <f t="shared" si="121"/>
        <v>0</v>
      </c>
      <c r="AG263" s="56">
        <f t="shared" si="151"/>
        <v>0</v>
      </c>
      <c r="AH263" s="67">
        <f t="shared" si="152"/>
        <v>0</v>
      </c>
      <c r="AI263" s="68">
        <f t="shared" si="152"/>
        <v>0</v>
      </c>
      <c r="AJ263" s="68">
        <f t="shared" si="152"/>
        <v>0</v>
      </c>
      <c r="AK263" s="57">
        <f t="shared" si="152"/>
        <v>0</v>
      </c>
      <c r="AL263" s="67">
        <f t="shared" si="122"/>
        <v>0</v>
      </c>
      <c r="AM263" s="57">
        <f t="shared" si="123"/>
        <v>0</v>
      </c>
      <c r="AN263" s="52"/>
      <c r="AO263" s="69"/>
      <c r="AP263" s="52"/>
      <c r="AQ263" s="70"/>
      <c r="AR263" s="52"/>
      <c r="AS263" s="52"/>
      <c r="AT263" s="52"/>
      <c r="AU263" s="61" t="str">
        <f t="shared" si="133"/>
        <v/>
      </c>
      <c r="AV263" s="61" t="str">
        <f t="shared" ca="1" si="134"/>
        <v/>
      </c>
      <c r="AW263" s="61" t="str">
        <f t="shared" si="124"/>
        <v/>
      </c>
      <c r="AX263" s="61" t="str">
        <f t="shared" ca="1" si="125"/>
        <v/>
      </c>
      <c r="AY263" s="71"/>
      <c r="AZ263" s="71"/>
      <c r="BA263" s="61" t="str">
        <f t="shared" si="135"/>
        <v/>
      </c>
      <c r="BB263" s="71"/>
      <c r="BC263" s="71"/>
      <c r="BD263" s="61" t="str">
        <f t="shared" si="136"/>
        <v/>
      </c>
      <c r="BE263" s="52"/>
      <c r="BS263" s="118"/>
      <c r="BT263" s="118"/>
      <c r="BU263" s="118"/>
      <c r="BV263" s="118"/>
      <c r="BW263" s="118"/>
      <c r="BX263" s="118"/>
      <c r="BZ263" s="118"/>
      <c r="CB263" s="118"/>
      <c r="CC263" s="118"/>
      <c r="CD263" s="118"/>
    </row>
    <row r="264" spans="1:82" ht="17.399999999999999" customHeight="1">
      <c r="A264" s="72">
        <f t="shared" si="138"/>
        <v>37.200000000000003</v>
      </c>
      <c r="B264" s="111">
        <f t="shared" si="118"/>
        <v>254</v>
      </c>
      <c r="C264" s="60"/>
      <c r="D264" s="74"/>
      <c r="E264" s="75"/>
      <c r="F264" s="74"/>
      <c r="G264" s="54">
        <f t="shared" si="149"/>
        <v>0</v>
      </c>
      <c r="H264" s="55">
        <f t="shared" si="149"/>
        <v>0</v>
      </c>
      <c r="I264" s="76">
        <f t="shared" si="127"/>
        <v>0</v>
      </c>
      <c r="J264" s="58">
        <f t="shared" si="128"/>
        <v>0</v>
      </c>
      <c r="K264" s="58">
        <f t="shared" si="129"/>
        <v>0</v>
      </c>
      <c r="L264" s="58">
        <f t="shared" si="130"/>
        <v>0</v>
      </c>
      <c r="M264" s="58" t="str">
        <f t="shared" ca="1" si="131"/>
        <v/>
      </c>
      <c r="N264" s="58" t="str">
        <f t="shared" ca="1" si="131"/>
        <v/>
      </c>
      <c r="O264" s="58">
        <f t="shared" si="132"/>
        <v>5.0000000000000001E-4</v>
      </c>
      <c r="P264" s="77"/>
      <c r="Q264" s="60"/>
      <c r="R264" s="77"/>
      <c r="S264" s="78">
        <f t="shared" si="119"/>
        <v>0</v>
      </c>
      <c r="T264" s="55">
        <f t="shared" si="119"/>
        <v>0</v>
      </c>
      <c r="U264" s="79">
        <f t="shared" si="139"/>
        <v>0</v>
      </c>
      <c r="V264" s="63">
        <f t="shared" si="140"/>
        <v>0</v>
      </c>
      <c r="W264" s="64">
        <f t="shared" ref="W264:X276" si="153">W263</f>
        <v>133</v>
      </c>
      <c r="X264" s="80">
        <f t="shared" si="153"/>
        <v>168</v>
      </c>
      <c r="Y264" s="75"/>
      <c r="Z264" s="60"/>
      <c r="AA264" s="75"/>
      <c r="AB264" s="75"/>
      <c r="AC264" s="75"/>
      <c r="AD264" s="75"/>
      <c r="AE264" s="81">
        <f t="shared" si="120"/>
        <v>0</v>
      </c>
      <c r="AF264" s="55">
        <f t="shared" si="121"/>
        <v>0</v>
      </c>
      <c r="AG264" s="76">
        <f t="shared" si="151"/>
        <v>0</v>
      </c>
      <c r="AH264" s="82">
        <f t="shared" si="152"/>
        <v>0</v>
      </c>
      <c r="AI264" s="83">
        <f t="shared" si="152"/>
        <v>0</v>
      </c>
      <c r="AJ264" s="83">
        <f t="shared" si="152"/>
        <v>0</v>
      </c>
      <c r="AK264" s="58">
        <f t="shared" si="152"/>
        <v>0</v>
      </c>
      <c r="AL264" s="82">
        <f t="shared" si="122"/>
        <v>0</v>
      </c>
      <c r="AM264" s="58">
        <f t="shared" si="123"/>
        <v>0</v>
      </c>
      <c r="AN264" s="74"/>
      <c r="AO264" s="84"/>
      <c r="AP264" s="74"/>
      <c r="AQ264" s="85"/>
      <c r="AR264" s="74"/>
      <c r="AS264" s="74"/>
      <c r="AT264" s="74"/>
      <c r="AU264" s="55" t="str">
        <f t="shared" si="133"/>
        <v/>
      </c>
      <c r="AV264" s="55" t="str">
        <f t="shared" ca="1" si="134"/>
        <v/>
      </c>
      <c r="AW264" s="55" t="str">
        <f t="shared" si="124"/>
        <v/>
      </c>
      <c r="AX264" s="55" t="str">
        <f t="shared" ca="1" si="125"/>
        <v/>
      </c>
      <c r="AY264" s="86"/>
      <c r="AZ264" s="86"/>
      <c r="BA264" s="55" t="str">
        <f t="shared" si="135"/>
        <v/>
      </c>
      <c r="BB264" s="86"/>
      <c r="BC264" s="86"/>
      <c r="BD264" s="55" t="str">
        <f t="shared" si="136"/>
        <v/>
      </c>
      <c r="BE264" s="74"/>
      <c r="BS264" s="118"/>
      <c r="BT264" s="118"/>
      <c r="BU264" s="118"/>
      <c r="BV264" s="118"/>
      <c r="BW264" s="118"/>
      <c r="BX264" s="118"/>
      <c r="BZ264" s="118"/>
      <c r="CB264" s="118"/>
      <c r="CC264" s="118"/>
      <c r="CD264" s="118"/>
    </row>
    <row r="265" spans="1:82" ht="17.399999999999999" customHeight="1">
      <c r="A265" s="87">
        <f t="shared" si="138"/>
        <v>37.299999999999997</v>
      </c>
      <c r="B265" s="111">
        <f t="shared" si="118"/>
        <v>255</v>
      </c>
      <c r="C265" s="60"/>
      <c r="D265" s="74"/>
      <c r="E265" s="75"/>
      <c r="F265" s="74"/>
      <c r="G265" s="54">
        <f t="shared" si="149"/>
        <v>0</v>
      </c>
      <c r="H265" s="55">
        <f t="shared" si="149"/>
        <v>0</v>
      </c>
      <c r="I265" s="76">
        <f t="shared" si="127"/>
        <v>0</v>
      </c>
      <c r="J265" s="58">
        <f t="shared" si="128"/>
        <v>0</v>
      </c>
      <c r="K265" s="58">
        <f t="shared" si="129"/>
        <v>0</v>
      </c>
      <c r="L265" s="58">
        <f t="shared" si="130"/>
        <v>0</v>
      </c>
      <c r="M265" s="58" t="str">
        <f t="shared" ca="1" si="131"/>
        <v/>
      </c>
      <c r="N265" s="58" t="str">
        <f t="shared" ca="1" si="131"/>
        <v/>
      </c>
      <c r="O265" s="58">
        <f t="shared" si="132"/>
        <v>5.0000000000000001E-4</v>
      </c>
      <c r="P265" s="77"/>
      <c r="Q265" s="60"/>
      <c r="R265" s="77"/>
      <c r="S265" s="78">
        <f t="shared" si="119"/>
        <v>0</v>
      </c>
      <c r="T265" s="55">
        <f t="shared" si="119"/>
        <v>0</v>
      </c>
      <c r="U265" s="79">
        <f t="shared" si="139"/>
        <v>0</v>
      </c>
      <c r="V265" s="63">
        <f t="shared" si="140"/>
        <v>0</v>
      </c>
      <c r="W265" s="64">
        <f t="shared" si="153"/>
        <v>133</v>
      </c>
      <c r="X265" s="80">
        <f t="shared" si="153"/>
        <v>168</v>
      </c>
      <c r="Y265" s="75"/>
      <c r="Z265" s="60"/>
      <c r="AA265" s="75"/>
      <c r="AB265" s="75"/>
      <c r="AC265" s="75"/>
      <c r="AD265" s="75"/>
      <c r="AE265" s="81">
        <f t="shared" si="120"/>
        <v>0</v>
      </c>
      <c r="AF265" s="55">
        <f t="shared" si="121"/>
        <v>0</v>
      </c>
      <c r="AG265" s="76">
        <f t="shared" si="151"/>
        <v>0</v>
      </c>
      <c r="AH265" s="82">
        <f t="shared" si="152"/>
        <v>0</v>
      </c>
      <c r="AI265" s="83">
        <f t="shared" si="152"/>
        <v>0</v>
      </c>
      <c r="AJ265" s="83">
        <f t="shared" si="152"/>
        <v>0</v>
      </c>
      <c r="AK265" s="58">
        <f t="shared" si="152"/>
        <v>0</v>
      </c>
      <c r="AL265" s="82">
        <f t="shared" si="122"/>
        <v>0</v>
      </c>
      <c r="AM265" s="58">
        <f t="shared" si="123"/>
        <v>0</v>
      </c>
      <c r="AN265" s="74"/>
      <c r="AO265" s="84"/>
      <c r="AP265" s="74"/>
      <c r="AQ265" s="85"/>
      <c r="AR265" s="74"/>
      <c r="AS265" s="74"/>
      <c r="AT265" s="74"/>
      <c r="AU265" s="55" t="str">
        <f t="shared" si="133"/>
        <v/>
      </c>
      <c r="AV265" s="55" t="str">
        <f t="shared" ca="1" si="134"/>
        <v/>
      </c>
      <c r="AW265" s="55" t="str">
        <f t="shared" si="124"/>
        <v/>
      </c>
      <c r="AX265" s="55" t="str">
        <f t="shared" ca="1" si="125"/>
        <v/>
      </c>
      <c r="AY265" s="86"/>
      <c r="AZ265" s="86"/>
      <c r="BA265" s="55" t="str">
        <f t="shared" si="135"/>
        <v/>
      </c>
      <c r="BB265" s="86"/>
      <c r="BC265" s="86"/>
      <c r="BD265" s="55" t="str">
        <f t="shared" si="136"/>
        <v/>
      </c>
      <c r="BE265" s="74"/>
      <c r="BS265" s="118"/>
      <c r="BT265" s="118"/>
      <c r="BU265" s="118"/>
      <c r="BV265" s="118"/>
      <c r="BW265" s="118"/>
      <c r="BX265" s="118"/>
      <c r="BZ265" s="118"/>
      <c r="CB265" s="118"/>
      <c r="CC265" s="118"/>
      <c r="CD265" s="118"/>
    </row>
    <row r="266" spans="1:82" ht="17.399999999999999" customHeight="1">
      <c r="A266" s="72">
        <f t="shared" si="138"/>
        <v>37.4</v>
      </c>
      <c r="B266" s="111">
        <f t="shared" si="118"/>
        <v>256</v>
      </c>
      <c r="C266" s="60"/>
      <c r="D266" s="74"/>
      <c r="E266" s="75"/>
      <c r="F266" s="74"/>
      <c r="G266" s="54">
        <f t="shared" si="149"/>
        <v>0</v>
      </c>
      <c r="H266" s="55">
        <f t="shared" si="149"/>
        <v>0</v>
      </c>
      <c r="I266" s="76">
        <f t="shared" si="127"/>
        <v>0</v>
      </c>
      <c r="J266" s="58">
        <f t="shared" si="128"/>
        <v>0</v>
      </c>
      <c r="K266" s="58">
        <f t="shared" si="129"/>
        <v>0</v>
      </c>
      <c r="L266" s="58">
        <f t="shared" si="130"/>
        <v>0</v>
      </c>
      <c r="M266" s="58" t="str">
        <f t="shared" ca="1" si="131"/>
        <v/>
      </c>
      <c r="N266" s="58" t="str">
        <f t="shared" ca="1" si="131"/>
        <v/>
      </c>
      <c r="O266" s="58">
        <f t="shared" si="132"/>
        <v>5.0000000000000001E-4</v>
      </c>
      <c r="P266" s="77"/>
      <c r="Q266" s="60"/>
      <c r="R266" s="77"/>
      <c r="S266" s="78">
        <f t="shared" si="119"/>
        <v>0</v>
      </c>
      <c r="T266" s="55">
        <f t="shared" si="119"/>
        <v>0</v>
      </c>
      <c r="U266" s="79">
        <f t="shared" si="139"/>
        <v>0</v>
      </c>
      <c r="V266" s="63">
        <f t="shared" si="140"/>
        <v>0</v>
      </c>
      <c r="W266" s="64">
        <f t="shared" si="153"/>
        <v>133</v>
      </c>
      <c r="X266" s="80">
        <f t="shared" si="153"/>
        <v>168</v>
      </c>
      <c r="Y266" s="75"/>
      <c r="Z266" s="60"/>
      <c r="AA266" s="75"/>
      <c r="AB266" s="75"/>
      <c r="AC266" s="75"/>
      <c r="AD266" s="75"/>
      <c r="AE266" s="81">
        <f t="shared" si="120"/>
        <v>0</v>
      </c>
      <c r="AF266" s="55">
        <f t="shared" si="121"/>
        <v>0</v>
      </c>
      <c r="AG266" s="76">
        <f t="shared" si="151"/>
        <v>0</v>
      </c>
      <c r="AH266" s="82">
        <f t="shared" si="152"/>
        <v>0</v>
      </c>
      <c r="AI266" s="83">
        <f t="shared" si="152"/>
        <v>0</v>
      </c>
      <c r="AJ266" s="83">
        <f t="shared" si="152"/>
        <v>0</v>
      </c>
      <c r="AK266" s="58">
        <f t="shared" si="152"/>
        <v>0</v>
      </c>
      <c r="AL266" s="82">
        <f t="shared" si="122"/>
        <v>0</v>
      </c>
      <c r="AM266" s="58">
        <f t="shared" si="123"/>
        <v>0</v>
      </c>
      <c r="AN266" s="74"/>
      <c r="AO266" s="84"/>
      <c r="AP266" s="74"/>
      <c r="AQ266" s="85"/>
      <c r="AR266" s="74"/>
      <c r="AS266" s="74"/>
      <c r="AT266" s="74"/>
      <c r="AU266" s="55" t="str">
        <f t="shared" si="133"/>
        <v/>
      </c>
      <c r="AV266" s="55" t="str">
        <f t="shared" ca="1" si="134"/>
        <v/>
      </c>
      <c r="AW266" s="55" t="str">
        <f t="shared" si="124"/>
        <v/>
      </c>
      <c r="AX266" s="55" t="str">
        <f t="shared" ca="1" si="125"/>
        <v/>
      </c>
      <c r="AY266" s="86"/>
      <c r="AZ266" s="86"/>
      <c r="BA266" s="55" t="str">
        <f t="shared" si="135"/>
        <v/>
      </c>
      <c r="BB266" s="86"/>
      <c r="BC266" s="86"/>
      <c r="BD266" s="55" t="str">
        <f t="shared" si="136"/>
        <v/>
      </c>
      <c r="BE266" s="74"/>
      <c r="BS266" s="118"/>
      <c r="BT266" s="118"/>
      <c r="BU266" s="118"/>
      <c r="BV266" s="118"/>
      <c r="BW266" s="118"/>
      <c r="BX266" s="118"/>
      <c r="BZ266" s="118"/>
      <c r="CB266" s="118"/>
      <c r="CC266" s="118"/>
      <c r="CD266" s="118"/>
    </row>
    <row r="267" spans="1:82" ht="17.399999999999999" customHeight="1">
      <c r="A267" s="87">
        <f t="shared" si="138"/>
        <v>37.5</v>
      </c>
      <c r="B267" s="111">
        <f t="shared" ref="B267:B330" si="154">B266+1</f>
        <v>257</v>
      </c>
      <c r="C267" s="60"/>
      <c r="D267" s="74"/>
      <c r="E267" s="75"/>
      <c r="F267" s="74"/>
      <c r="G267" s="54">
        <f t="shared" si="149"/>
        <v>0</v>
      </c>
      <c r="H267" s="55">
        <f t="shared" si="149"/>
        <v>0</v>
      </c>
      <c r="I267" s="76">
        <f t="shared" si="127"/>
        <v>0</v>
      </c>
      <c r="J267" s="58">
        <f t="shared" si="128"/>
        <v>0</v>
      </c>
      <c r="K267" s="58">
        <f t="shared" si="129"/>
        <v>0</v>
      </c>
      <c r="L267" s="58">
        <f t="shared" si="130"/>
        <v>0</v>
      </c>
      <c r="M267" s="58" t="str">
        <f t="shared" ca="1" si="131"/>
        <v/>
      </c>
      <c r="N267" s="58" t="str">
        <f t="shared" ca="1" si="131"/>
        <v/>
      </c>
      <c r="O267" s="58">
        <f t="shared" si="132"/>
        <v>5.0000000000000001E-4</v>
      </c>
      <c r="P267" s="77"/>
      <c r="Q267" s="60"/>
      <c r="R267" s="77"/>
      <c r="S267" s="78">
        <f t="shared" ref="S267:T330" si="155">IF($P267="FULL FEED",Q267,Q267*2)</f>
        <v>0</v>
      </c>
      <c r="T267" s="55">
        <f t="shared" si="155"/>
        <v>0</v>
      </c>
      <c r="U267" s="79">
        <f t="shared" si="139"/>
        <v>0</v>
      </c>
      <c r="V267" s="63">
        <f t="shared" si="140"/>
        <v>0</v>
      </c>
      <c r="W267" s="64">
        <f t="shared" si="153"/>
        <v>133</v>
      </c>
      <c r="X267" s="80">
        <f t="shared" si="153"/>
        <v>168</v>
      </c>
      <c r="Y267" s="75"/>
      <c r="Z267" s="60"/>
      <c r="AA267" s="75"/>
      <c r="AB267" s="75"/>
      <c r="AC267" s="75"/>
      <c r="AD267" s="75"/>
      <c r="AE267" s="81">
        <f t="shared" ref="AE267:AE330" si="156">SUM(Z267,AA267,AB267,AC267)</f>
        <v>0</v>
      </c>
      <c r="AF267" s="55">
        <f t="shared" ref="AF267:AF330" si="157">Y267-AE267</f>
        <v>0</v>
      </c>
      <c r="AG267" s="76">
        <f t="shared" si="151"/>
        <v>0</v>
      </c>
      <c r="AH267" s="82">
        <f t="shared" si="152"/>
        <v>0</v>
      </c>
      <c r="AI267" s="83">
        <f t="shared" si="152"/>
        <v>0</v>
      </c>
      <c r="AJ267" s="83">
        <f t="shared" si="152"/>
        <v>0</v>
      </c>
      <c r="AK267" s="58">
        <f t="shared" si="152"/>
        <v>0</v>
      </c>
      <c r="AL267" s="82">
        <f t="shared" ref="AL267:AL330" si="158">IFERROR(AE267/Y267,0)</f>
        <v>0</v>
      </c>
      <c r="AM267" s="58">
        <f t="shared" ref="AM267:AM330" si="159">IFERROR(AF267/Y267,0)</f>
        <v>0</v>
      </c>
      <c r="AN267" s="74"/>
      <c r="AO267" s="84"/>
      <c r="AP267" s="74"/>
      <c r="AQ267" s="85"/>
      <c r="AR267" s="74"/>
      <c r="AS267" s="74"/>
      <c r="AT267" s="74"/>
      <c r="AU267" s="55" t="str">
        <f t="shared" si="133"/>
        <v/>
      </c>
      <c r="AV267" s="55" t="str">
        <f t="shared" ca="1" si="134"/>
        <v/>
      </c>
      <c r="AW267" s="55" t="str">
        <f t="shared" ref="AW267:AW330" si="160">IFERROR(IF(OR(AR267="",AT267="",K267="",L267=""),"", ((AT267-AR267)/100*1000)/(U267+V267)),0)</f>
        <v/>
      </c>
      <c r="AX267" s="55" t="str">
        <f t="shared" ref="AX267:AX330" ca="1" si="161">IF(OR(AR267="",AR268="",M267="",N267=""),"", ((AR268-AR267)/100*1000)/((G267+H267))*1000)</f>
        <v/>
      </c>
      <c r="AY267" s="86"/>
      <c r="AZ267" s="86"/>
      <c r="BA267" s="55" t="str">
        <f t="shared" si="135"/>
        <v/>
      </c>
      <c r="BB267" s="86"/>
      <c r="BC267" s="86"/>
      <c r="BD267" s="55" t="str">
        <f t="shared" si="136"/>
        <v/>
      </c>
      <c r="BE267" s="74"/>
      <c r="BS267" s="118"/>
      <c r="BT267" s="118"/>
      <c r="BU267" s="118"/>
      <c r="BV267" s="118"/>
      <c r="BW267" s="118"/>
      <c r="BX267" s="118"/>
      <c r="BZ267" s="118"/>
      <c r="CB267" s="118"/>
      <c r="CC267" s="118"/>
      <c r="CD267" s="118"/>
    </row>
    <row r="268" spans="1:82" ht="17.399999999999999" customHeight="1">
      <c r="A268" s="72">
        <f t="shared" si="138"/>
        <v>37.6</v>
      </c>
      <c r="B268" s="111">
        <f t="shared" si="154"/>
        <v>258</v>
      </c>
      <c r="C268" s="60"/>
      <c r="D268" s="74"/>
      <c r="E268" s="75"/>
      <c r="F268" s="74"/>
      <c r="G268" s="54">
        <f t="shared" ref="G268:H283" si="162">G267-E268-C268</f>
        <v>0</v>
      </c>
      <c r="H268" s="55">
        <f t="shared" si="162"/>
        <v>0</v>
      </c>
      <c r="I268" s="76">
        <f t="shared" ref="I268:I331" si="163">IFERROR(C268/G267,0)</f>
        <v>0</v>
      </c>
      <c r="J268" s="58">
        <f t="shared" ref="J268:J331" si="164">IFERROR(E268/G267,0)</f>
        <v>0</v>
      </c>
      <c r="K268" s="58">
        <f t="shared" ref="K268:K331" si="165">IFERROR(D268/H267,0)</f>
        <v>0</v>
      </c>
      <c r="L268" s="58">
        <f t="shared" ref="L268:L331" si="166">IFERROR(F268/H267,0)</f>
        <v>0</v>
      </c>
      <c r="M268" s="58" t="str">
        <f t="shared" ref="M268:N331" ca="1" si="167">IF(ROW()=11,
   IF($B$4&gt;0,E268/$B$4,""),
   IF($B$4&gt;0,
      (OFFSET(M268,-1,0)*$B$4 + E268)/$B$4,
      "")
)</f>
        <v/>
      </c>
      <c r="N268" s="58" t="str">
        <f t="shared" ca="1" si="167"/>
        <v/>
      </c>
      <c r="O268" s="58">
        <f t="shared" ref="O268:O331" si="168">$O$10</f>
        <v>5.0000000000000001E-4</v>
      </c>
      <c r="P268" s="77"/>
      <c r="Q268" s="60"/>
      <c r="R268" s="77"/>
      <c r="S268" s="78">
        <f t="shared" si="155"/>
        <v>0</v>
      </c>
      <c r="T268" s="55">
        <f t="shared" si="155"/>
        <v>0</v>
      </c>
      <c r="U268" s="79">
        <f t="shared" si="139"/>
        <v>0</v>
      </c>
      <c r="V268" s="63">
        <f t="shared" si="140"/>
        <v>0</v>
      </c>
      <c r="W268" s="64">
        <f t="shared" si="153"/>
        <v>133</v>
      </c>
      <c r="X268" s="80">
        <f t="shared" si="153"/>
        <v>168</v>
      </c>
      <c r="Y268" s="75"/>
      <c r="Z268" s="60"/>
      <c r="AA268" s="75"/>
      <c r="AB268" s="75"/>
      <c r="AC268" s="75"/>
      <c r="AD268" s="75"/>
      <c r="AE268" s="81">
        <f t="shared" si="156"/>
        <v>0</v>
      </c>
      <c r="AF268" s="55">
        <f t="shared" si="157"/>
        <v>0</v>
      </c>
      <c r="AG268" s="76">
        <f t="shared" si="151"/>
        <v>0</v>
      </c>
      <c r="AH268" s="82">
        <f t="shared" si="152"/>
        <v>0</v>
      </c>
      <c r="AI268" s="83">
        <f t="shared" si="152"/>
        <v>0</v>
      </c>
      <c r="AJ268" s="83">
        <f t="shared" si="152"/>
        <v>0</v>
      </c>
      <c r="AK268" s="58">
        <f t="shared" si="152"/>
        <v>0</v>
      </c>
      <c r="AL268" s="82">
        <f t="shared" si="158"/>
        <v>0</v>
      </c>
      <c r="AM268" s="58">
        <f t="shared" si="159"/>
        <v>0</v>
      </c>
      <c r="AN268" s="74"/>
      <c r="AO268" s="84"/>
      <c r="AP268" s="74"/>
      <c r="AQ268" s="85"/>
      <c r="AR268" s="74"/>
      <c r="AS268" s="74"/>
      <c r="AT268" s="74"/>
      <c r="AU268" s="55" t="str">
        <f t="shared" ref="AU268:AU331" si="169">IF(OR(AT268="",AR268=""),"", (AT268-AR268)/100*1000)</f>
        <v/>
      </c>
      <c r="AV268" s="55" t="str">
        <f t="shared" ref="AV268:AV331" ca="1" si="170">IF(OR(AR269="",OFFSET(AR269,-1,0)=""),"", (AR269-OFFSET(AR269,-1,0))/100*1000)</f>
        <v/>
      </c>
      <c r="AW268" s="55" t="str">
        <f t="shared" si="160"/>
        <v/>
      </c>
      <c r="AX268" s="55" t="str">
        <f t="shared" ca="1" si="161"/>
        <v/>
      </c>
      <c r="AY268" s="86"/>
      <c r="AZ268" s="86"/>
      <c r="BA268" s="55" t="str">
        <f t="shared" ref="BA268:BA331" si="171">IF(OR(AY268="",AZ268=""),"",MOD(AZ268-AY268,1)*24)</f>
        <v/>
      </c>
      <c r="BB268" s="86"/>
      <c r="BC268" s="86"/>
      <c r="BD268" s="55" t="str">
        <f t="shared" ref="BD268:BD331" si="172">IF(OR(BB268="",BC268=""),"",MOD(BC268-BB268,1)*24)</f>
        <v/>
      </c>
      <c r="BE268" s="74"/>
      <c r="BS268" s="118"/>
      <c r="BT268" s="118"/>
      <c r="BU268" s="118"/>
      <c r="BV268" s="118"/>
      <c r="BW268" s="118"/>
      <c r="BX268" s="118"/>
      <c r="BZ268" s="118"/>
      <c r="CB268" s="118"/>
      <c r="CC268" s="118"/>
      <c r="CD268" s="118"/>
    </row>
    <row r="269" spans="1:82" ht="17.399999999999999" customHeight="1" thickBot="1">
      <c r="A269" s="87">
        <f t="shared" si="138"/>
        <v>37.700000000000003</v>
      </c>
      <c r="B269" s="113">
        <f t="shared" si="154"/>
        <v>259</v>
      </c>
      <c r="C269" s="89"/>
      <c r="D269" s="90"/>
      <c r="E269" s="91"/>
      <c r="F269" s="90"/>
      <c r="G269" s="92">
        <f t="shared" si="162"/>
        <v>0</v>
      </c>
      <c r="H269" s="93">
        <f t="shared" si="162"/>
        <v>0</v>
      </c>
      <c r="I269" s="94">
        <f t="shared" si="163"/>
        <v>0</v>
      </c>
      <c r="J269" s="95">
        <f t="shared" si="164"/>
        <v>0</v>
      </c>
      <c r="K269" s="95">
        <f t="shared" si="165"/>
        <v>0</v>
      </c>
      <c r="L269" s="95">
        <f t="shared" si="166"/>
        <v>0</v>
      </c>
      <c r="M269" s="95" t="str">
        <f t="shared" ca="1" si="167"/>
        <v/>
      </c>
      <c r="N269" s="95" t="str">
        <f t="shared" ca="1" si="167"/>
        <v/>
      </c>
      <c r="O269" s="95">
        <f t="shared" si="168"/>
        <v>5.0000000000000001E-4</v>
      </c>
      <c r="P269" s="96"/>
      <c r="Q269" s="89"/>
      <c r="R269" s="96"/>
      <c r="S269" s="78">
        <f t="shared" si="155"/>
        <v>0</v>
      </c>
      <c r="T269" s="55">
        <f t="shared" si="155"/>
        <v>0</v>
      </c>
      <c r="U269" s="97">
        <f t="shared" si="139"/>
        <v>0</v>
      </c>
      <c r="V269" s="98">
        <f t="shared" si="140"/>
        <v>0</v>
      </c>
      <c r="W269" s="99">
        <f t="shared" si="153"/>
        <v>133</v>
      </c>
      <c r="X269" s="100">
        <f t="shared" si="153"/>
        <v>168</v>
      </c>
      <c r="Y269" s="91"/>
      <c r="Z269" s="60"/>
      <c r="AA269" s="75"/>
      <c r="AB269" s="75"/>
      <c r="AC269" s="75"/>
      <c r="AD269" s="75"/>
      <c r="AE269" s="101">
        <f t="shared" si="156"/>
        <v>0</v>
      </c>
      <c r="AF269" s="93">
        <f t="shared" si="157"/>
        <v>0</v>
      </c>
      <c r="AG269" s="94">
        <f t="shared" si="151"/>
        <v>0</v>
      </c>
      <c r="AH269" s="102">
        <f t="shared" si="152"/>
        <v>0</v>
      </c>
      <c r="AI269" s="103">
        <f t="shared" si="152"/>
        <v>0</v>
      </c>
      <c r="AJ269" s="103">
        <f t="shared" si="152"/>
        <v>0</v>
      </c>
      <c r="AK269" s="95">
        <f t="shared" si="152"/>
        <v>0</v>
      </c>
      <c r="AL269" s="102">
        <f t="shared" si="158"/>
        <v>0</v>
      </c>
      <c r="AM269" s="95">
        <f t="shared" si="159"/>
        <v>0</v>
      </c>
      <c r="AN269" s="90"/>
      <c r="AO269" s="104"/>
      <c r="AP269" s="90"/>
      <c r="AQ269" s="105"/>
      <c r="AR269" s="90"/>
      <c r="AS269" s="90"/>
      <c r="AT269" s="90"/>
      <c r="AU269" s="93" t="str">
        <f t="shared" si="169"/>
        <v/>
      </c>
      <c r="AV269" s="93" t="str">
        <f t="shared" ca="1" si="170"/>
        <v/>
      </c>
      <c r="AW269" s="93" t="str">
        <f t="shared" si="160"/>
        <v/>
      </c>
      <c r="AX269" s="93" t="str">
        <f t="shared" ca="1" si="161"/>
        <v/>
      </c>
      <c r="AY269" s="106"/>
      <c r="AZ269" s="106"/>
      <c r="BA269" s="93" t="str">
        <f t="shared" si="171"/>
        <v/>
      </c>
      <c r="BB269" s="106"/>
      <c r="BC269" s="106"/>
      <c r="BD269" s="93" t="str">
        <f t="shared" si="172"/>
        <v/>
      </c>
      <c r="BE269" s="90"/>
      <c r="BS269" s="118"/>
      <c r="BT269" s="118"/>
      <c r="BU269" s="118"/>
      <c r="BV269" s="118"/>
      <c r="BW269" s="118"/>
      <c r="BX269" s="118"/>
      <c r="BZ269" s="118"/>
      <c r="CB269" s="118"/>
      <c r="CC269" s="118"/>
      <c r="CD269" s="118"/>
    </row>
    <row r="270" spans="1:82" ht="17.399999999999999" customHeight="1" thickTop="1">
      <c r="A270" s="107">
        <f>A263+1</f>
        <v>38.1</v>
      </c>
      <c r="B270" s="108">
        <f>B269+1</f>
        <v>260</v>
      </c>
      <c r="C270" s="51"/>
      <c r="D270" s="52"/>
      <c r="E270" s="53"/>
      <c r="F270" s="52"/>
      <c r="G270" s="54">
        <f t="shared" si="162"/>
        <v>0</v>
      </c>
      <c r="H270" s="55">
        <f t="shared" si="162"/>
        <v>0</v>
      </c>
      <c r="I270" s="56">
        <f t="shared" si="163"/>
        <v>0</v>
      </c>
      <c r="J270" s="57">
        <f t="shared" si="164"/>
        <v>0</v>
      </c>
      <c r="K270" s="57">
        <f t="shared" si="165"/>
        <v>0</v>
      </c>
      <c r="L270" s="57">
        <f t="shared" si="166"/>
        <v>0</v>
      </c>
      <c r="M270" s="58" t="str">
        <f t="shared" ca="1" si="167"/>
        <v/>
      </c>
      <c r="N270" s="58" t="str">
        <f t="shared" ca="1" si="167"/>
        <v/>
      </c>
      <c r="O270" s="58">
        <f t="shared" si="168"/>
        <v>5.0000000000000001E-4</v>
      </c>
      <c r="P270" s="77"/>
      <c r="Q270" s="60"/>
      <c r="R270" s="77"/>
      <c r="S270" s="109">
        <f t="shared" si="155"/>
        <v>0</v>
      </c>
      <c r="T270" s="61">
        <f t="shared" si="155"/>
        <v>0</v>
      </c>
      <c r="U270" s="62">
        <f t="shared" si="139"/>
        <v>0</v>
      </c>
      <c r="V270" s="63">
        <f t="shared" si="140"/>
        <v>0</v>
      </c>
      <c r="W270" s="64">
        <v>134</v>
      </c>
      <c r="X270" s="80">
        <f t="shared" si="153"/>
        <v>168</v>
      </c>
      <c r="Y270" s="53"/>
      <c r="Z270" s="51"/>
      <c r="AA270" s="53"/>
      <c r="AB270" s="53"/>
      <c r="AC270" s="53"/>
      <c r="AD270" s="53"/>
      <c r="AE270" s="66">
        <f t="shared" si="156"/>
        <v>0</v>
      </c>
      <c r="AF270" s="61">
        <f t="shared" si="157"/>
        <v>0</v>
      </c>
      <c r="AG270" s="56">
        <f t="shared" si="151"/>
        <v>0</v>
      </c>
      <c r="AH270" s="67">
        <f t="shared" si="152"/>
        <v>0</v>
      </c>
      <c r="AI270" s="68">
        <f t="shared" si="152"/>
        <v>0</v>
      </c>
      <c r="AJ270" s="68">
        <f t="shared" si="152"/>
        <v>0</v>
      </c>
      <c r="AK270" s="57">
        <f t="shared" si="152"/>
        <v>0</v>
      </c>
      <c r="AL270" s="67">
        <f t="shared" si="158"/>
        <v>0</v>
      </c>
      <c r="AM270" s="57">
        <f t="shared" si="159"/>
        <v>0</v>
      </c>
      <c r="AN270" s="52"/>
      <c r="AO270" s="69"/>
      <c r="AP270" s="52"/>
      <c r="AQ270" s="70"/>
      <c r="AR270" s="52"/>
      <c r="AS270" s="52"/>
      <c r="AT270" s="52"/>
      <c r="AU270" s="61" t="str">
        <f t="shared" si="169"/>
        <v/>
      </c>
      <c r="AV270" s="61" t="str">
        <f t="shared" ca="1" si="170"/>
        <v/>
      </c>
      <c r="AW270" s="61" t="str">
        <f t="shared" si="160"/>
        <v/>
      </c>
      <c r="AX270" s="61" t="str">
        <f t="shared" ca="1" si="161"/>
        <v/>
      </c>
      <c r="AY270" s="71"/>
      <c r="AZ270" s="71"/>
      <c r="BA270" s="61" t="str">
        <f t="shared" si="171"/>
        <v/>
      </c>
      <c r="BB270" s="71"/>
      <c r="BC270" s="71"/>
      <c r="BD270" s="61" t="str">
        <f t="shared" si="172"/>
        <v/>
      </c>
      <c r="BE270" s="52"/>
      <c r="BS270" s="118"/>
      <c r="BT270" s="118"/>
      <c r="BU270" s="118"/>
      <c r="BV270" s="118"/>
      <c r="BW270" s="118"/>
      <c r="BX270" s="118"/>
      <c r="BZ270" s="118"/>
      <c r="CB270" s="118"/>
      <c r="CC270" s="118"/>
      <c r="CD270" s="118"/>
    </row>
    <row r="271" spans="1:82" ht="17.399999999999999" customHeight="1">
      <c r="A271" s="87">
        <f t="shared" si="138"/>
        <v>38.200000000000003</v>
      </c>
      <c r="B271" s="111">
        <f t="shared" si="154"/>
        <v>261</v>
      </c>
      <c r="C271" s="60"/>
      <c r="D271" s="74"/>
      <c r="E271" s="75"/>
      <c r="F271" s="74"/>
      <c r="G271" s="54">
        <f t="shared" si="162"/>
        <v>0</v>
      </c>
      <c r="H271" s="55">
        <f t="shared" si="162"/>
        <v>0</v>
      </c>
      <c r="I271" s="76">
        <f t="shared" si="163"/>
        <v>0</v>
      </c>
      <c r="J271" s="58">
        <f t="shared" si="164"/>
        <v>0</v>
      </c>
      <c r="K271" s="58">
        <f t="shared" si="165"/>
        <v>0</v>
      </c>
      <c r="L271" s="58">
        <f t="shared" si="166"/>
        <v>0</v>
      </c>
      <c r="M271" s="58" t="str">
        <f t="shared" ca="1" si="167"/>
        <v/>
      </c>
      <c r="N271" s="58" t="str">
        <f t="shared" ca="1" si="167"/>
        <v/>
      </c>
      <c r="O271" s="58">
        <f t="shared" si="168"/>
        <v>5.0000000000000001E-4</v>
      </c>
      <c r="P271" s="77"/>
      <c r="Q271" s="60"/>
      <c r="R271" s="77"/>
      <c r="S271" s="78">
        <f t="shared" si="155"/>
        <v>0</v>
      </c>
      <c r="T271" s="55">
        <f t="shared" si="155"/>
        <v>0</v>
      </c>
      <c r="U271" s="79">
        <f t="shared" si="139"/>
        <v>0</v>
      </c>
      <c r="V271" s="63">
        <f t="shared" si="140"/>
        <v>0</v>
      </c>
      <c r="W271" s="64">
        <f t="shared" ref="W271:W276" si="173">W270</f>
        <v>134</v>
      </c>
      <c r="X271" s="80">
        <f t="shared" si="153"/>
        <v>168</v>
      </c>
      <c r="Y271" s="75"/>
      <c r="Z271" s="60"/>
      <c r="AA271" s="75"/>
      <c r="AB271" s="75"/>
      <c r="AC271" s="75"/>
      <c r="AD271" s="75"/>
      <c r="AE271" s="81">
        <f t="shared" si="156"/>
        <v>0</v>
      </c>
      <c r="AF271" s="55">
        <f t="shared" si="157"/>
        <v>0</v>
      </c>
      <c r="AG271" s="76">
        <f t="shared" si="151"/>
        <v>0</v>
      </c>
      <c r="AH271" s="82">
        <f t="shared" si="152"/>
        <v>0</v>
      </c>
      <c r="AI271" s="83">
        <f t="shared" si="152"/>
        <v>0</v>
      </c>
      <c r="AJ271" s="83">
        <f t="shared" si="152"/>
        <v>0</v>
      </c>
      <c r="AK271" s="58">
        <f t="shared" si="152"/>
        <v>0</v>
      </c>
      <c r="AL271" s="82">
        <f t="shared" si="158"/>
        <v>0</v>
      </c>
      <c r="AM271" s="58">
        <f t="shared" si="159"/>
        <v>0</v>
      </c>
      <c r="AN271" s="74"/>
      <c r="AO271" s="84"/>
      <c r="AP271" s="74"/>
      <c r="AQ271" s="85"/>
      <c r="AR271" s="74"/>
      <c r="AS271" s="74"/>
      <c r="AT271" s="74"/>
      <c r="AU271" s="55" t="str">
        <f t="shared" si="169"/>
        <v/>
      </c>
      <c r="AV271" s="55" t="str">
        <f t="shared" ca="1" si="170"/>
        <v/>
      </c>
      <c r="AW271" s="55" t="str">
        <f t="shared" si="160"/>
        <v/>
      </c>
      <c r="AX271" s="55" t="str">
        <f t="shared" ca="1" si="161"/>
        <v/>
      </c>
      <c r="AY271" s="86"/>
      <c r="AZ271" s="86"/>
      <c r="BA271" s="55" t="str">
        <f t="shared" si="171"/>
        <v/>
      </c>
      <c r="BB271" s="86"/>
      <c r="BC271" s="86"/>
      <c r="BD271" s="55" t="str">
        <f t="shared" si="172"/>
        <v/>
      </c>
      <c r="BE271" s="74"/>
      <c r="BS271" s="118"/>
      <c r="BT271" s="118"/>
      <c r="BU271" s="118"/>
      <c r="BV271" s="118"/>
      <c r="BW271" s="118"/>
      <c r="BX271" s="118"/>
      <c r="BZ271" s="118"/>
      <c r="CB271" s="118"/>
      <c r="CC271" s="118"/>
      <c r="CD271" s="118"/>
    </row>
    <row r="272" spans="1:82" ht="17.399999999999999" customHeight="1">
      <c r="A272" s="72">
        <f t="shared" si="138"/>
        <v>38.299999999999997</v>
      </c>
      <c r="B272" s="111">
        <f t="shared" si="154"/>
        <v>262</v>
      </c>
      <c r="C272" s="60"/>
      <c r="D272" s="74"/>
      <c r="E272" s="75"/>
      <c r="F272" s="74"/>
      <c r="G272" s="54">
        <f t="shared" si="162"/>
        <v>0</v>
      </c>
      <c r="H272" s="55">
        <f t="shared" si="162"/>
        <v>0</v>
      </c>
      <c r="I272" s="76">
        <f t="shared" si="163"/>
        <v>0</v>
      </c>
      <c r="J272" s="58">
        <f t="shared" si="164"/>
        <v>0</v>
      </c>
      <c r="K272" s="58">
        <f t="shared" si="165"/>
        <v>0</v>
      </c>
      <c r="L272" s="58">
        <f t="shared" si="166"/>
        <v>0</v>
      </c>
      <c r="M272" s="58" t="str">
        <f t="shared" ca="1" si="167"/>
        <v/>
      </c>
      <c r="N272" s="58" t="str">
        <f t="shared" ca="1" si="167"/>
        <v/>
      </c>
      <c r="O272" s="58">
        <f t="shared" si="168"/>
        <v>5.0000000000000001E-4</v>
      </c>
      <c r="P272" s="77"/>
      <c r="Q272" s="60"/>
      <c r="R272" s="77"/>
      <c r="S272" s="78">
        <f t="shared" si="155"/>
        <v>0</v>
      </c>
      <c r="T272" s="55">
        <f t="shared" si="155"/>
        <v>0</v>
      </c>
      <c r="U272" s="79">
        <f t="shared" si="139"/>
        <v>0</v>
      </c>
      <c r="V272" s="63">
        <f t="shared" si="140"/>
        <v>0</v>
      </c>
      <c r="W272" s="64">
        <f t="shared" si="173"/>
        <v>134</v>
      </c>
      <c r="X272" s="80">
        <f t="shared" si="153"/>
        <v>168</v>
      </c>
      <c r="Y272" s="75"/>
      <c r="Z272" s="60"/>
      <c r="AA272" s="75"/>
      <c r="AB272" s="75"/>
      <c r="AC272" s="75"/>
      <c r="AD272" s="75"/>
      <c r="AE272" s="81">
        <f t="shared" si="156"/>
        <v>0</v>
      </c>
      <c r="AF272" s="55">
        <f t="shared" si="157"/>
        <v>0</v>
      </c>
      <c r="AG272" s="76">
        <f t="shared" si="151"/>
        <v>0</v>
      </c>
      <c r="AH272" s="82">
        <f t="shared" si="152"/>
        <v>0</v>
      </c>
      <c r="AI272" s="83">
        <f t="shared" si="152"/>
        <v>0</v>
      </c>
      <c r="AJ272" s="83">
        <f t="shared" si="152"/>
        <v>0</v>
      </c>
      <c r="AK272" s="58">
        <f t="shared" si="152"/>
        <v>0</v>
      </c>
      <c r="AL272" s="82">
        <f t="shared" si="158"/>
        <v>0</v>
      </c>
      <c r="AM272" s="58">
        <f t="shared" si="159"/>
        <v>0</v>
      </c>
      <c r="AN272" s="74"/>
      <c r="AO272" s="84"/>
      <c r="AP272" s="74"/>
      <c r="AQ272" s="85"/>
      <c r="AR272" s="74"/>
      <c r="AS272" s="74"/>
      <c r="AT272" s="74"/>
      <c r="AU272" s="55" t="str">
        <f t="shared" si="169"/>
        <v/>
      </c>
      <c r="AV272" s="55" t="str">
        <f t="shared" ca="1" si="170"/>
        <v/>
      </c>
      <c r="AW272" s="55" t="str">
        <f t="shared" si="160"/>
        <v/>
      </c>
      <c r="AX272" s="55" t="str">
        <f t="shared" ca="1" si="161"/>
        <v/>
      </c>
      <c r="AY272" s="86"/>
      <c r="AZ272" s="86"/>
      <c r="BA272" s="55" t="str">
        <f t="shared" si="171"/>
        <v/>
      </c>
      <c r="BB272" s="86"/>
      <c r="BC272" s="86"/>
      <c r="BD272" s="55" t="str">
        <f t="shared" si="172"/>
        <v/>
      </c>
      <c r="BE272" s="74"/>
      <c r="BS272" s="118"/>
      <c r="BT272" s="118"/>
      <c r="BU272" s="118"/>
      <c r="BV272" s="118"/>
      <c r="BW272" s="118"/>
      <c r="BX272" s="118"/>
      <c r="BZ272" s="118"/>
      <c r="CB272" s="118"/>
      <c r="CC272" s="118"/>
      <c r="CD272" s="118"/>
    </row>
    <row r="273" spans="1:82" ht="17.399999999999999" customHeight="1">
      <c r="A273" s="87">
        <f t="shared" si="138"/>
        <v>38.4</v>
      </c>
      <c r="B273" s="111">
        <f t="shared" si="154"/>
        <v>263</v>
      </c>
      <c r="C273" s="60"/>
      <c r="D273" s="74"/>
      <c r="E273" s="75"/>
      <c r="F273" s="74"/>
      <c r="G273" s="54">
        <f t="shared" si="162"/>
        <v>0</v>
      </c>
      <c r="H273" s="55">
        <f t="shared" si="162"/>
        <v>0</v>
      </c>
      <c r="I273" s="76">
        <f t="shared" si="163"/>
        <v>0</v>
      </c>
      <c r="J273" s="58">
        <f t="shared" si="164"/>
        <v>0</v>
      </c>
      <c r="K273" s="58">
        <f t="shared" si="165"/>
        <v>0</v>
      </c>
      <c r="L273" s="58">
        <f t="shared" si="166"/>
        <v>0</v>
      </c>
      <c r="M273" s="58" t="str">
        <f t="shared" ca="1" si="167"/>
        <v/>
      </c>
      <c r="N273" s="58" t="str">
        <f t="shared" ca="1" si="167"/>
        <v/>
      </c>
      <c r="O273" s="58">
        <f t="shared" si="168"/>
        <v>5.0000000000000001E-4</v>
      </c>
      <c r="P273" s="77"/>
      <c r="Q273" s="60"/>
      <c r="R273" s="77"/>
      <c r="S273" s="78">
        <f t="shared" si="155"/>
        <v>0</v>
      </c>
      <c r="T273" s="55">
        <f t="shared" si="155"/>
        <v>0</v>
      </c>
      <c r="U273" s="79">
        <f t="shared" si="139"/>
        <v>0</v>
      </c>
      <c r="V273" s="63">
        <f t="shared" si="140"/>
        <v>0</v>
      </c>
      <c r="W273" s="64">
        <f t="shared" si="173"/>
        <v>134</v>
      </c>
      <c r="X273" s="80">
        <f t="shared" si="153"/>
        <v>168</v>
      </c>
      <c r="Y273" s="75"/>
      <c r="Z273" s="60"/>
      <c r="AA273" s="75"/>
      <c r="AB273" s="75"/>
      <c r="AC273" s="75"/>
      <c r="AD273" s="75"/>
      <c r="AE273" s="81">
        <f t="shared" si="156"/>
        <v>0</v>
      </c>
      <c r="AF273" s="55">
        <f t="shared" si="157"/>
        <v>0</v>
      </c>
      <c r="AG273" s="76">
        <f t="shared" si="151"/>
        <v>0</v>
      </c>
      <c r="AH273" s="82">
        <f t="shared" si="152"/>
        <v>0</v>
      </c>
      <c r="AI273" s="83">
        <f t="shared" si="152"/>
        <v>0</v>
      </c>
      <c r="AJ273" s="83">
        <f t="shared" si="152"/>
        <v>0</v>
      </c>
      <c r="AK273" s="58">
        <f t="shared" si="152"/>
        <v>0</v>
      </c>
      <c r="AL273" s="82">
        <f t="shared" si="158"/>
        <v>0</v>
      </c>
      <c r="AM273" s="58">
        <f t="shared" si="159"/>
        <v>0</v>
      </c>
      <c r="AN273" s="74"/>
      <c r="AO273" s="84"/>
      <c r="AP273" s="74"/>
      <c r="AQ273" s="85"/>
      <c r="AR273" s="74"/>
      <c r="AS273" s="74"/>
      <c r="AT273" s="74"/>
      <c r="AU273" s="55" t="str">
        <f t="shared" si="169"/>
        <v/>
      </c>
      <c r="AV273" s="55" t="str">
        <f t="shared" ca="1" si="170"/>
        <v/>
      </c>
      <c r="AW273" s="55" t="str">
        <f t="shared" si="160"/>
        <v/>
      </c>
      <c r="AX273" s="55" t="str">
        <f t="shared" ca="1" si="161"/>
        <v/>
      </c>
      <c r="AY273" s="86"/>
      <c r="AZ273" s="86"/>
      <c r="BA273" s="55" t="str">
        <f t="shared" si="171"/>
        <v/>
      </c>
      <c r="BB273" s="86"/>
      <c r="BC273" s="86"/>
      <c r="BD273" s="55" t="str">
        <f t="shared" si="172"/>
        <v/>
      </c>
      <c r="BE273" s="74"/>
      <c r="BS273" s="118"/>
      <c r="BT273" s="118"/>
      <c r="BU273" s="118"/>
      <c r="BV273" s="118"/>
      <c r="BW273" s="118"/>
      <c r="BX273" s="118"/>
      <c r="BZ273" s="118"/>
      <c r="CB273" s="118"/>
      <c r="CC273" s="118"/>
      <c r="CD273" s="118"/>
    </row>
    <row r="274" spans="1:82" ht="17.399999999999999" customHeight="1">
      <c r="A274" s="72">
        <f t="shared" ref="A274:A337" si="174">A267+1</f>
        <v>38.5</v>
      </c>
      <c r="B274" s="111">
        <f t="shared" si="154"/>
        <v>264</v>
      </c>
      <c r="C274" s="60"/>
      <c r="D274" s="74"/>
      <c r="E274" s="75"/>
      <c r="F274" s="74"/>
      <c r="G274" s="54">
        <f t="shared" si="162"/>
        <v>0</v>
      </c>
      <c r="H274" s="55">
        <f t="shared" si="162"/>
        <v>0</v>
      </c>
      <c r="I274" s="76">
        <f t="shared" si="163"/>
        <v>0</v>
      </c>
      <c r="J274" s="58">
        <f t="shared" si="164"/>
        <v>0</v>
      </c>
      <c r="K274" s="58">
        <f t="shared" si="165"/>
        <v>0</v>
      </c>
      <c r="L274" s="58">
        <f t="shared" si="166"/>
        <v>0</v>
      </c>
      <c r="M274" s="58" t="str">
        <f t="shared" ca="1" si="167"/>
        <v/>
      </c>
      <c r="N274" s="58" t="str">
        <f t="shared" ca="1" si="167"/>
        <v/>
      </c>
      <c r="O274" s="58">
        <f t="shared" si="168"/>
        <v>5.0000000000000001E-4</v>
      </c>
      <c r="P274" s="77"/>
      <c r="Q274" s="60"/>
      <c r="R274" s="77"/>
      <c r="S274" s="78">
        <f t="shared" si="155"/>
        <v>0</v>
      </c>
      <c r="T274" s="55">
        <f t="shared" si="155"/>
        <v>0</v>
      </c>
      <c r="U274" s="79">
        <f t="shared" ref="U274:U337" si="175">IF(P274="FULL FEED",(Q274*G274/1000),(Q274*2*G274/1000))</f>
        <v>0</v>
      </c>
      <c r="V274" s="63">
        <f t="shared" ref="V274:V337" si="176">IF(P274="FULL FEED",(R274*H274/1000),(R274*2*H274/1000))</f>
        <v>0</v>
      </c>
      <c r="W274" s="64">
        <f t="shared" si="173"/>
        <v>134</v>
      </c>
      <c r="X274" s="80">
        <f t="shared" si="153"/>
        <v>168</v>
      </c>
      <c r="Y274" s="75"/>
      <c r="Z274" s="60"/>
      <c r="AA274" s="75"/>
      <c r="AB274" s="75"/>
      <c r="AC274" s="75"/>
      <c r="AD274" s="75"/>
      <c r="AE274" s="81">
        <f t="shared" si="156"/>
        <v>0</v>
      </c>
      <c r="AF274" s="55">
        <f t="shared" si="157"/>
        <v>0</v>
      </c>
      <c r="AG274" s="76">
        <f t="shared" si="151"/>
        <v>0</v>
      </c>
      <c r="AH274" s="82">
        <f t="shared" si="152"/>
        <v>0</v>
      </c>
      <c r="AI274" s="83">
        <f t="shared" si="152"/>
        <v>0</v>
      </c>
      <c r="AJ274" s="83">
        <f t="shared" si="152"/>
        <v>0</v>
      </c>
      <c r="AK274" s="58">
        <f t="shared" si="152"/>
        <v>0</v>
      </c>
      <c r="AL274" s="82">
        <f t="shared" si="158"/>
        <v>0</v>
      </c>
      <c r="AM274" s="58">
        <f t="shared" si="159"/>
        <v>0</v>
      </c>
      <c r="AN274" s="74"/>
      <c r="AO274" s="84"/>
      <c r="AP274" s="74"/>
      <c r="AQ274" s="85"/>
      <c r="AR274" s="74"/>
      <c r="AS274" s="74"/>
      <c r="AT274" s="74"/>
      <c r="AU274" s="55" t="str">
        <f t="shared" si="169"/>
        <v/>
      </c>
      <c r="AV274" s="55" t="str">
        <f t="shared" ca="1" si="170"/>
        <v/>
      </c>
      <c r="AW274" s="55" t="str">
        <f t="shared" si="160"/>
        <v/>
      </c>
      <c r="AX274" s="55" t="str">
        <f t="shared" ca="1" si="161"/>
        <v/>
      </c>
      <c r="AY274" s="86"/>
      <c r="AZ274" s="86"/>
      <c r="BA274" s="55" t="str">
        <f t="shared" si="171"/>
        <v/>
      </c>
      <c r="BB274" s="86"/>
      <c r="BC274" s="86"/>
      <c r="BD274" s="55" t="str">
        <f t="shared" si="172"/>
        <v/>
      </c>
      <c r="BE274" s="74"/>
      <c r="BS274" s="118"/>
      <c r="BT274" s="118"/>
      <c r="BU274" s="118"/>
      <c r="BV274" s="118"/>
      <c r="BW274" s="118"/>
      <c r="BX274" s="118"/>
      <c r="BZ274" s="118"/>
      <c r="CB274" s="118"/>
      <c r="CC274" s="118"/>
      <c r="CD274" s="118"/>
    </row>
    <row r="275" spans="1:82" ht="17.399999999999999" customHeight="1">
      <c r="A275" s="87">
        <f t="shared" si="174"/>
        <v>38.6</v>
      </c>
      <c r="B275" s="111">
        <f t="shared" si="154"/>
        <v>265</v>
      </c>
      <c r="C275" s="60"/>
      <c r="D275" s="74"/>
      <c r="E275" s="75"/>
      <c r="F275" s="74"/>
      <c r="G275" s="54">
        <f t="shared" si="162"/>
        <v>0</v>
      </c>
      <c r="H275" s="55">
        <f t="shared" si="162"/>
        <v>0</v>
      </c>
      <c r="I275" s="76">
        <f t="shared" si="163"/>
        <v>0</v>
      </c>
      <c r="J275" s="58">
        <f t="shared" si="164"/>
        <v>0</v>
      </c>
      <c r="K275" s="58">
        <f t="shared" si="165"/>
        <v>0</v>
      </c>
      <c r="L275" s="58">
        <f t="shared" si="166"/>
        <v>0</v>
      </c>
      <c r="M275" s="58" t="str">
        <f t="shared" ca="1" si="167"/>
        <v/>
      </c>
      <c r="N275" s="58" t="str">
        <f t="shared" ca="1" si="167"/>
        <v/>
      </c>
      <c r="O275" s="58">
        <f t="shared" si="168"/>
        <v>5.0000000000000001E-4</v>
      </c>
      <c r="P275" s="77"/>
      <c r="Q275" s="60"/>
      <c r="R275" s="77"/>
      <c r="S275" s="78">
        <f t="shared" si="155"/>
        <v>0</v>
      </c>
      <c r="T275" s="55">
        <f t="shared" si="155"/>
        <v>0</v>
      </c>
      <c r="U275" s="79">
        <f t="shared" si="175"/>
        <v>0</v>
      </c>
      <c r="V275" s="63">
        <f t="shared" si="176"/>
        <v>0</v>
      </c>
      <c r="W275" s="64">
        <f t="shared" si="173"/>
        <v>134</v>
      </c>
      <c r="X275" s="80">
        <f t="shared" si="153"/>
        <v>168</v>
      </c>
      <c r="Y275" s="75"/>
      <c r="Z275" s="60"/>
      <c r="AA275" s="75"/>
      <c r="AB275" s="75"/>
      <c r="AC275" s="75"/>
      <c r="AD275" s="75"/>
      <c r="AE275" s="81">
        <f t="shared" si="156"/>
        <v>0</v>
      </c>
      <c r="AF275" s="55">
        <f t="shared" si="157"/>
        <v>0</v>
      </c>
      <c r="AG275" s="76">
        <f t="shared" si="151"/>
        <v>0</v>
      </c>
      <c r="AH275" s="82">
        <f t="shared" si="152"/>
        <v>0</v>
      </c>
      <c r="AI275" s="83">
        <f t="shared" si="152"/>
        <v>0</v>
      </c>
      <c r="AJ275" s="83">
        <f t="shared" si="152"/>
        <v>0</v>
      </c>
      <c r="AK275" s="58">
        <f t="shared" si="152"/>
        <v>0</v>
      </c>
      <c r="AL275" s="82">
        <f t="shared" si="158"/>
        <v>0</v>
      </c>
      <c r="AM275" s="58">
        <f t="shared" si="159"/>
        <v>0</v>
      </c>
      <c r="AN275" s="74"/>
      <c r="AO275" s="84"/>
      <c r="AP275" s="74"/>
      <c r="AQ275" s="85"/>
      <c r="AR275" s="74"/>
      <c r="AS275" s="74"/>
      <c r="AT275" s="74"/>
      <c r="AU275" s="55" t="str">
        <f t="shared" si="169"/>
        <v/>
      </c>
      <c r="AV275" s="55" t="str">
        <f t="shared" ca="1" si="170"/>
        <v/>
      </c>
      <c r="AW275" s="55" t="str">
        <f t="shared" si="160"/>
        <v/>
      </c>
      <c r="AX275" s="55" t="str">
        <f t="shared" ca="1" si="161"/>
        <v/>
      </c>
      <c r="AY275" s="86"/>
      <c r="AZ275" s="86"/>
      <c r="BA275" s="55" t="str">
        <f t="shared" si="171"/>
        <v/>
      </c>
      <c r="BB275" s="86"/>
      <c r="BC275" s="86"/>
      <c r="BD275" s="55" t="str">
        <f t="shared" si="172"/>
        <v/>
      </c>
      <c r="BE275" s="74"/>
      <c r="BS275" s="118"/>
      <c r="BT275" s="118"/>
      <c r="BU275" s="118"/>
      <c r="BV275" s="118"/>
      <c r="BW275" s="118"/>
      <c r="BX275" s="118"/>
      <c r="BZ275" s="118"/>
      <c r="CB275" s="118"/>
      <c r="CC275" s="118"/>
      <c r="CD275" s="118"/>
    </row>
    <row r="276" spans="1:82" ht="17.399999999999999" customHeight="1" thickBot="1">
      <c r="A276" s="72">
        <f t="shared" si="174"/>
        <v>38.700000000000003</v>
      </c>
      <c r="B276" s="113">
        <f t="shared" si="154"/>
        <v>266</v>
      </c>
      <c r="C276" s="89"/>
      <c r="D276" s="90"/>
      <c r="E276" s="91"/>
      <c r="F276" s="90"/>
      <c r="G276" s="92">
        <f t="shared" si="162"/>
        <v>0</v>
      </c>
      <c r="H276" s="93">
        <f t="shared" si="162"/>
        <v>0</v>
      </c>
      <c r="I276" s="94">
        <f t="shared" si="163"/>
        <v>0</v>
      </c>
      <c r="J276" s="95">
        <f t="shared" si="164"/>
        <v>0</v>
      </c>
      <c r="K276" s="95">
        <f t="shared" si="165"/>
        <v>0</v>
      </c>
      <c r="L276" s="95">
        <f t="shared" si="166"/>
        <v>0</v>
      </c>
      <c r="M276" s="95" t="str">
        <f t="shared" ca="1" si="167"/>
        <v/>
      </c>
      <c r="N276" s="95" t="str">
        <f t="shared" ca="1" si="167"/>
        <v/>
      </c>
      <c r="O276" s="95">
        <f t="shared" si="168"/>
        <v>5.0000000000000001E-4</v>
      </c>
      <c r="P276" s="96"/>
      <c r="Q276" s="89"/>
      <c r="R276" s="96"/>
      <c r="S276" s="78">
        <f t="shared" si="155"/>
        <v>0</v>
      </c>
      <c r="T276" s="55">
        <f t="shared" si="155"/>
        <v>0</v>
      </c>
      <c r="U276" s="97">
        <f t="shared" si="175"/>
        <v>0</v>
      </c>
      <c r="V276" s="98">
        <f t="shared" si="176"/>
        <v>0</v>
      </c>
      <c r="W276" s="99">
        <f t="shared" si="173"/>
        <v>134</v>
      </c>
      <c r="X276" s="100">
        <f t="shared" si="153"/>
        <v>168</v>
      </c>
      <c r="Y276" s="91"/>
      <c r="Z276" s="60"/>
      <c r="AA276" s="75"/>
      <c r="AB276" s="75"/>
      <c r="AC276" s="75"/>
      <c r="AD276" s="75"/>
      <c r="AE276" s="101">
        <f t="shared" si="156"/>
        <v>0</v>
      </c>
      <c r="AF276" s="93">
        <f t="shared" si="157"/>
        <v>0</v>
      </c>
      <c r="AG276" s="94">
        <f t="shared" si="151"/>
        <v>0</v>
      </c>
      <c r="AH276" s="102">
        <f t="shared" si="152"/>
        <v>0</v>
      </c>
      <c r="AI276" s="103">
        <f t="shared" si="152"/>
        <v>0</v>
      </c>
      <c r="AJ276" s="103">
        <f t="shared" si="152"/>
        <v>0</v>
      </c>
      <c r="AK276" s="95">
        <f t="shared" si="152"/>
        <v>0</v>
      </c>
      <c r="AL276" s="102">
        <f t="shared" si="158"/>
        <v>0</v>
      </c>
      <c r="AM276" s="95">
        <f t="shared" si="159"/>
        <v>0</v>
      </c>
      <c r="AN276" s="90"/>
      <c r="AO276" s="104"/>
      <c r="AP276" s="90"/>
      <c r="AQ276" s="105"/>
      <c r="AR276" s="90"/>
      <c r="AS276" s="90"/>
      <c r="AT276" s="90"/>
      <c r="AU276" s="93" t="str">
        <f t="shared" si="169"/>
        <v/>
      </c>
      <c r="AV276" s="93" t="str">
        <f t="shared" ca="1" si="170"/>
        <v/>
      </c>
      <c r="AW276" s="93" t="str">
        <f t="shared" si="160"/>
        <v/>
      </c>
      <c r="AX276" s="93" t="str">
        <f t="shared" ca="1" si="161"/>
        <v/>
      </c>
      <c r="AY276" s="106"/>
      <c r="AZ276" s="106"/>
      <c r="BA276" s="93" t="str">
        <f t="shared" si="171"/>
        <v/>
      </c>
      <c r="BB276" s="106"/>
      <c r="BC276" s="106"/>
      <c r="BD276" s="93" t="str">
        <f t="shared" si="172"/>
        <v/>
      </c>
      <c r="BE276" s="90"/>
      <c r="BS276" s="118"/>
      <c r="BT276" s="118"/>
      <c r="BU276" s="118"/>
      <c r="BV276" s="118"/>
      <c r="BW276" s="118"/>
      <c r="BX276" s="118"/>
      <c r="BZ276" s="118"/>
      <c r="CB276" s="118"/>
      <c r="CC276" s="118"/>
      <c r="CD276" s="118"/>
    </row>
    <row r="277" spans="1:82" ht="17.399999999999999" customHeight="1" thickTop="1">
      <c r="A277" s="49">
        <f>A270+1</f>
        <v>39.1</v>
      </c>
      <c r="B277" s="108">
        <f>B276+1</f>
        <v>267</v>
      </c>
      <c r="C277" s="51"/>
      <c r="D277" s="52"/>
      <c r="E277" s="53"/>
      <c r="F277" s="52"/>
      <c r="G277" s="54">
        <f t="shared" si="162"/>
        <v>0</v>
      </c>
      <c r="H277" s="55">
        <f t="shared" si="162"/>
        <v>0</v>
      </c>
      <c r="I277" s="56">
        <f t="shared" si="163"/>
        <v>0</v>
      </c>
      <c r="J277" s="57">
        <f t="shared" si="164"/>
        <v>0</v>
      </c>
      <c r="K277" s="57">
        <f t="shared" si="165"/>
        <v>0</v>
      </c>
      <c r="L277" s="57">
        <f t="shared" si="166"/>
        <v>0</v>
      </c>
      <c r="M277" s="58" t="str">
        <f t="shared" ca="1" si="167"/>
        <v/>
      </c>
      <c r="N277" s="58" t="str">
        <f t="shared" ca="1" si="167"/>
        <v/>
      </c>
      <c r="O277" s="58">
        <f t="shared" si="168"/>
        <v>5.0000000000000001E-4</v>
      </c>
      <c r="P277" s="77"/>
      <c r="Q277" s="60"/>
      <c r="R277" s="77"/>
      <c r="S277" s="109">
        <f t="shared" si="155"/>
        <v>0</v>
      </c>
      <c r="T277" s="61">
        <f t="shared" si="155"/>
        <v>0</v>
      </c>
      <c r="U277" s="62">
        <f t="shared" si="175"/>
        <v>0</v>
      </c>
      <c r="V277" s="63">
        <f t="shared" si="176"/>
        <v>0</v>
      </c>
      <c r="W277" s="64">
        <v>135</v>
      </c>
      <c r="X277" s="80">
        <v>167</v>
      </c>
      <c r="Y277" s="53"/>
      <c r="Z277" s="51"/>
      <c r="AA277" s="53"/>
      <c r="AB277" s="53"/>
      <c r="AC277" s="53"/>
      <c r="AD277" s="53"/>
      <c r="AE277" s="66">
        <f t="shared" si="156"/>
        <v>0</v>
      </c>
      <c r="AF277" s="61">
        <f t="shared" si="157"/>
        <v>0</v>
      </c>
      <c r="AG277" s="56">
        <f t="shared" si="151"/>
        <v>0</v>
      </c>
      <c r="AH277" s="67">
        <f t="shared" si="152"/>
        <v>0</v>
      </c>
      <c r="AI277" s="68">
        <f t="shared" si="152"/>
        <v>0</v>
      </c>
      <c r="AJ277" s="68">
        <f t="shared" si="152"/>
        <v>0</v>
      </c>
      <c r="AK277" s="57">
        <f t="shared" si="152"/>
        <v>0</v>
      </c>
      <c r="AL277" s="67">
        <f t="shared" si="158"/>
        <v>0</v>
      </c>
      <c r="AM277" s="57">
        <f t="shared" si="159"/>
        <v>0</v>
      </c>
      <c r="AN277" s="52"/>
      <c r="AO277" s="69"/>
      <c r="AP277" s="52"/>
      <c r="AQ277" s="70"/>
      <c r="AR277" s="52"/>
      <c r="AS277" s="52"/>
      <c r="AT277" s="52"/>
      <c r="AU277" s="61" t="str">
        <f t="shared" si="169"/>
        <v/>
      </c>
      <c r="AV277" s="61" t="str">
        <f t="shared" ca="1" si="170"/>
        <v/>
      </c>
      <c r="AW277" s="61" t="str">
        <f t="shared" si="160"/>
        <v/>
      </c>
      <c r="AX277" s="61" t="str">
        <f t="shared" ca="1" si="161"/>
        <v/>
      </c>
      <c r="AY277" s="71"/>
      <c r="AZ277" s="71"/>
      <c r="BA277" s="61" t="str">
        <f t="shared" si="171"/>
        <v/>
      </c>
      <c r="BB277" s="71"/>
      <c r="BC277" s="71"/>
      <c r="BD277" s="61" t="str">
        <f t="shared" si="172"/>
        <v/>
      </c>
      <c r="BE277" s="52"/>
      <c r="BS277" s="118"/>
      <c r="BT277" s="118"/>
      <c r="BU277" s="118"/>
      <c r="BV277" s="118"/>
      <c r="BW277" s="118"/>
      <c r="BX277" s="118"/>
      <c r="BZ277" s="118"/>
      <c r="CB277" s="118"/>
      <c r="CC277" s="118"/>
      <c r="CD277" s="118"/>
    </row>
    <row r="278" spans="1:82" ht="17.399999999999999" customHeight="1">
      <c r="A278" s="72">
        <f t="shared" si="174"/>
        <v>39.200000000000003</v>
      </c>
      <c r="B278" s="111">
        <f t="shared" si="154"/>
        <v>268</v>
      </c>
      <c r="C278" s="60"/>
      <c r="D278" s="74"/>
      <c r="E278" s="75"/>
      <c r="F278" s="74"/>
      <c r="G278" s="54">
        <f t="shared" si="162"/>
        <v>0</v>
      </c>
      <c r="H278" s="55">
        <f t="shared" si="162"/>
        <v>0</v>
      </c>
      <c r="I278" s="76">
        <f t="shared" si="163"/>
        <v>0</v>
      </c>
      <c r="J278" s="58">
        <f t="shared" si="164"/>
        <v>0</v>
      </c>
      <c r="K278" s="58">
        <f t="shared" si="165"/>
        <v>0</v>
      </c>
      <c r="L278" s="58">
        <f t="shared" si="166"/>
        <v>0</v>
      </c>
      <c r="M278" s="58" t="str">
        <f t="shared" ca="1" si="167"/>
        <v/>
      </c>
      <c r="N278" s="58" t="str">
        <f t="shared" ca="1" si="167"/>
        <v/>
      </c>
      <c r="O278" s="58">
        <f t="shared" si="168"/>
        <v>5.0000000000000001E-4</v>
      </c>
      <c r="P278" s="77"/>
      <c r="Q278" s="60"/>
      <c r="R278" s="77"/>
      <c r="S278" s="78">
        <f t="shared" si="155"/>
        <v>0</v>
      </c>
      <c r="T278" s="55">
        <f t="shared" si="155"/>
        <v>0</v>
      </c>
      <c r="U278" s="79">
        <f t="shared" si="175"/>
        <v>0</v>
      </c>
      <c r="V278" s="63">
        <f t="shared" si="176"/>
        <v>0</v>
      </c>
      <c r="W278" s="64">
        <f t="shared" ref="W278:X290" si="177">W277</f>
        <v>135</v>
      </c>
      <c r="X278" s="80">
        <f t="shared" si="177"/>
        <v>167</v>
      </c>
      <c r="Y278" s="75"/>
      <c r="Z278" s="60"/>
      <c r="AA278" s="75"/>
      <c r="AB278" s="75"/>
      <c r="AC278" s="75"/>
      <c r="AD278" s="75"/>
      <c r="AE278" s="81">
        <f t="shared" si="156"/>
        <v>0</v>
      </c>
      <c r="AF278" s="55">
        <f t="shared" si="157"/>
        <v>0</v>
      </c>
      <c r="AG278" s="76">
        <f t="shared" si="151"/>
        <v>0</v>
      </c>
      <c r="AH278" s="82">
        <f t="shared" si="152"/>
        <v>0</v>
      </c>
      <c r="AI278" s="83">
        <f t="shared" si="152"/>
        <v>0</v>
      </c>
      <c r="AJ278" s="83">
        <f t="shared" si="152"/>
        <v>0</v>
      </c>
      <c r="AK278" s="58">
        <f t="shared" si="152"/>
        <v>0</v>
      </c>
      <c r="AL278" s="82">
        <f t="shared" si="158"/>
        <v>0</v>
      </c>
      <c r="AM278" s="58">
        <f t="shared" si="159"/>
        <v>0</v>
      </c>
      <c r="AN278" s="74"/>
      <c r="AO278" s="84"/>
      <c r="AP278" s="74"/>
      <c r="AQ278" s="85"/>
      <c r="AR278" s="74"/>
      <c r="AS278" s="74"/>
      <c r="AT278" s="74"/>
      <c r="AU278" s="55" t="str">
        <f t="shared" si="169"/>
        <v/>
      </c>
      <c r="AV278" s="55" t="str">
        <f t="shared" ca="1" si="170"/>
        <v/>
      </c>
      <c r="AW278" s="55" t="str">
        <f t="shared" si="160"/>
        <v/>
      </c>
      <c r="AX278" s="55" t="str">
        <f t="shared" ca="1" si="161"/>
        <v/>
      </c>
      <c r="AY278" s="86"/>
      <c r="AZ278" s="86"/>
      <c r="BA278" s="55" t="str">
        <f t="shared" si="171"/>
        <v/>
      </c>
      <c r="BB278" s="86"/>
      <c r="BC278" s="86"/>
      <c r="BD278" s="55" t="str">
        <f t="shared" si="172"/>
        <v/>
      </c>
      <c r="BE278" s="74"/>
      <c r="BS278" s="118"/>
      <c r="BT278" s="118"/>
      <c r="BU278" s="118"/>
      <c r="BV278" s="118"/>
      <c r="BW278" s="118"/>
      <c r="BX278" s="118"/>
      <c r="BZ278" s="118"/>
      <c r="CB278" s="118"/>
      <c r="CC278" s="118"/>
      <c r="CD278" s="118"/>
    </row>
    <row r="279" spans="1:82" ht="17.399999999999999" customHeight="1">
      <c r="A279" s="87">
        <f t="shared" si="174"/>
        <v>39.299999999999997</v>
      </c>
      <c r="B279" s="111">
        <f t="shared" si="154"/>
        <v>269</v>
      </c>
      <c r="C279" s="60"/>
      <c r="D279" s="74"/>
      <c r="E279" s="75"/>
      <c r="F279" s="74"/>
      <c r="G279" s="54">
        <f t="shared" si="162"/>
        <v>0</v>
      </c>
      <c r="H279" s="55">
        <f t="shared" si="162"/>
        <v>0</v>
      </c>
      <c r="I279" s="76">
        <f t="shared" si="163"/>
        <v>0</v>
      </c>
      <c r="J279" s="58">
        <f t="shared" si="164"/>
        <v>0</v>
      </c>
      <c r="K279" s="58">
        <f t="shared" si="165"/>
        <v>0</v>
      </c>
      <c r="L279" s="58">
        <f t="shared" si="166"/>
        <v>0</v>
      </c>
      <c r="M279" s="58" t="str">
        <f t="shared" ca="1" si="167"/>
        <v/>
      </c>
      <c r="N279" s="58" t="str">
        <f t="shared" ca="1" si="167"/>
        <v/>
      </c>
      <c r="O279" s="58">
        <f t="shared" si="168"/>
        <v>5.0000000000000001E-4</v>
      </c>
      <c r="P279" s="77"/>
      <c r="Q279" s="60"/>
      <c r="R279" s="77"/>
      <c r="S279" s="78">
        <f t="shared" si="155"/>
        <v>0</v>
      </c>
      <c r="T279" s="55">
        <f t="shared" si="155"/>
        <v>0</v>
      </c>
      <c r="U279" s="79">
        <f t="shared" si="175"/>
        <v>0</v>
      </c>
      <c r="V279" s="63">
        <f t="shared" si="176"/>
        <v>0</v>
      </c>
      <c r="W279" s="64">
        <f t="shared" si="177"/>
        <v>135</v>
      </c>
      <c r="X279" s="80">
        <f t="shared" si="177"/>
        <v>167</v>
      </c>
      <c r="Y279" s="75"/>
      <c r="Z279" s="60"/>
      <c r="AA279" s="75"/>
      <c r="AB279" s="75"/>
      <c r="AC279" s="75"/>
      <c r="AD279" s="75"/>
      <c r="AE279" s="81">
        <f t="shared" si="156"/>
        <v>0</v>
      </c>
      <c r="AF279" s="55">
        <f t="shared" si="157"/>
        <v>0</v>
      </c>
      <c r="AG279" s="76">
        <f t="shared" si="151"/>
        <v>0</v>
      </c>
      <c r="AH279" s="82">
        <f t="shared" si="152"/>
        <v>0</v>
      </c>
      <c r="AI279" s="83">
        <f t="shared" si="152"/>
        <v>0</v>
      </c>
      <c r="AJ279" s="83">
        <f t="shared" si="152"/>
        <v>0</v>
      </c>
      <c r="AK279" s="58">
        <f t="shared" si="152"/>
        <v>0</v>
      </c>
      <c r="AL279" s="82">
        <f t="shared" si="158"/>
        <v>0</v>
      </c>
      <c r="AM279" s="58">
        <f t="shared" si="159"/>
        <v>0</v>
      </c>
      <c r="AN279" s="74"/>
      <c r="AO279" s="84"/>
      <c r="AP279" s="74"/>
      <c r="AQ279" s="85"/>
      <c r="AR279" s="74"/>
      <c r="AS279" s="74"/>
      <c r="AT279" s="74"/>
      <c r="AU279" s="55" t="str">
        <f t="shared" si="169"/>
        <v/>
      </c>
      <c r="AV279" s="55" t="str">
        <f t="shared" ca="1" si="170"/>
        <v/>
      </c>
      <c r="AW279" s="55" t="str">
        <f t="shared" si="160"/>
        <v/>
      </c>
      <c r="AX279" s="55" t="str">
        <f t="shared" ca="1" si="161"/>
        <v/>
      </c>
      <c r="AY279" s="86"/>
      <c r="AZ279" s="86"/>
      <c r="BA279" s="55" t="str">
        <f t="shared" si="171"/>
        <v/>
      </c>
      <c r="BB279" s="86"/>
      <c r="BC279" s="86"/>
      <c r="BD279" s="55" t="str">
        <f t="shared" si="172"/>
        <v/>
      </c>
      <c r="BE279" s="74"/>
      <c r="BS279" s="118"/>
      <c r="BT279" s="118"/>
      <c r="BU279" s="118"/>
      <c r="BV279" s="118"/>
      <c r="BW279" s="118"/>
      <c r="BX279" s="118"/>
      <c r="BZ279" s="118"/>
      <c r="CB279" s="118"/>
      <c r="CC279" s="118"/>
      <c r="CD279" s="118"/>
    </row>
    <row r="280" spans="1:82" ht="17.399999999999999" customHeight="1">
      <c r="A280" s="72">
        <f t="shared" si="174"/>
        <v>39.4</v>
      </c>
      <c r="B280" s="111">
        <f t="shared" si="154"/>
        <v>270</v>
      </c>
      <c r="C280" s="60"/>
      <c r="D280" s="74"/>
      <c r="E280" s="75"/>
      <c r="F280" s="74"/>
      <c r="G280" s="54">
        <f t="shared" si="162"/>
        <v>0</v>
      </c>
      <c r="H280" s="55">
        <f t="shared" si="162"/>
        <v>0</v>
      </c>
      <c r="I280" s="76">
        <f t="shared" si="163"/>
        <v>0</v>
      </c>
      <c r="J280" s="58">
        <f t="shared" si="164"/>
        <v>0</v>
      </c>
      <c r="K280" s="58">
        <f t="shared" si="165"/>
        <v>0</v>
      </c>
      <c r="L280" s="58">
        <f t="shared" si="166"/>
        <v>0</v>
      </c>
      <c r="M280" s="58" t="str">
        <f t="shared" ca="1" si="167"/>
        <v/>
      </c>
      <c r="N280" s="58" t="str">
        <f t="shared" ca="1" si="167"/>
        <v/>
      </c>
      <c r="O280" s="58">
        <f t="shared" si="168"/>
        <v>5.0000000000000001E-4</v>
      </c>
      <c r="P280" s="77"/>
      <c r="Q280" s="60"/>
      <c r="R280" s="77"/>
      <c r="S280" s="78">
        <f t="shared" si="155"/>
        <v>0</v>
      </c>
      <c r="T280" s="55">
        <f t="shared" si="155"/>
        <v>0</v>
      </c>
      <c r="U280" s="79">
        <f t="shared" si="175"/>
        <v>0</v>
      </c>
      <c r="V280" s="63">
        <f t="shared" si="176"/>
        <v>0</v>
      </c>
      <c r="W280" s="64">
        <f t="shared" si="177"/>
        <v>135</v>
      </c>
      <c r="X280" s="80">
        <f t="shared" si="177"/>
        <v>167</v>
      </c>
      <c r="Y280" s="75"/>
      <c r="Z280" s="60"/>
      <c r="AA280" s="75"/>
      <c r="AB280" s="75"/>
      <c r="AC280" s="75"/>
      <c r="AD280" s="75"/>
      <c r="AE280" s="81">
        <f t="shared" si="156"/>
        <v>0</v>
      </c>
      <c r="AF280" s="55">
        <f t="shared" si="157"/>
        <v>0</v>
      </c>
      <c r="AG280" s="76">
        <f t="shared" si="151"/>
        <v>0</v>
      </c>
      <c r="AH280" s="82">
        <f t="shared" si="152"/>
        <v>0</v>
      </c>
      <c r="AI280" s="83">
        <f t="shared" si="152"/>
        <v>0</v>
      </c>
      <c r="AJ280" s="83">
        <f t="shared" si="152"/>
        <v>0</v>
      </c>
      <c r="AK280" s="58">
        <f t="shared" si="152"/>
        <v>0</v>
      </c>
      <c r="AL280" s="82">
        <f t="shared" si="158"/>
        <v>0</v>
      </c>
      <c r="AM280" s="58">
        <f t="shared" si="159"/>
        <v>0</v>
      </c>
      <c r="AN280" s="74"/>
      <c r="AO280" s="84"/>
      <c r="AP280" s="74"/>
      <c r="AQ280" s="85"/>
      <c r="AR280" s="74"/>
      <c r="AS280" s="74"/>
      <c r="AT280" s="74"/>
      <c r="AU280" s="55" t="str">
        <f t="shared" si="169"/>
        <v/>
      </c>
      <c r="AV280" s="55" t="str">
        <f t="shared" ca="1" si="170"/>
        <v/>
      </c>
      <c r="AW280" s="55" t="str">
        <f t="shared" si="160"/>
        <v/>
      </c>
      <c r="AX280" s="55" t="str">
        <f t="shared" ca="1" si="161"/>
        <v/>
      </c>
      <c r="AY280" s="86"/>
      <c r="AZ280" s="86"/>
      <c r="BA280" s="55" t="str">
        <f t="shared" si="171"/>
        <v/>
      </c>
      <c r="BB280" s="86"/>
      <c r="BC280" s="86"/>
      <c r="BD280" s="55" t="str">
        <f t="shared" si="172"/>
        <v/>
      </c>
      <c r="BE280" s="74"/>
      <c r="BS280" s="118"/>
      <c r="BT280" s="118"/>
      <c r="BU280" s="118"/>
      <c r="BV280" s="118"/>
      <c r="BW280" s="118"/>
      <c r="BX280" s="118"/>
      <c r="BZ280" s="118"/>
      <c r="CB280" s="118"/>
      <c r="CC280" s="118"/>
      <c r="CD280" s="118"/>
    </row>
    <row r="281" spans="1:82" ht="17.399999999999999" customHeight="1">
      <c r="A281" s="87">
        <f t="shared" si="174"/>
        <v>39.5</v>
      </c>
      <c r="B281" s="111">
        <f t="shared" si="154"/>
        <v>271</v>
      </c>
      <c r="C281" s="60"/>
      <c r="D281" s="74"/>
      <c r="E281" s="75"/>
      <c r="F281" s="74"/>
      <c r="G281" s="54">
        <f t="shared" si="162"/>
        <v>0</v>
      </c>
      <c r="H281" s="55">
        <f t="shared" si="162"/>
        <v>0</v>
      </c>
      <c r="I281" s="76">
        <f t="shared" si="163"/>
        <v>0</v>
      </c>
      <c r="J281" s="58">
        <f t="shared" si="164"/>
        <v>0</v>
      </c>
      <c r="K281" s="58">
        <f t="shared" si="165"/>
        <v>0</v>
      </c>
      <c r="L281" s="58">
        <f t="shared" si="166"/>
        <v>0</v>
      </c>
      <c r="M281" s="58" t="str">
        <f t="shared" ca="1" si="167"/>
        <v/>
      </c>
      <c r="N281" s="58" t="str">
        <f t="shared" ca="1" si="167"/>
        <v/>
      </c>
      <c r="O281" s="58">
        <f t="shared" si="168"/>
        <v>5.0000000000000001E-4</v>
      </c>
      <c r="P281" s="77"/>
      <c r="Q281" s="60"/>
      <c r="R281" s="77"/>
      <c r="S281" s="78">
        <f t="shared" si="155"/>
        <v>0</v>
      </c>
      <c r="T281" s="55">
        <f t="shared" si="155"/>
        <v>0</v>
      </c>
      <c r="U281" s="79">
        <f t="shared" si="175"/>
        <v>0</v>
      </c>
      <c r="V281" s="63">
        <f t="shared" si="176"/>
        <v>0</v>
      </c>
      <c r="W281" s="64">
        <f t="shared" si="177"/>
        <v>135</v>
      </c>
      <c r="X281" s="80">
        <f t="shared" si="177"/>
        <v>167</v>
      </c>
      <c r="Y281" s="75"/>
      <c r="Z281" s="60"/>
      <c r="AA281" s="75"/>
      <c r="AB281" s="75"/>
      <c r="AC281" s="75"/>
      <c r="AD281" s="75"/>
      <c r="AE281" s="81">
        <f t="shared" si="156"/>
        <v>0</v>
      </c>
      <c r="AF281" s="55">
        <f t="shared" si="157"/>
        <v>0</v>
      </c>
      <c r="AG281" s="76">
        <f t="shared" si="151"/>
        <v>0</v>
      </c>
      <c r="AH281" s="82">
        <f t="shared" si="152"/>
        <v>0</v>
      </c>
      <c r="AI281" s="83">
        <f t="shared" si="152"/>
        <v>0</v>
      </c>
      <c r="AJ281" s="83">
        <f t="shared" si="152"/>
        <v>0</v>
      </c>
      <c r="AK281" s="58">
        <f t="shared" si="152"/>
        <v>0</v>
      </c>
      <c r="AL281" s="82">
        <f t="shared" si="158"/>
        <v>0</v>
      </c>
      <c r="AM281" s="58">
        <f t="shared" si="159"/>
        <v>0</v>
      </c>
      <c r="AN281" s="74"/>
      <c r="AO281" s="84"/>
      <c r="AP281" s="74"/>
      <c r="AQ281" s="85"/>
      <c r="AR281" s="74"/>
      <c r="AS281" s="74"/>
      <c r="AT281" s="74"/>
      <c r="AU281" s="55" t="str">
        <f t="shared" si="169"/>
        <v/>
      </c>
      <c r="AV281" s="55" t="str">
        <f t="shared" ca="1" si="170"/>
        <v/>
      </c>
      <c r="AW281" s="55" t="str">
        <f t="shared" si="160"/>
        <v/>
      </c>
      <c r="AX281" s="55" t="str">
        <f t="shared" ca="1" si="161"/>
        <v/>
      </c>
      <c r="AY281" s="86"/>
      <c r="AZ281" s="86"/>
      <c r="BA281" s="55" t="str">
        <f t="shared" si="171"/>
        <v/>
      </c>
      <c r="BB281" s="86"/>
      <c r="BC281" s="86"/>
      <c r="BD281" s="55" t="str">
        <f t="shared" si="172"/>
        <v/>
      </c>
      <c r="BE281" s="74"/>
      <c r="BS281" s="118"/>
      <c r="BT281" s="118"/>
      <c r="BU281" s="118"/>
      <c r="BV281" s="118"/>
      <c r="BW281" s="118"/>
      <c r="BX281" s="118"/>
      <c r="BZ281" s="118"/>
      <c r="CB281" s="118"/>
      <c r="CC281" s="118"/>
      <c r="CD281" s="118"/>
    </row>
    <row r="282" spans="1:82" ht="17.399999999999999" customHeight="1">
      <c r="A282" s="72">
        <f t="shared" si="174"/>
        <v>39.6</v>
      </c>
      <c r="B282" s="111">
        <f t="shared" si="154"/>
        <v>272</v>
      </c>
      <c r="C282" s="60"/>
      <c r="D282" s="74"/>
      <c r="E282" s="75"/>
      <c r="F282" s="74"/>
      <c r="G282" s="54">
        <f t="shared" si="162"/>
        <v>0</v>
      </c>
      <c r="H282" s="55">
        <f t="shared" si="162"/>
        <v>0</v>
      </c>
      <c r="I282" s="76">
        <f t="shared" si="163"/>
        <v>0</v>
      </c>
      <c r="J282" s="58">
        <f t="shared" si="164"/>
        <v>0</v>
      </c>
      <c r="K282" s="58">
        <f t="shared" si="165"/>
        <v>0</v>
      </c>
      <c r="L282" s="58">
        <f t="shared" si="166"/>
        <v>0</v>
      </c>
      <c r="M282" s="58" t="str">
        <f t="shared" ca="1" si="167"/>
        <v/>
      </c>
      <c r="N282" s="58" t="str">
        <f t="shared" ca="1" si="167"/>
        <v/>
      </c>
      <c r="O282" s="58">
        <f t="shared" si="168"/>
        <v>5.0000000000000001E-4</v>
      </c>
      <c r="P282" s="77"/>
      <c r="Q282" s="60"/>
      <c r="R282" s="77"/>
      <c r="S282" s="78">
        <f t="shared" si="155"/>
        <v>0</v>
      </c>
      <c r="T282" s="55">
        <f t="shared" si="155"/>
        <v>0</v>
      </c>
      <c r="U282" s="79">
        <f t="shared" si="175"/>
        <v>0</v>
      </c>
      <c r="V282" s="63">
        <f t="shared" si="176"/>
        <v>0</v>
      </c>
      <c r="W282" s="64">
        <f t="shared" si="177"/>
        <v>135</v>
      </c>
      <c r="X282" s="80">
        <f t="shared" si="177"/>
        <v>167</v>
      </c>
      <c r="Y282" s="75"/>
      <c r="Z282" s="60"/>
      <c r="AA282" s="75"/>
      <c r="AB282" s="75"/>
      <c r="AC282" s="75"/>
      <c r="AD282" s="75"/>
      <c r="AE282" s="81">
        <f t="shared" si="156"/>
        <v>0</v>
      </c>
      <c r="AF282" s="55">
        <f t="shared" si="157"/>
        <v>0</v>
      </c>
      <c r="AG282" s="76">
        <f t="shared" si="151"/>
        <v>0</v>
      </c>
      <c r="AH282" s="82">
        <f t="shared" si="152"/>
        <v>0</v>
      </c>
      <c r="AI282" s="83">
        <f t="shared" si="152"/>
        <v>0</v>
      </c>
      <c r="AJ282" s="83">
        <f t="shared" si="152"/>
        <v>0</v>
      </c>
      <c r="AK282" s="58">
        <f t="shared" si="152"/>
        <v>0</v>
      </c>
      <c r="AL282" s="82">
        <f t="shared" si="158"/>
        <v>0</v>
      </c>
      <c r="AM282" s="58">
        <f t="shared" si="159"/>
        <v>0</v>
      </c>
      <c r="AN282" s="74"/>
      <c r="AO282" s="84"/>
      <c r="AP282" s="74"/>
      <c r="AQ282" s="85"/>
      <c r="AR282" s="74"/>
      <c r="AS282" s="74"/>
      <c r="AT282" s="74"/>
      <c r="AU282" s="55" t="str">
        <f t="shared" si="169"/>
        <v/>
      </c>
      <c r="AV282" s="55" t="str">
        <f t="shared" ca="1" si="170"/>
        <v/>
      </c>
      <c r="AW282" s="55" t="str">
        <f t="shared" si="160"/>
        <v/>
      </c>
      <c r="AX282" s="55" t="str">
        <f t="shared" ca="1" si="161"/>
        <v/>
      </c>
      <c r="AY282" s="86"/>
      <c r="AZ282" s="86"/>
      <c r="BA282" s="55" t="str">
        <f t="shared" si="171"/>
        <v/>
      </c>
      <c r="BB282" s="86"/>
      <c r="BC282" s="86"/>
      <c r="BD282" s="55" t="str">
        <f t="shared" si="172"/>
        <v/>
      </c>
      <c r="BE282" s="74"/>
      <c r="BS282" s="118"/>
      <c r="BT282" s="118"/>
      <c r="BU282" s="118"/>
      <c r="BV282" s="118"/>
      <c r="BW282" s="118"/>
      <c r="BX282" s="118"/>
      <c r="BZ282" s="118"/>
      <c r="CB282" s="118"/>
      <c r="CC282" s="118"/>
      <c r="CD282" s="118"/>
    </row>
    <row r="283" spans="1:82" ht="17.399999999999999" customHeight="1" thickBot="1">
      <c r="A283" s="87">
        <f t="shared" si="174"/>
        <v>39.700000000000003</v>
      </c>
      <c r="B283" s="113">
        <f t="shared" si="154"/>
        <v>273</v>
      </c>
      <c r="C283" s="89"/>
      <c r="D283" s="90"/>
      <c r="E283" s="91"/>
      <c r="F283" s="90"/>
      <c r="G283" s="92">
        <f t="shared" si="162"/>
        <v>0</v>
      </c>
      <c r="H283" s="93">
        <f t="shared" si="162"/>
        <v>0</v>
      </c>
      <c r="I283" s="94">
        <f t="shared" si="163"/>
        <v>0</v>
      </c>
      <c r="J283" s="95">
        <f t="shared" si="164"/>
        <v>0</v>
      </c>
      <c r="K283" s="95">
        <f t="shared" si="165"/>
        <v>0</v>
      </c>
      <c r="L283" s="95">
        <f t="shared" si="166"/>
        <v>0</v>
      </c>
      <c r="M283" s="95" t="str">
        <f t="shared" ca="1" si="167"/>
        <v/>
      </c>
      <c r="N283" s="95" t="str">
        <f t="shared" ca="1" si="167"/>
        <v/>
      </c>
      <c r="O283" s="95">
        <f t="shared" si="168"/>
        <v>5.0000000000000001E-4</v>
      </c>
      <c r="P283" s="96"/>
      <c r="Q283" s="89"/>
      <c r="R283" s="96"/>
      <c r="S283" s="78">
        <f t="shared" si="155"/>
        <v>0</v>
      </c>
      <c r="T283" s="55">
        <f t="shared" si="155"/>
        <v>0</v>
      </c>
      <c r="U283" s="97">
        <f t="shared" si="175"/>
        <v>0</v>
      </c>
      <c r="V283" s="98">
        <f t="shared" si="176"/>
        <v>0</v>
      </c>
      <c r="W283" s="99">
        <f t="shared" si="177"/>
        <v>135</v>
      </c>
      <c r="X283" s="100">
        <f t="shared" si="177"/>
        <v>167</v>
      </c>
      <c r="Y283" s="91"/>
      <c r="Z283" s="60"/>
      <c r="AA283" s="75"/>
      <c r="AB283" s="75"/>
      <c r="AC283" s="75"/>
      <c r="AD283" s="75"/>
      <c r="AE283" s="101">
        <f t="shared" si="156"/>
        <v>0</v>
      </c>
      <c r="AF283" s="93">
        <f t="shared" si="157"/>
        <v>0</v>
      </c>
      <c r="AG283" s="94">
        <f t="shared" si="151"/>
        <v>0</v>
      </c>
      <c r="AH283" s="102">
        <f t="shared" si="152"/>
        <v>0</v>
      </c>
      <c r="AI283" s="103">
        <f t="shared" si="152"/>
        <v>0</v>
      </c>
      <c r="AJ283" s="103">
        <f t="shared" si="152"/>
        <v>0</v>
      </c>
      <c r="AK283" s="95">
        <f t="shared" si="152"/>
        <v>0</v>
      </c>
      <c r="AL283" s="102">
        <f t="shared" si="158"/>
        <v>0</v>
      </c>
      <c r="AM283" s="95">
        <f t="shared" si="159"/>
        <v>0</v>
      </c>
      <c r="AN283" s="90"/>
      <c r="AO283" s="104"/>
      <c r="AP283" s="90"/>
      <c r="AQ283" s="105"/>
      <c r="AR283" s="90"/>
      <c r="AS283" s="90"/>
      <c r="AT283" s="90"/>
      <c r="AU283" s="93" t="str">
        <f t="shared" si="169"/>
        <v/>
      </c>
      <c r="AV283" s="93" t="str">
        <f t="shared" ca="1" si="170"/>
        <v/>
      </c>
      <c r="AW283" s="93" t="str">
        <f t="shared" si="160"/>
        <v/>
      </c>
      <c r="AX283" s="93" t="str">
        <f t="shared" ca="1" si="161"/>
        <v/>
      </c>
      <c r="AY283" s="106"/>
      <c r="AZ283" s="106"/>
      <c r="BA283" s="93" t="str">
        <f t="shared" si="171"/>
        <v/>
      </c>
      <c r="BB283" s="106"/>
      <c r="BC283" s="106"/>
      <c r="BD283" s="93" t="str">
        <f t="shared" si="172"/>
        <v/>
      </c>
      <c r="BE283" s="90"/>
      <c r="BS283" s="118"/>
      <c r="BT283" s="118"/>
      <c r="BU283" s="118"/>
      <c r="BV283" s="118"/>
      <c r="BW283" s="118"/>
      <c r="BX283" s="118"/>
      <c r="BZ283" s="118"/>
      <c r="CB283" s="118"/>
      <c r="CC283" s="118"/>
      <c r="CD283" s="118"/>
    </row>
    <row r="284" spans="1:82" ht="17.399999999999999" customHeight="1" thickTop="1">
      <c r="A284" s="107">
        <f>A277+1</f>
        <v>40.1</v>
      </c>
      <c r="B284" s="108">
        <f>B283+1</f>
        <v>274</v>
      </c>
      <c r="C284" s="51"/>
      <c r="D284" s="52"/>
      <c r="E284" s="53"/>
      <c r="F284" s="52"/>
      <c r="G284" s="54">
        <f t="shared" ref="G284:H299" si="178">G283-E284-C284</f>
        <v>0</v>
      </c>
      <c r="H284" s="55">
        <f t="shared" si="178"/>
        <v>0</v>
      </c>
      <c r="I284" s="56">
        <f t="shared" si="163"/>
        <v>0</v>
      </c>
      <c r="J284" s="57">
        <f t="shared" si="164"/>
        <v>0</v>
      </c>
      <c r="K284" s="57">
        <f t="shared" si="165"/>
        <v>0</v>
      </c>
      <c r="L284" s="57">
        <f t="shared" si="166"/>
        <v>0</v>
      </c>
      <c r="M284" s="58" t="str">
        <f t="shared" ca="1" si="167"/>
        <v/>
      </c>
      <c r="N284" s="58" t="str">
        <f t="shared" ca="1" si="167"/>
        <v/>
      </c>
      <c r="O284" s="58">
        <f t="shared" si="168"/>
        <v>5.0000000000000001E-4</v>
      </c>
      <c r="P284" s="77"/>
      <c r="Q284" s="60"/>
      <c r="R284" s="77"/>
      <c r="S284" s="109">
        <f t="shared" si="155"/>
        <v>0</v>
      </c>
      <c r="T284" s="61">
        <f t="shared" si="155"/>
        <v>0</v>
      </c>
      <c r="U284" s="62">
        <f t="shared" si="175"/>
        <v>0</v>
      </c>
      <c r="V284" s="63">
        <f t="shared" si="176"/>
        <v>0</v>
      </c>
      <c r="W284" s="64">
        <v>136</v>
      </c>
      <c r="X284" s="80">
        <f t="shared" si="177"/>
        <v>167</v>
      </c>
      <c r="Y284" s="53"/>
      <c r="Z284" s="51"/>
      <c r="AA284" s="53"/>
      <c r="AB284" s="53"/>
      <c r="AC284" s="53"/>
      <c r="AD284" s="53"/>
      <c r="AE284" s="66">
        <f t="shared" si="156"/>
        <v>0</v>
      </c>
      <c r="AF284" s="61">
        <f t="shared" si="157"/>
        <v>0</v>
      </c>
      <c r="AG284" s="56">
        <f t="shared" si="151"/>
        <v>0</v>
      </c>
      <c r="AH284" s="67">
        <f t="shared" si="152"/>
        <v>0</v>
      </c>
      <c r="AI284" s="68">
        <f t="shared" si="152"/>
        <v>0</v>
      </c>
      <c r="AJ284" s="68">
        <f t="shared" si="152"/>
        <v>0</v>
      </c>
      <c r="AK284" s="57">
        <f t="shared" si="152"/>
        <v>0</v>
      </c>
      <c r="AL284" s="67">
        <f t="shared" si="158"/>
        <v>0</v>
      </c>
      <c r="AM284" s="57">
        <f t="shared" si="159"/>
        <v>0</v>
      </c>
      <c r="AN284" s="52"/>
      <c r="AO284" s="69"/>
      <c r="AP284" s="52"/>
      <c r="AQ284" s="70"/>
      <c r="AR284" s="52"/>
      <c r="AS284" s="52"/>
      <c r="AT284" s="52"/>
      <c r="AU284" s="61" t="str">
        <f t="shared" si="169"/>
        <v/>
      </c>
      <c r="AV284" s="61" t="str">
        <f t="shared" ca="1" si="170"/>
        <v/>
      </c>
      <c r="AW284" s="61" t="str">
        <f t="shared" si="160"/>
        <v/>
      </c>
      <c r="AX284" s="61" t="str">
        <f t="shared" ca="1" si="161"/>
        <v/>
      </c>
      <c r="AY284" s="71"/>
      <c r="AZ284" s="71"/>
      <c r="BA284" s="61" t="str">
        <f t="shared" si="171"/>
        <v/>
      </c>
      <c r="BB284" s="71"/>
      <c r="BC284" s="71"/>
      <c r="BD284" s="61" t="str">
        <f t="shared" si="172"/>
        <v/>
      </c>
      <c r="BE284" s="52"/>
      <c r="BS284" s="118"/>
      <c r="BT284" s="118"/>
      <c r="BU284" s="118"/>
      <c r="BV284" s="118"/>
      <c r="BW284" s="118"/>
      <c r="BX284" s="118"/>
      <c r="BZ284" s="118"/>
      <c r="CB284" s="118"/>
      <c r="CC284" s="118"/>
      <c r="CD284" s="118"/>
    </row>
    <row r="285" spans="1:82" ht="17.399999999999999" customHeight="1">
      <c r="A285" s="87">
        <f t="shared" si="174"/>
        <v>40.200000000000003</v>
      </c>
      <c r="B285" s="111">
        <f t="shared" si="154"/>
        <v>275</v>
      </c>
      <c r="C285" s="60"/>
      <c r="D285" s="74"/>
      <c r="E285" s="75"/>
      <c r="F285" s="74"/>
      <c r="G285" s="54">
        <f t="shared" si="178"/>
        <v>0</v>
      </c>
      <c r="H285" s="55">
        <f t="shared" si="178"/>
        <v>0</v>
      </c>
      <c r="I285" s="76">
        <f t="shared" si="163"/>
        <v>0</v>
      </c>
      <c r="J285" s="58">
        <f t="shared" si="164"/>
        <v>0</v>
      </c>
      <c r="K285" s="58">
        <f t="shared" si="165"/>
        <v>0</v>
      </c>
      <c r="L285" s="58">
        <f t="shared" si="166"/>
        <v>0</v>
      </c>
      <c r="M285" s="58" t="str">
        <f t="shared" ca="1" si="167"/>
        <v/>
      </c>
      <c r="N285" s="58" t="str">
        <f t="shared" ca="1" si="167"/>
        <v/>
      </c>
      <c r="O285" s="58">
        <f t="shared" si="168"/>
        <v>5.0000000000000001E-4</v>
      </c>
      <c r="P285" s="77"/>
      <c r="Q285" s="60"/>
      <c r="R285" s="77"/>
      <c r="S285" s="78">
        <f t="shared" si="155"/>
        <v>0</v>
      </c>
      <c r="T285" s="55">
        <f t="shared" si="155"/>
        <v>0</v>
      </c>
      <c r="U285" s="79">
        <f t="shared" si="175"/>
        <v>0</v>
      </c>
      <c r="V285" s="63">
        <f t="shared" si="176"/>
        <v>0</v>
      </c>
      <c r="W285" s="64">
        <f t="shared" ref="W285:W290" si="179">W284</f>
        <v>136</v>
      </c>
      <c r="X285" s="80">
        <f t="shared" si="177"/>
        <v>167</v>
      </c>
      <c r="Y285" s="75"/>
      <c r="Z285" s="60"/>
      <c r="AA285" s="75"/>
      <c r="AB285" s="75"/>
      <c r="AC285" s="75"/>
      <c r="AD285" s="75"/>
      <c r="AE285" s="81">
        <f t="shared" si="156"/>
        <v>0</v>
      </c>
      <c r="AF285" s="55">
        <f t="shared" si="157"/>
        <v>0</v>
      </c>
      <c r="AG285" s="76">
        <f t="shared" si="151"/>
        <v>0</v>
      </c>
      <c r="AH285" s="82">
        <f t="shared" si="152"/>
        <v>0</v>
      </c>
      <c r="AI285" s="83">
        <f t="shared" si="152"/>
        <v>0</v>
      </c>
      <c r="AJ285" s="83">
        <f t="shared" si="152"/>
        <v>0</v>
      </c>
      <c r="AK285" s="58">
        <f t="shared" si="152"/>
        <v>0</v>
      </c>
      <c r="AL285" s="82">
        <f t="shared" si="158"/>
        <v>0</v>
      </c>
      <c r="AM285" s="58">
        <f t="shared" si="159"/>
        <v>0</v>
      </c>
      <c r="AN285" s="74"/>
      <c r="AO285" s="84"/>
      <c r="AP285" s="74"/>
      <c r="AQ285" s="85"/>
      <c r="AR285" s="74"/>
      <c r="AS285" s="74"/>
      <c r="AT285" s="74"/>
      <c r="AU285" s="55" t="str">
        <f t="shared" si="169"/>
        <v/>
      </c>
      <c r="AV285" s="55" t="str">
        <f t="shared" ca="1" si="170"/>
        <v/>
      </c>
      <c r="AW285" s="55" t="str">
        <f t="shared" si="160"/>
        <v/>
      </c>
      <c r="AX285" s="55" t="str">
        <f t="shared" ca="1" si="161"/>
        <v/>
      </c>
      <c r="AY285" s="86"/>
      <c r="AZ285" s="86"/>
      <c r="BA285" s="55" t="str">
        <f t="shared" si="171"/>
        <v/>
      </c>
      <c r="BB285" s="86"/>
      <c r="BC285" s="86"/>
      <c r="BD285" s="55" t="str">
        <f t="shared" si="172"/>
        <v/>
      </c>
      <c r="BE285" s="74"/>
      <c r="BS285" s="118"/>
      <c r="BT285" s="118"/>
      <c r="BU285" s="118"/>
      <c r="BV285" s="118"/>
      <c r="BW285" s="118"/>
      <c r="BX285" s="118"/>
      <c r="BZ285" s="118"/>
      <c r="CB285" s="118"/>
      <c r="CC285" s="118"/>
      <c r="CD285" s="118"/>
    </row>
    <row r="286" spans="1:82" ht="17.399999999999999" customHeight="1">
      <c r="A286" s="72">
        <f t="shared" si="174"/>
        <v>40.299999999999997</v>
      </c>
      <c r="B286" s="111">
        <f t="shared" si="154"/>
        <v>276</v>
      </c>
      <c r="C286" s="60"/>
      <c r="D286" s="74"/>
      <c r="E286" s="75"/>
      <c r="F286" s="74"/>
      <c r="G286" s="54">
        <f t="shared" si="178"/>
        <v>0</v>
      </c>
      <c r="H286" s="55">
        <f t="shared" si="178"/>
        <v>0</v>
      </c>
      <c r="I286" s="76">
        <f t="shared" si="163"/>
        <v>0</v>
      </c>
      <c r="J286" s="58">
        <f t="shared" si="164"/>
        <v>0</v>
      </c>
      <c r="K286" s="58">
        <f t="shared" si="165"/>
        <v>0</v>
      </c>
      <c r="L286" s="58">
        <f t="shared" si="166"/>
        <v>0</v>
      </c>
      <c r="M286" s="58" t="str">
        <f t="shared" ca="1" si="167"/>
        <v/>
      </c>
      <c r="N286" s="58" t="str">
        <f t="shared" ca="1" si="167"/>
        <v/>
      </c>
      <c r="O286" s="58">
        <f t="shared" si="168"/>
        <v>5.0000000000000001E-4</v>
      </c>
      <c r="P286" s="77"/>
      <c r="Q286" s="60"/>
      <c r="R286" s="77"/>
      <c r="S286" s="78">
        <f t="shared" si="155"/>
        <v>0</v>
      </c>
      <c r="T286" s="55">
        <f t="shared" si="155"/>
        <v>0</v>
      </c>
      <c r="U286" s="79">
        <f t="shared" si="175"/>
        <v>0</v>
      </c>
      <c r="V286" s="63">
        <f t="shared" si="176"/>
        <v>0</v>
      </c>
      <c r="W286" s="64">
        <f t="shared" si="179"/>
        <v>136</v>
      </c>
      <c r="X286" s="80">
        <f t="shared" si="177"/>
        <v>167</v>
      </c>
      <c r="Y286" s="75"/>
      <c r="Z286" s="60"/>
      <c r="AA286" s="75"/>
      <c r="AB286" s="75"/>
      <c r="AC286" s="75"/>
      <c r="AD286" s="75"/>
      <c r="AE286" s="81">
        <f t="shared" si="156"/>
        <v>0</v>
      </c>
      <c r="AF286" s="55">
        <f t="shared" si="157"/>
        <v>0</v>
      </c>
      <c r="AG286" s="76">
        <f t="shared" si="151"/>
        <v>0</v>
      </c>
      <c r="AH286" s="82">
        <f t="shared" si="152"/>
        <v>0</v>
      </c>
      <c r="AI286" s="83">
        <f t="shared" si="152"/>
        <v>0</v>
      </c>
      <c r="AJ286" s="83">
        <f t="shared" si="152"/>
        <v>0</v>
      </c>
      <c r="AK286" s="58">
        <f t="shared" si="152"/>
        <v>0</v>
      </c>
      <c r="AL286" s="82">
        <f t="shared" si="158"/>
        <v>0</v>
      </c>
      <c r="AM286" s="58">
        <f t="shared" si="159"/>
        <v>0</v>
      </c>
      <c r="AN286" s="74"/>
      <c r="AO286" s="84"/>
      <c r="AP286" s="74"/>
      <c r="AQ286" s="85"/>
      <c r="AR286" s="74"/>
      <c r="AS286" s="74"/>
      <c r="AT286" s="74"/>
      <c r="AU286" s="55" t="str">
        <f t="shared" si="169"/>
        <v/>
      </c>
      <c r="AV286" s="55" t="str">
        <f t="shared" ca="1" si="170"/>
        <v/>
      </c>
      <c r="AW286" s="55" t="str">
        <f t="shared" si="160"/>
        <v/>
      </c>
      <c r="AX286" s="55" t="str">
        <f t="shared" ca="1" si="161"/>
        <v/>
      </c>
      <c r="AY286" s="86"/>
      <c r="AZ286" s="86"/>
      <c r="BA286" s="55" t="str">
        <f t="shared" si="171"/>
        <v/>
      </c>
      <c r="BB286" s="86"/>
      <c r="BC286" s="86"/>
      <c r="BD286" s="55" t="str">
        <f t="shared" si="172"/>
        <v/>
      </c>
      <c r="BE286" s="74"/>
      <c r="BS286" s="118"/>
      <c r="BT286" s="118"/>
      <c r="BU286" s="118"/>
      <c r="BV286" s="118"/>
      <c r="BW286" s="118"/>
      <c r="BX286" s="118"/>
      <c r="BZ286" s="118"/>
      <c r="CB286" s="118"/>
      <c r="CC286" s="118"/>
      <c r="CD286" s="118"/>
    </row>
    <row r="287" spans="1:82" ht="17.399999999999999" customHeight="1">
      <c r="A287" s="87">
        <f t="shared" si="174"/>
        <v>40.4</v>
      </c>
      <c r="B287" s="111">
        <f t="shared" si="154"/>
        <v>277</v>
      </c>
      <c r="C287" s="60"/>
      <c r="D287" s="74"/>
      <c r="E287" s="75"/>
      <c r="F287" s="74"/>
      <c r="G287" s="54">
        <f t="shared" si="178"/>
        <v>0</v>
      </c>
      <c r="H287" s="55">
        <f t="shared" si="178"/>
        <v>0</v>
      </c>
      <c r="I287" s="76">
        <f t="shared" si="163"/>
        <v>0</v>
      </c>
      <c r="J287" s="58">
        <f t="shared" si="164"/>
        <v>0</v>
      </c>
      <c r="K287" s="58">
        <f t="shared" si="165"/>
        <v>0</v>
      </c>
      <c r="L287" s="58">
        <f t="shared" si="166"/>
        <v>0</v>
      </c>
      <c r="M287" s="58" t="str">
        <f t="shared" ca="1" si="167"/>
        <v/>
      </c>
      <c r="N287" s="58" t="str">
        <f t="shared" ca="1" si="167"/>
        <v/>
      </c>
      <c r="O287" s="58">
        <f t="shared" si="168"/>
        <v>5.0000000000000001E-4</v>
      </c>
      <c r="P287" s="77"/>
      <c r="Q287" s="60"/>
      <c r="R287" s="77"/>
      <c r="S287" s="78">
        <f t="shared" si="155"/>
        <v>0</v>
      </c>
      <c r="T287" s="55">
        <f t="shared" si="155"/>
        <v>0</v>
      </c>
      <c r="U287" s="79">
        <f t="shared" si="175"/>
        <v>0</v>
      </c>
      <c r="V287" s="63">
        <f t="shared" si="176"/>
        <v>0</v>
      </c>
      <c r="W287" s="64">
        <f t="shared" si="179"/>
        <v>136</v>
      </c>
      <c r="X287" s="80">
        <f t="shared" si="177"/>
        <v>167</v>
      </c>
      <c r="Y287" s="75"/>
      <c r="Z287" s="60"/>
      <c r="AA287" s="75"/>
      <c r="AB287" s="75"/>
      <c r="AC287" s="75"/>
      <c r="AD287" s="75"/>
      <c r="AE287" s="81">
        <f t="shared" si="156"/>
        <v>0</v>
      </c>
      <c r="AF287" s="55">
        <f t="shared" si="157"/>
        <v>0</v>
      </c>
      <c r="AG287" s="76">
        <f t="shared" si="151"/>
        <v>0</v>
      </c>
      <c r="AH287" s="82">
        <f t="shared" si="152"/>
        <v>0</v>
      </c>
      <c r="AI287" s="83">
        <f t="shared" si="152"/>
        <v>0</v>
      </c>
      <c r="AJ287" s="83">
        <f t="shared" si="152"/>
        <v>0</v>
      </c>
      <c r="AK287" s="58">
        <f t="shared" si="152"/>
        <v>0</v>
      </c>
      <c r="AL287" s="82">
        <f t="shared" si="158"/>
        <v>0</v>
      </c>
      <c r="AM287" s="58">
        <f t="shared" si="159"/>
        <v>0</v>
      </c>
      <c r="AN287" s="74"/>
      <c r="AO287" s="84"/>
      <c r="AP287" s="74"/>
      <c r="AQ287" s="85"/>
      <c r="AR287" s="74"/>
      <c r="AS287" s="74"/>
      <c r="AT287" s="74"/>
      <c r="AU287" s="55" t="str">
        <f t="shared" si="169"/>
        <v/>
      </c>
      <c r="AV287" s="55" t="str">
        <f t="shared" ca="1" si="170"/>
        <v/>
      </c>
      <c r="AW287" s="55" t="str">
        <f t="shared" si="160"/>
        <v/>
      </c>
      <c r="AX287" s="55" t="str">
        <f t="shared" ca="1" si="161"/>
        <v/>
      </c>
      <c r="AY287" s="86"/>
      <c r="AZ287" s="86"/>
      <c r="BA287" s="55" t="str">
        <f t="shared" si="171"/>
        <v/>
      </c>
      <c r="BB287" s="86"/>
      <c r="BC287" s="86"/>
      <c r="BD287" s="55" t="str">
        <f t="shared" si="172"/>
        <v/>
      </c>
      <c r="BE287" s="74"/>
      <c r="BS287" s="118"/>
      <c r="BT287" s="118"/>
      <c r="BU287" s="118"/>
      <c r="BV287" s="118"/>
      <c r="BW287" s="118"/>
      <c r="BX287" s="118"/>
      <c r="BZ287" s="118"/>
      <c r="CB287" s="118"/>
      <c r="CC287" s="118"/>
      <c r="CD287" s="118"/>
    </row>
    <row r="288" spans="1:82" ht="17.399999999999999" customHeight="1">
      <c r="A288" s="72">
        <f t="shared" si="174"/>
        <v>40.5</v>
      </c>
      <c r="B288" s="111">
        <f t="shared" si="154"/>
        <v>278</v>
      </c>
      <c r="C288" s="60"/>
      <c r="D288" s="74"/>
      <c r="E288" s="75"/>
      <c r="F288" s="74"/>
      <c r="G288" s="54">
        <f t="shared" si="178"/>
        <v>0</v>
      </c>
      <c r="H288" s="55">
        <f t="shared" si="178"/>
        <v>0</v>
      </c>
      <c r="I288" s="76">
        <f t="shared" si="163"/>
        <v>0</v>
      </c>
      <c r="J288" s="58">
        <f t="shared" si="164"/>
        <v>0</v>
      </c>
      <c r="K288" s="58">
        <f t="shared" si="165"/>
        <v>0</v>
      </c>
      <c r="L288" s="58">
        <f t="shared" si="166"/>
        <v>0</v>
      </c>
      <c r="M288" s="58" t="str">
        <f t="shared" ca="1" si="167"/>
        <v/>
      </c>
      <c r="N288" s="58" t="str">
        <f t="shared" ca="1" si="167"/>
        <v/>
      </c>
      <c r="O288" s="58">
        <f t="shared" si="168"/>
        <v>5.0000000000000001E-4</v>
      </c>
      <c r="P288" s="77"/>
      <c r="Q288" s="60"/>
      <c r="R288" s="77"/>
      <c r="S288" s="78">
        <f t="shared" si="155"/>
        <v>0</v>
      </c>
      <c r="T288" s="55">
        <f t="shared" si="155"/>
        <v>0</v>
      </c>
      <c r="U288" s="79">
        <f t="shared" si="175"/>
        <v>0</v>
      </c>
      <c r="V288" s="63">
        <f t="shared" si="176"/>
        <v>0</v>
      </c>
      <c r="W288" s="64">
        <f t="shared" si="179"/>
        <v>136</v>
      </c>
      <c r="X288" s="80">
        <f t="shared" si="177"/>
        <v>167</v>
      </c>
      <c r="Y288" s="75"/>
      <c r="Z288" s="60"/>
      <c r="AA288" s="75"/>
      <c r="AB288" s="75"/>
      <c r="AC288" s="75"/>
      <c r="AD288" s="75"/>
      <c r="AE288" s="81">
        <f t="shared" si="156"/>
        <v>0</v>
      </c>
      <c r="AF288" s="55">
        <f t="shared" si="157"/>
        <v>0</v>
      </c>
      <c r="AG288" s="76">
        <f t="shared" si="151"/>
        <v>0</v>
      </c>
      <c r="AH288" s="82">
        <f t="shared" si="152"/>
        <v>0</v>
      </c>
      <c r="AI288" s="83">
        <f t="shared" si="152"/>
        <v>0</v>
      </c>
      <c r="AJ288" s="83">
        <f t="shared" si="152"/>
        <v>0</v>
      </c>
      <c r="AK288" s="58">
        <f t="shared" si="152"/>
        <v>0</v>
      </c>
      <c r="AL288" s="82">
        <f t="shared" si="158"/>
        <v>0</v>
      </c>
      <c r="AM288" s="58">
        <f t="shared" si="159"/>
        <v>0</v>
      </c>
      <c r="AN288" s="74"/>
      <c r="AO288" s="84"/>
      <c r="AP288" s="74"/>
      <c r="AQ288" s="85"/>
      <c r="AR288" s="74"/>
      <c r="AS288" s="74"/>
      <c r="AT288" s="74"/>
      <c r="AU288" s="55" t="str">
        <f t="shared" si="169"/>
        <v/>
      </c>
      <c r="AV288" s="55" t="str">
        <f t="shared" ca="1" si="170"/>
        <v/>
      </c>
      <c r="AW288" s="55" t="str">
        <f t="shared" si="160"/>
        <v/>
      </c>
      <c r="AX288" s="55" t="str">
        <f t="shared" ca="1" si="161"/>
        <v/>
      </c>
      <c r="AY288" s="86"/>
      <c r="AZ288" s="86"/>
      <c r="BA288" s="55" t="str">
        <f t="shared" si="171"/>
        <v/>
      </c>
      <c r="BB288" s="86"/>
      <c r="BC288" s="86"/>
      <c r="BD288" s="55" t="str">
        <f t="shared" si="172"/>
        <v/>
      </c>
      <c r="BE288" s="74"/>
      <c r="BS288" s="118"/>
      <c r="BT288" s="118"/>
      <c r="BU288" s="118"/>
      <c r="BV288" s="118"/>
      <c r="BW288" s="118"/>
      <c r="BX288" s="118"/>
      <c r="BZ288" s="118"/>
      <c r="CB288" s="118"/>
      <c r="CC288" s="118"/>
      <c r="CD288" s="118"/>
    </row>
    <row r="289" spans="1:82" ht="17.399999999999999" customHeight="1">
      <c r="A289" s="87">
        <f t="shared" si="174"/>
        <v>40.6</v>
      </c>
      <c r="B289" s="111">
        <f t="shared" si="154"/>
        <v>279</v>
      </c>
      <c r="C289" s="60"/>
      <c r="D289" s="74"/>
      <c r="E289" s="75"/>
      <c r="F289" s="74"/>
      <c r="G289" s="54">
        <f t="shared" si="178"/>
        <v>0</v>
      </c>
      <c r="H289" s="55">
        <f t="shared" si="178"/>
        <v>0</v>
      </c>
      <c r="I289" s="76">
        <f t="shared" si="163"/>
        <v>0</v>
      </c>
      <c r="J289" s="58">
        <f t="shared" si="164"/>
        <v>0</v>
      </c>
      <c r="K289" s="58">
        <f t="shared" si="165"/>
        <v>0</v>
      </c>
      <c r="L289" s="58">
        <f t="shared" si="166"/>
        <v>0</v>
      </c>
      <c r="M289" s="58" t="str">
        <f t="shared" ca="1" si="167"/>
        <v/>
      </c>
      <c r="N289" s="58" t="str">
        <f t="shared" ca="1" si="167"/>
        <v/>
      </c>
      <c r="O289" s="58">
        <f t="shared" si="168"/>
        <v>5.0000000000000001E-4</v>
      </c>
      <c r="P289" s="77"/>
      <c r="Q289" s="60"/>
      <c r="R289" s="77"/>
      <c r="S289" s="78">
        <f t="shared" si="155"/>
        <v>0</v>
      </c>
      <c r="T289" s="55">
        <f t="shared" si="155"/>
        <v>0</v>
      </c>
      <c r="U289" s="79">
        <f t="shared" si="175"/>
        <v>0</v>
      </c>
      <c r="V289" s="63">
        <f t="shared" si="176"/>
        <v>0</v>
      </c>
      <c r="W289" s="64">
        <f t="shared" si="179"/>
        <v>136</v>
      </c>
      <c r="X289" s="80">
        <f t="shared" si="177"/>
        <v>167</v>
      </c>
      <c r="Y289" s="75"/>
      <c r="Z289" s="60"/>
      <c r="AA289" s="75"/>
      <c r="AB289" s="75"/>
      <c r="AC289" s="75"/>
      <c r="AD289" s="75"/>
      <c r="AE289" s="81">
        <f t="shared" si="156"/>
        <v>0</v>
      </c>
      <c r="AF289" s="55">
        <f t="shared" si="157"/>
        <v>0</v>
      </c>
      <c r="AG289" s="76">
        <f t="shared" si="151"/>
        <v>0</v>
      </c>
      <c r="AH289" s="82">
        <f t="shared" si="152"/>
        <v>0</v>
      </c>
      <c r="AI289" s="83">
        <f t="shared" si="152"/>
        <v>0</v>
      </c>
      <c r="AJ289" s="83">
        <f t="shared" si="152"/>
        <v>0</v>
      </c>
      <c r="AK289" s="58">
        <f t="shared" si="152"/>
        <v>0</v>
      </c>
      <c r="AL289" s="82">
        <f t="shared" si="158"/>
        <v>0</v>
      </c>
      <c r="AM289" s="58">
        <f t="shared" si="159"/>
        <v>0</v>
      </c>
      <c r="AN289" s="74"/>
      <c r="AO289" s="84"/>
      <c r="AP289" s="74"/>
      <c r="AQ289" s="85"/>
      <c r="AR289" s="74"/>
      <c r="AS289" s="74"/>
      <c r="AT289" s="74"/>
      <c r="AU289" s="55" t="str">
        <f t="shared" si="169"/>
        <v/>
      </c>
      <c r="AV289" s="55" t="str">
        <f t="shared" ca="1" si="170"/>
        <v/>
      </c>
      <c r="AW289" s="55" t="str">
        <f t="shared" si="160"/>
        <v/>
      </c>
      <c r="AX289" s="55" t="str">
        <f t="shared" ca="1" si="161"/>
        <v/>
      </c>
      <c r="AY289" s="86"/>
      <c r="AZ289" s="86"/>
      <c r="BA289" s="55" t="str">
        <f t="shared" si="171"/>
        <v/>
      </c>
      <c r="BB289" s="86"/>
      <c r="BC289" s="86"/>
      <c r="BD289" s="55" t="str">
        <f t="shared" si="172"/>
        <v/>
      </c>
      <c r="BE289" s="74"/>
      <c r="BS289" s="118"/>
      <c r="BT289" s="118"/>
      <c r="BU289" s="118"/>
      <c r="BV289" s="118"/>
      <c r="BW289" s="118"/>
      <c r="BX289" s="118"/>
      <c r="BZ289" s="118"/>
      <c r="CB289" s="118"/>
      <c r="CC289" s="118"/>
      <c r="CD289" s="118"/>
    </row>
    <row r="290" spans="1:82" ht="17.399999999999999" customHeight="1" thickBot="1">
      <c r="A290" s="72">
        <f t="shared" si="174"/>
        <v>40.700000000000003</v>
      </c>
      <c r="B290" s="113">
        <f t="shared" si="154"/>
        <v>280</v>
      </c>
      <c r="C290" s="89"/>
      <c r="D290" s="90"/>
      <c r="E290" s="91"/>
      <c r="F290" s="90"/>
      <c r="G290" s="92">
        <f t="shared" si="178"/>
        <v>0</v>
      </c>
      <c r="H290" s="93">
        <f t="shared" si="178"/>
        <v>0</v>
      </c>
      <c r="I290" s="94">
        <f t="shared" si="163"/>
        <v>0</v>
      </c>
      <c r="J290" s="95">
        <f t="shared" si="164"/>
        <v>0</v>
      </c>
      <c r="K290" s="95">
        <f t="shared" si="165"/>
        <v>0</v>
      </c>
      <c r="L290" s="95">
        <f t="shared" si="166"/>
        <v>0</v>
      </c>
      <c r="M290" s="95" t="str">
        <f t="shared" ca="1" si="167"/>
        <v/>
      </c>
      <c r="N290" s="95" t="str">
        <f t="shared" ca="1" si="167"/>
        <v/>
      </c>
      <c r="O290" s="95">
        <f t="shared" si="168"/>
        <v>5.0000000000000001E-4</v>
      </c>
      <c r="P290" s="96"/>
      <c r="Q290" s="89"/>
      <c r="R290" s="96"/>
      <c r="S290" s="78">
        <f t="shared" si="155"/>
        <v>0</v>
      </c>
      <c r="T290" s="55">
        <f t="shared" si="155"/>
        <v>0</v>
      </c>
      <c r="U290" s="97">
        <f t="shared" si="175"/>
        <v>0</v>
      </c>
      <c r="V290" s="98">
        <f t="shared" si="176"/>
        <v>0</v>
      </c>
      <c r="W290" s="99">
        <f t="shared" si="179"/>
        <v>136</v>
      </c>
      <c r="X290" s="100">
        <f t="shared" si="177"/>
        <v>167</v>
      </c>
      <c r="Y290" s="91"/>
      <c r="Z290" s="60"/>
      <c r="AA290" s="75"/>
      <c r="AB290" s="75"/>
      <c r="AC290" s="75"/>
      <c r="AD290" s="75"/>
      <c r="AE290" s="101">
        <f t="shared" si="156"/>
        <v>0</v>
      </c>
      <c r="AF290" s="93">
        <f t="shared" si="157"/>
        <v>0</v>
      </c>
      <c r="AG290" s="94">
        <f t="shared" si="151"/>
        <v>0</v>
      </c>
      <c r="AH290" s="102">
        <f t="shared" si="152"/>
        <v>0</v>
      </c>
      <c r="AI290" s="103">
        <f t="shared" si="152"/>
        <v>0</v>
      </c>
      <c r="AJ290" s="103">
        <f t="shared" si="152"/>
        <v>0</v>
      </c>
      <c r="AK290" s="95">
        <f t="shared" si="152"/>
        <v>0</v>
      </c>
      <c r="AL290" s="102">
        <f t="shared" si="158"/>
        <v>0</v>
      </c>
      <c r="AM290" s="95">
        <f t="shared" si="159"/>
        <v>0</v>
      </c>
      <c r="AN290" s="90"/>
      <c r="AO290" s="104"/>
      <c r="AP290" s="90"/>
      <c r="AQ290" s="105"/>
      <c r="AR290" s="90"/>
      <c r="AS290" s="90"/>
      <c r="AT290" s="90"/>
      <c r="AU290" s="93" t="str">
        <f t="shared" si="169"/>
        <v/>
      </c>
      <c r="AV290" s="93" t="str">
        <f t="shared" ca="1" si="170"/>
        <v/>
      </c>
      <c r="AW290" s="93" t="str">
        <f t="shared" si="160"/>
        <v/>
      </c>
      <c r="AX290" s="93" t="str">
        <f t="shared" ca="1" si="161"/>
        <v/>
      </c>
      <c r="AY290" s="106"/>
      <c r="AZ290" s="106"/>
      <c r="BA290" s="93" t="str">
        <f t="shared" si="171"/>
        <v/>
      </c>
      <c r="BB290" s="106"/>
      <c r="BC290" s="106"/>
      <c r="BD290" s="93" t="str">
        <f t="shared" si="172"/>
        <v/>
      </c>
      <c r="BE290" s="90"/>
      <c r="BS290" s="118"/>
      <c r="BT290" s="118"/>
      <c r="BU290" s="118"/>
      <c r="BV290" s="118"/>
      <c r="BW290" s="118"/>
      <c r="BX290" s="118"/>
      <c r="BZ290" s="118"/>
      <c r="CB290" s="118"/>
      <c r="CC290" s="118"/>
      <c r="CD290" s="118"/>
    </row>
    <row r="291" spans="1:82" ht="17.399999999999999" customHeight="1" thickTop="1">
      <c r="A291" s="49">
        <f>A284+1</f>
        <v>41.1</v>
      </c>
      <c r="B291" s="108">
        <f>B290+1</f>
        <v>281</v>
      </c>
      <c r="C291" s="51"/>
      <c r="D291" s="52"/>
      <c r="E291" s="53"/>
      <c r="F291" s="52"/>
      <c r="G291" s="54">
        <f t="shared" si="178"/>
        <v>0</v>
      </c>
      <c r="H291" s="55">
        <f t="shared" si="178"/>
        <v>0</v>
      </c>
      <c r="I291" s="56">
        <f t="shared" si="163"/>
        <v>0</v>
      </c>
      <c r="J291" s="57">
        <f t="shared" si="164"/>
        <v>0</v>
      </c>
      <c r="K291" s="57">
        <f t="shared" si="165"/>
        <v>0</v>
      </c>
      <c r="L291" s="57">
        <f t="shared" si="166"/>
        <v>0</v>
      </c>
      <c r="M291" s="58" t="str">
        <f t="shared" ca="1" si="167"/>
        <v/>
      </c>
      <c r="N291" s="58" t="str">
        <f t="shared" ca="1" si="167"/>
        <v/>
      </c>
      <c r="O291" s="58">
        <f t="shared" si="168"/>
        <v>5.0000000000000001E-4</v>
      </c>
      <c r="P291" s="77"/>
      <c r="Q291" s="60"/>
      <c r="R291" s="77"/>
      <c r="S291" s="109">
        <f t="shared" si="155"/>
        <v>0</v>
      </c>
      <c r="T291" s="61">
        <f t="shared" si="155"/>
        <v>0</v>
      </c>
      <c r="U291" s="62">
        <f t="shared" si="175"/>
        <v>0</v>
      </c>
      <c r="V291" s="63">
        <f t="shared" si="176"/>
        <v>0</v>
      </c>
      <c r="W291" s="64">
        <v>136</v>
      </c>
      <c r="X291" s="80">
        <v>166</v>
      </c>
      <c r="Y291" s="53"/>
      <c r="Z291" s="51"/>
      <c r="AA291" s="53"/>
      <c r="AB291" s="53"/>
      <c r="AC291" s="53"/>
      <c r="AD291" s="53"/>
      <c r="AE291" s="66">
        <f t="shared" si="156"/>
        <v>0</v>
      </c>
      <c r="AF291" s="61">
        <f t="shared" si="157"/>
        <v>0</v>
      </c>
      <c r="AG291" s="56">
        <f t="shared" si="151"/>
        <v>0</v>
      </c>
      <c r="AH291" s="67">
        <f t="shared" si="152"/>
        <v>0</v>
      </c>
      <c r="AI291" s="68">
        <f t="shared" si="152"/>
        <v>0</v>
      </c>
      <c r="AJ291" s="68">
        <f t="shared" si="152"/>
        <v>0</v>
      </c>
      <c r="AK291" s="57">
        <f t="shared" si="152"/>
        <v>0</v>
      </c>
      <c r="AL291" s="67">
        <f t="shared" si="158"/>
        <v>0</v>
      </c>
      <c r="AM291" s="57">
        <f t="shared" si="159"/>
        <v>0</v>
      </c>
      <c r="AN291" s="52"/>
      <c r="AO291" s="69"/>
      <c r="AP291" s="52"/>
      <c r="AQ291" s="70"/>
      <c r="AR291" s="52"/>
      <c r="AS291" s="52"/>
      <c r="AT291" s="52"/>
      <c r="AU291" s="61" t="str">
        <f t="shared" si="169"/>
        <v/>
      </c>
      <c r="AV291" s="61" t="str">
        <f t="shared" ca="1" si="170"/>
        <v/>
      </c>
      <c r="AW291" s="61" t="str">
        <f t="shared" si="160"/>
        <v/>
      </c>
      <c r="AX291" s="61" t="str">
        <f t="shared" ca="1" si="161"/>
        <v/>
      </c>
      <c r="AY291" s="71"/>
      <c r="AZ291" s="71"/>
      <c r="BA291" s="61" t="str">
        <f t="shared" si="171"/>
        <v/>
      </c>
      <c r="BB291" s="71"/>
      <c r="BC291" s="71"/>
      <c r="BD291" s="61" t="str">
        <f t="shared" si="172"/>
        <v/>
      </c>
      <c r="BE291" s="52"/>
      <c r="BS291" s="118"/>
      <c r="BT291" s="118"/>
      <c r="BU291" s="118"/>
      <c r="BV291" s="118"/>
      <c r="BW291" s="118"/>
      <c r="BX291" s="118"/>
      <c r="BZ291" s="118"/>
      <c r="CB291" s="118"/>
      <c r="CC291" s="118"/>
      <c r="CD291" s="118"/>
    </row>
    <row r="292" spans="1:82" ht="17.399999999999999" customHeight="1">
      <c r="A292" s="72">
        <f t="shared" si="174"/>
        <v>41.2</v>
      </c>
      <c r="B292" s="111">
        <f t="shared" si="154"/>
        <v>282</v>
      </c>
      <c r="C292" s="60"/>
      <c r="D292" s="74"/>
      <c r="E292" s="75"/>
      <c r="F292" s="74"/>
      <c r="G292" s="54">
        <f t="shared" si="178"/>
        <v>0</v>
      </c>
      <c r="H292" s="55">
        <f t="shared" si="178"/>
        <v>0</v>
      </c>
      <c r="I292" s="76">
        <f t="shared" si="163"/>
        <v>0</v>
      </c>
      <c r="J292" s="58">
        <f t="shared" si="164"/>
        <v>0</v>
      </c>
      <c r="K292" s="58">
        <f t="shared" si="165"/>
        <v>0</v>
      </c>
      <c r="L292" s="58">
        <f t="shared" si="166"/>
        <v>0</v>
      </c>
      <c r="M292" s="58" t="str">
        <f t="shared" ca="1" si="167"/>
        <v/>
      </c>
      <c r="N292" s="58" t="str">
        <f t="shared" ca="1" si="167"/>
        <v/>
      </c>
      <c r="O292" s="58">
        <f t="shared" si="168"/>
        <v>5.0000000000000001E-4</v>
      </c>
      <c r="P292" s="77"/>
      <c r="Q292" s="60"/>
      <c r="R292" s="77"/>
      <c r="S292" s="78">
        <f t="shared" si="155"/>
        <v>0</v>
      </c>
      <c r="T292" s="55">
        <f t="shared" si="155"/>
        <v>0</v>
      </c>
      <c r="U292" s="79">
        <f t="shared" si="175"/>
        <v>0</v>
      </c>
      <c r="V292" s="63">
        <f t="shared" si="176"/>
        <v>0</v>
      </c>
      <c r="W292" s="64">
        <f t="shared" ref="W292:X307" si="180">W291</f>
        <v>136</v>
      </c>
      <c r="X292" s="80">
        <f t="shared" si="180"/>
        <v>166</v>
      </c>
      <c r="Y292" s="75"/>
      <c r="Z292" s="60"/>
      <c r="AA292" s="75"/>
      <c r="AB292" s="75"/>
      <c r="AC292" s="75"/>
      <c r="AD292" s="75"/>
      <c r="AE292" s="81">
        <f t="shared" si="156"/>
        <v>0</v>
      </c>
      <c r="AF292" s="55">
        <f t="shared" si="157"/>
        <v>0</v>
      </c>
      <c r="AG292" s="76">
        <f t="shared" si="151"/>
        <v>0</v>
      </c>
      <c r="AH292" s="82">
        <f t="shared" si="152"/>
        <v>0</v>
      </c>
      <c r="AI292" s="83">
        <f t="shared" si="152"/>
        <v>0</v>
      </c>
      <c r="AJ292" s="83">
        <f t="shared" si="152"/>
        <v>0</v>
      </c>
      <c r="AK292" s="58">
        <f t="shared" si="152"/>
        <v>0</v>
      </c>
      <c r="AL292" s="82">
        <f t="shared" si="158"/>
        <v>0</v>
      </c>
      <c r="AM292" s="58">
        <f t="shared" si="159"/>
        <v>0</v>
      </c>
      <c r="AN292" s="74"/>
      <c r="AO292" s="84"/>
      <c r="AP292" s="74"/>
      <c r="AQ292" s="85"/>
      <c r="AR292" s="74"/>
      <c r="AS292" s="74"/>
      <c r="AT292" s="74"/>
      <c r="AU292" s="55" t="str">
        <f t="shared" si="169"/>
        <v/>
      </c>
      <c r="AV292" s="55" t="str">
        <f t="shared" ca="1" si="170"/>
        <v/>
      </c>
      <c r="AW292" s="55" t="str">
        <f t="shared" si="160"/>
        <v/>
      </c>
      <c r="AX292" s="55" t="str">
        <f t="shared" ca="1" si="161"/>
        <v/>
      </c>
      <c r="AY292" s="86"/>
      <c r="AZ292" s="86"/>
      <c r="BA292" s="55" t="str">
        <f t="shared" si="171"/>
        <v/>
      </c>
      <c r="BB292" s="86"/>
      <c r="BC292" s="86"/>
      <c r="BD292" s="55" t="str">
        <f t="shared" si="172"/>
        <v/>
      </c>
      <c r="BE292" s="74"/>
      <c r="BS292" s="118"/>
      <c r="BT292" s="118"/>
      <c r="BU292" s="118"/>
      <c r="BV292" s="118"/>
      <c r="BW292" s="118"/>
      <c r="BX292" s="118"/>
      <c r="BZ292" s="118"/>
      <c r="CB292" s="118"/>
      <c r="CC292" s="118"/>
      <c r="CD292" s="118"/>
    </row>
    <row r="293" spans="1:82" ht="17.399999999999999" customHeight="1">
      <c r="A293" s="87">
        <f t="shared" si="174"/>
        <v>41.3</v>
      </c>
      <c r="B293" s="111">
        <f t="shared" si="154"/>
        <v>283</v>
      </c>
      <c r="C293" s="60"/>
      <c r="D293" s="74"/>
      <c r="E293" s="75"/>
      <c r="F293" s="74"/>
      <c r="G293" s="54">
        <f t="shared" si="178"/>
        <v>0</v>
      </c>
      <c r="H293" s="55">
        <f t="shared" si="178"/>
        <v>0</v>
      </c>
      <c r="I293" s="76">
        <f t="shared" si="163"/>
        <v>0</v>
      </c>
      <c r="J293" s="58">
        <f t="shared" si="164"/>
        <v>0</v>
      </c>
      <c r="K293" s="58">
        <f t="shared" si="165"/>
        <v>0</v>
      </c>
      <c r="L293" s="58">
        <f t="shared" si="166"/>
        <v>0</v>
      </c>
      <c r="M293" s="58" t="str">
        <f t="shared" ca="1" si="167"/>
        <v/>
      </c>
      <c r="N293" s="58" t="str">
        <f t="shared" ca="1" si="167"/>
        <v/>
      </c>
      <c r="O293" s="58">
        <f t="shared" si="168"/>
        <v>5.0000000000000001E-4</v>
      </c>
      <c r="P293" s="77"/>
      <c r="Q293" s="60"/>
      <c r="R293" s="77"/>
      <c r="S293" s="78">
        <f t="shared" si="155"/>
        <v>0</v>
      </c>
      <c r="T293" s="55">
        <f t="shared" si="155"/>
        <v>0</v>
      </c>
      <c r="U293" s="79">
        <f t="shared" si="175"/>
        <v>0</v>
      </c>
      <c r="V293" s="63">
        <f t="shared" si="176"/>
        <v>0</v>
      </c>
      <c r="W293" s="64">
        <f t="shared" si="180"/>
        <v>136</v>
      </c>
      <c r="X293" s="80">
        <f t="shared" si="180"/>
        <v>166</v>
      </c>
      <c r="Y293" s="75"/>
      <c r="Z293" s="60"/>
      <c r="AA293" s="75"/>
      <c r="AB293" s="75"/>
      <c r="AC293" s="75"/>
      <c r="AD293" s="75"/>
      <c r="AE293" s="81">
        <f t="shared" si="156"/>
        <v>0</v>
      </c>
      <c r="AF293" s="55">
        <f t="shared" si="157"/>
        <v>0</v>
      </c>
      <c r="AG293" s="76">
        <f t="shared" si="151"/>
        <v>0</v>
      </c>
      <c r="AH293" s="82">
        <f t="shared" si="152"/>
        <v>0</v>
      </c>
      <c r="AI293" s="83">
        <f t="shared" si="152"/>
        <v>0</v>
      </c>
      <c r="AJ293" s="83">
        <f t="shared" si="152"/>
        <v>0</v>
      </c>
      <c r="AK293" s="58">
        <f t="shared" si="152"/>
        <v>0</v>
      </c>
      <c r="AL293" s="82">
        <f t="shared" si="158"/>
        <v>0</v>
      </c>
      <c r="AM293" s="58">
        <f t="shared" si="159"/>
        <v>0</v>
      </c>
      <c r="AN293" s="74"/>
      <c r="AO293" s="84"/>
      <c r="AP293" s="74"/>
      <c r="AQ293" s="85"/>
      <c r="AR293" s="74"/>
      <c r="AS293" s="74"/>
      <c r="AT293" s="74"/>
      <c r="AU293" s="55" t="str">
        <f t="shared" si="169"/>
        <v/>
      </c>
      <c r="AV293" s="55" t="str">
        <f t="shared" ca="1" si="170"/>
        <v/>
      </c>
      <c r="AW293" s="55" t="str">
        <f t="shared" si="160"/>
        <v/>
      </c>
      <c r="AX293" s="55" t="str">
        <f t="shared" ca="1" si="161"/>
        <v/>
      </c>
      <c r="AY293" s="86"/>
      <c r="AZ293" s="86"/>
      <c r="BA293" s="55" t="str">
        <f t="shared" si="171"/>
        <v/>
      </c>
      <c r="BB293" s="86"/>
      <c r="BC293" s="86"/>
      <c r="BD293" s="55" t="str">
        <f t="shared" si="172"/>
        <v/>
      </c>
      <c r="BE293" s="74"/>
      <c r="BS293" s="118"/>
      <c r="BT293" s="118"/>
      <c r="BU293" s="118"/>
      <c r="BV293" s="118"/>
      <c r="BW293" s="118"/>
      <c r="BX293" s="118"/>
      <c r="BZ293" s="118"/>
      <c r="CB293" s="118"/>
      <c r="CC293" s="118"/>
      <c r="CD293" s="118"/>
    </row>
    <row r="294" spans="1:82" ht="17.399999999999999" customHeight="1">
      <c r="A294" s="72">
        <f t="shared" si="174"/>
        <v>41.4</v>
      </c>
      <c r="B294" s="111">
        <f t="shared" si="154"/>
        <v>284</v>
      </c>
      <c r="C294" s="60"/>
      <c r="D294" s="74"/>
      <c r="E294" s="75"/>
      <c r="F294" s="74"/>
      <c r="G294" s="54">
        <f t="shared" si="178"/>
        <v>0</v>
      </c>
      <c r="H294" s="55">
        <f t="shared" si="178"/>
        <v>0</v>
      </c>
      <c r="I294" s="76">
        <f t="shared" si="163"/>
        <v>0</v>
      </c>
      <c r="J294" s="58">
        <f t="shared" si="164"/>
        <v>0</v>
      </c>
      <c r="K294" s="58">
        <f t="shared" si="165"/>
        <v>0</v>
      </c>
      <c r="L294" s="58">
        <f t="shared" si="166"/>
        <v>0</v>
      </c>
      <c r="M294" s="58" t="str">
        <f t="shared" ca="1" si="167"/>
        <v/>
      </c>
      <c r="N294" s="58" t="str">
        <f t="shared" ca="1" si="167"/>
        <v/>
      </c>
      <c r="O294" s="58">
        <f t="shared" si="168"/>
        <v>5.0000000000000001E-4</v>
      </c>
      <c r="P294" s="77"/>
      <c r="Q294" s="60"/>
      <c r="R294" s="77"/>
      <c r="S294" s="78">
        <f t="shared" si="155"/>
        <v>0</v>
      </c>
      <c r="T294" s="55">
        <f t="shared" si="155"/>
        <v>0</v>
      </c>
      <c r="U294" s="79">
        <f t="shared" si="175"/>
        <v>0</v>
      </c>
      <c r="V294" s="63">
        <f t="shared" si="176"/>
        <v>0</v>
      </c>
      <c r="W294" s="64">
        <f t="shared" si="180"/>
        <v>136</v>
      </c>
      <c r="X294" s="80">
        <f t="shared" si="180"/>
        <v>166</v>
      </c>
      <c r="Y294" s="75"/>
      <c r="Z294" s="60"/>
      <c r="AA294" s="75"/>
      <c r="AB294" s="75"/>
      <c r="AC294" s="75"/>
      <c r="AD294" s="75"/>
      <c r="AE294" s="81">
        <f t="shared" si="156"/>
        <v>0</v>
      </c>
      <c r="AF294" s="55">
        <f t="shared" si="157"/>
        <v>0</v>
      </c>
      <c r="AG294" s="76">
        <f t="shared" si="151"/>
        <v>0</v>
      </c>
      <c r="AH294" s="82">
        <f t="shared" si="152"/>
        <v>0</v>
      </c>
      <c r="AI294" s="83">
        <f t="shared" si="152"/>
        <v>0</v>
      </c>
      <c r="AJ294" s="83">
        <f t="shared" si="152"/>
        <v>0</v>
      </c>
      <c r="AK294" s="58">
        <f t="shared" si="152"/>
        <v>0</v>
      </c>
      <c r="AL294" s="82">
        <f t="shared" si="158"/>
        <v>0</v>
      </c>
      <c r="AM294" s="58">
        <f t="shared" si="159"/>
        <v>0</v>
      </c>
      <c r="AN294" s="74"/>
      <c r="AO294" s="84"/>
      <c r="AP294" s="74"/>
      <c r="AQ294" s="85"/>
      <c r="AR294" s="74"/>
      <c r="AS294" s="74"/>
      <c r="AT294" s="74"/>
      <c r="AU294" s="55" t="str">
        <f t="shared" si="169"/>
        <v/>
      </c>
      <c r="AV294" s="55" t="str">
        <f t="shared" ca="1" si="170"/>
        <v/>
      </c>
      <c r="AW294" s="55" t="str">
        <f t="shared" si="160"/>
        <v/>
      </c>
      <c r="AX294" s="55" t="str">
        <f t="shared" ca="1" si="161"/>
        <v/>
      </c>
      <c r="AY294" s="86"/>
      <c r="AZ294" s="86"/>
      <c r="BA294" s="55" t="str">
        <f t="shared" si="171"/>
        <v/>
      </c>
      <c r="BB294" s="86"/>
      <c r="BC294" s="86"/>
      <c r="BD294" s="55" t="str">
        <f t="shared" si="172"/>
        <v/>
      </c>
      <c r="BE294" s="74"/>
      <c r="BS294" s="118"/>
      <c r="BT294" s="118"/>
      <c r="BU294" s="118"/>
      <c r="BV294" s="118"/>
      <c r="BW294" s="118"/>
      <c r="BX294" s="118"/>
      <c r="BZ294" s="118"/>
      <c r="CB294" s="118"/>
      <c r="CC294" s="118"/>
      <c r="CD294" s="118"/>
    </row>
    <row r="295" spans="1:82" ht="17.399999999999999" customHeight="1">
      <c r="A295" s="87">
        <f t="shared" si="174"/>
        <v>41.5</v>
      </c>
      <c r="B295" s="111">
        <f t="shared" si="154"/>
        <v>285</v>
      </c>
      <c r="C295" s="60"/>
      <c r="D295" s="74"/>
      <c r="E295" s="75"/>
      <c r="F295" s="74"/>
      <c r="G295" s="54">
        <f t="shared" si="178"/>
        <v>0</v>
      </c>
      <c r="H295" s="55">
        <f t="shared" si="178"/>
        <v>0</v>
      </c>
      <c r="I295" s="76">
        <f t="shared" si="163"/>
        <v>0</v>
      </c>
      <c r="J295" s="58">
        <f t="shared" si="164"/>
        <v>0</v>
      </c>
      <c r="K295" s="58">
        <f t="shared" si="165"/>
        <v>0</v>
      </c>
      <c r="L295" s="58">
        <f t="shared" si="166"/>
        <v>0</v>
      </c>
      <c r="M295" s="58" t="str">
        <f t="shared" ca="1" si="167"/>
        <v/>
      </c>
      <c r="N295" s="58" t="str">
        <f t="shared" ca="1" si="167"/>
        <v/>
      </c>
      <c r="O295" s="58">
        <f t="shared" si="168"/>
        <v>5.0000000000000001E-4</v>
      </c>
      <c r="P295" s="77"/>
      <c r="Q295" s="60"/>
      <c r="R295" s="77"/>
      <c r="S295" s="78">
        <f t="shared" si="155"/>
        <v>0</v>
      </c>
      <c r="T295" s="55">
        <f t="shared" si="155"/>
        <v>0</v>
      </c>
      <c r="U295" s="79">
        <f t="shared" si="175"/>
        <v>0</v>
      </c>
      <c r="V295" s="63">
        <f t="shared" si="176"/>
        <v>0</v>
      </c>
      <c r="W295" s="64">
        <f t="shared" si="180"/>
        <v>136</v>
      </c>
      <c r="X295" s="80">
        <f t="shared" si="180"/>
        <v>166</v>
      </c>
      <c r="Y295" s="75"/>
      <c r="Z295" s="60"/>
      <c r="AA295" s="75"/>
      <c r="AB295" s="75"/>
      <c r="AC295" s="75"/>
      <c r="AD295" s="75"/>
      <c r="AE295" s="81">
        <f t="shared" si="156"/>
        <v>0</v>
      </c>
      <c r="AF295" s="55">
        <f t="shared" si="157"/>
        <v>0</v>
      </c>
      <c r="AG295" s="76">
        <f t="shared" si="151"/>
        <v>0</v>
      </c>
      <c r="AH295" s="82">
        <f t="shared" si="152"/>
        <v>0</v>
      </c>
      <c r="AI295" s="83">
        <f t="shared" si="152"/>
        <v>0</v>
      </c>
      <c r="AJ295" s="83">
        <f t="shared" si="152"/>
        <v>0</v>
      </c>
      <c r="AK295" s="58">
        <f t="shared" si="152"/>
        <v>0</v>
      </c>
      <c r="AL295" s="82">
        <f t="shared" si="158"/>
        <v>0</v>
      </c>
      <c r="AM295" s="58">
        <f t="shared" si="159"/>
        <v>0</v>
      </c>
      <c r="AN295" s="74"/>
      <c r="AO295" s="84"/>
      <c r="AP295" s="74"/>
      <c r="AQ295" s="85"/>
      <c r="AR295" s="74"/>
      <c r="AS295" s="74"/>
      <c r="AT295" s="74"/>
      <c r="AU295" s="55" t="str">
        <f t="shared" si="169"/>
        <v/>
      </c>
      <c r="AV295" s="55" t="str">
        <f t="shared" ca="1" si="170"/>
        <v/>
      </c>
      <c r="AW295" s="55" t="str">
        <f t="shared" si="160"/>
        <v/>
      </c>
      <c r="AX295" s="55" t="str">
        <f t="shared" ca="1" si="161"/>
        <v/>
      </c>
      <c r="AY295" s="86"/>
      <c r="AZ295" s="86"/>
      <c r="BA295" s="55" t="str">
        <f t="shared" si="171"/>
        <v/>
      </c>
      <c r="BB295" s="86"/>
      <c r="BC295" s="86"/>
      <c r="BD295" s="55" t="str">
        <f t="shared" si="172"/>
        <v/>
      </c>
      <c r="BE295" s="74"/>
      <c r="BS295" s="118"/>
      <c r="BT295" s="118"/>
      <c r="BU295" s="118"/>
      <c r="BV295" s="118"/>
      <c r="BW295" s="118"/>
      <c r="BX295" s="118"/>
      <c r="BZ295" s="118"/>
      <c r="CB295" s="118"/>
      <c r="CC295" s="118"/>
      <c r="CD295" s="118"/>
    </row>
    <row r="296" spans="1:82" ht="17.399999999999999" customHeight="1">
      <c r="A296" s="72">
        <f t="shared" si="174"/>
        <v>41.6</v>
      </c>
      <c r="B296" s="111">
        <f t="shared" si="154"/>
        <v>286</v>
      </c>
      <c r="C296" s="60"/>
      <c r="D296" s="74"/>
      <c r="E296" s="75"/>
      <c r="F296" s="74"/>
      <c r="G296" s="54">
        <f t="shared" si="178"/>
        <v>0</v>
      </c>
      <c r="H296" s="55">
        <f t="shared" si="178"/>
        <v>0</v>
      </c>
      <c r="I296" s="76">
        <f t="shared" si="163"/>
        <v>0</v>
      </c>
      <c r="J296" s="58">
        <f t="shared" si="164"/>
        <v>0</v>
      </c>
      <c r="K296" s="58">
        <f t="shared" si="165"/>
        <v>0</v>
      </c>
      <c r="L296" s="58">
        <f t="shared" si="166"/>
        <v>0</v>
      </c>
      <c r="M296" s="58" t="str">
        <f t="shared" ca="1" si="167"/>
        <v/>
      </c>
      <c r="N296" s="58" t="str">
        <f t="shared" ca="1" si="167"/>
        <v/>
      </c>
      <c r="O296" s="58">
        <f t="shared" si="168"/>
        <v>5.0000000000000001E-4</v>
      </c>
      <c r="P296" s="77"/>
      <c r="Q296" s="60"/>
      <c r="R296" s="77"/>
      <c r="S296" s="78">
        <f t="shared" si="155"/>
        <v>0</v>
      </c>
      <c r="T296" s="55">
        <f t="shared" si="155"/>
        <v>0</v>
      </c>
      <c r="U296" s="79">
        <f t="shared" si="175"/>
        <v>0</v>
      </c>
      <c r="V296" s="63">
        <f t="shared" si="176"/>
        <v>0</v>
      </c>
      <c r="W296" s="64">
        <f t="shared" si="180"/>
        <v>136</v>
      </c>
      <c r="X296" s="80">
        <f t="shared" si="180"/>
        <v>166</v>
      </c>
      <c r="Y296" s="75"/>
      <c r="Z296" s="60"/>
      <c r="AA296" s="75"/>
      <c r="AB296" s="75"/>
      <c r="AC296" s="75"/>
      <c r="AD296" s="75"/>
      <c r="AE296" s="81">
        <f t="shared" si="156"/>
        <v>0</v>
      </c>
      <c r="AF296" s="55">
        <f t="shared" si="157"/>
        <v>0</v>
      </c>
      <c r="AG296" s="76">
        <f t="shared" si="151"/>
        <v>0</v>
      </c>
      <c r="AH296" s="82">
        <f t="shared" si="152"/>
        <v>0</v>
      </c>
      <c r="AI296" s="83">
        <f t="shared" si="152"/>
        <v>0</v>
      </c>
      <c r="AJ296" s="83">
        <f t="shared" si="152"/>
        <v>0</v>
      </c>
      <c r="AK296" s="58">
        <f t="shared" si="152"/>
        <v>0</v>
      </c>
      <c r="AL296" s="82">
        <f t="shared" si="158"/>
        <v>0</v>
      </c>
      <c r="AM296" s="58">
        <f t="shared" si="159"/>
        <v>0</v>
      </c>
      <c r="AN296" s="74"/>
      <c r="AO296" s="84"/>
      <c r="AP296" s="74"/>
      <c r="AQ296" s="85"/>
      <c r="AR296" s="74"/>
      <c r="AS296" s="74"/>
      <c r="AT296" s="74"/>
      <c r="AU296" s="55" t="str">
        <f t="shared" si="169"/>
        <v/>
      </c>
      <c r="AV296" s="55" t="str">
        <f t="shared" ca="1" si="170"/>
        <v/>
      </c>
      <c r="AW296" s="55" t="str">
        <f t="shared" si="160"/>
        <v/>
      </c>
      <c r="AX296" s="55" t="str">
        <f t="shared" ca="1" si="161"/>
        <v/>
      </c>
      <c r="AY296" s="86"/>
      <c r="AZ296" s="86"/>
      <c r="BA296" s="55" t="str">
        <f t="shared" si="171"/>
        <v/>
      </c>
      <c r="BB296" s="86"/>
      <c r="BC296" s="86"/>
      <c r="BD296" s="55" t="str">
        <f t="shared" si="172"/>
        <v/>
      </c>
      <c r="BE296" s="74"/>
      <c r="BS296" s="118"/>
      <c r="BT296" s="118"/>
      <c r="BU296" s="118"/>
      <c r="BV296" s="118"/>
      <c r="BW296" s="118"/>
      <c r="BX296" s="118"/>
      <c r="BZ296" s="118"/>
      <c r="CB296" s="118"/>
      <c r="CC296" s="118"/>
      <c r="CD296" s="118"/>
    </row>
    <row r="297" spans="1:82" ht="17.399999999999999" customHeight="1" thickBot="1">
      <c r="A297" s="87">
        <f t="shared" si="174"/>
        <v>41.7</v>
      </c>
      <c r="B297" s="113">
        <f t="shared" si="154"/>
        <v>287</v>
      </c>
      <c r="C297" s="89"/>
      <c r="D297" s="90"/>
      <c r="E297" s="91"/>
      <c r="F297" s="90"/>
      <c r="G297" s="92">
        <f t="shared" si="178"/>
        <v>0</v>
      </c>
      <c r="H297" s="93">
        <f t="shared" si="178"/>
        <v>0</v>
      </c>
      <c r="I297" s="94">
        <f t="shared" si="163"/>
        <v>0</v>
      </c>
      <c r="J297" s="95">
        <f t="shared" si="164"/>
        <v>0</v>
      </c>
      <c r="K297" s="95">
        <f t="shared" si="165"/>
        <v>0</v>
      </c>
      <c r="L297" s="95">
        <f t="shared" si="166"/>
        <v>0</v>
      </c>
      <c r="M297" s="95" t="str">
        <f t="shared" ca="1" si="167"/>
        <v/>
      </c>
      <c r="N297" s="95" t="str">
        <f t="shared" ca="1" si="167"/>
        <v/>
      </c>
      <c r="O297" s="95">
        <f t="shared" si="168"/>
        <v>5.0000000000000001E-4</v>
      </c>
      <c r="P297" s="96"/>
      <c r="Q297" s="89"/>
      <c r="R297" s="96"/>
      <c r="S297" s="78">
        <f t="shared" si="155"/>
        <v>0</v>
      </c>
      <c r="T297" s="55">
        <f t="shared" si="155"/>
        <v>0</v>
      </c>
      <c r="U297" s="97">
        <f t="shared" si="175"/>
        <v>0</v>
      </c>
      <c r="V297" s="98">
        <f t="shared" si="176"/>
        <v>0</v>
      </c>
      <c r="W297" s="99">
        <f t="shared" si="180"/>
        <v>136</v>
      </c>
      <c r="X297" s="100">
        <f t="shared" si="180"/>
        <v>166</v>
      </c>
      <c r="Y297" s="91"/>
      <c r="Z297" s="60"/>
      <c r="AA297" s="75"/>
      <c r="AB297" s="75"/>
      <c r="AC297" s="75"/>
      <c r="AD297" s="75"/>
      <c r="AE297" s="101">
        <f t="shared" si="156"/>
        <v>0</v>
      </c>
      <c r="AF297" s="93">
        <f t="shared" si="157"/>
        <v>0</v>
      </c>
      <c r="AG297" s="94">
        <f t="shared" si="151"/>
        <v>0</v>
      </c>
      <c r="AH297" s="102">
        <f t="shared" si="152"/>
        <v>0</v>
      </c>
      <c r="AI297" s="103">
        <f t="shared" si="152"/>
        <v>0</v>
      </c>
      <c r="AJ297" s="103">
        <f t="shared" si="152"/>
        <v>0</v>
      </c>
      <c r="AK297" s="95">
        <f t="shared" si="152"/>
        <v>0</v>
      </c>
      <c r="AL297" s="102">
        <f t="shared" si="158"/>
        <v>0</v>
      </c>
      <c r="AM297" s="95">
        <f t="shared" si="159"/>
        <v>0</v>
      </c>
      <c r="AN297" s="90"/>
      <c r="AO297" s="104"/>
      <c r="AP297" s="90"/>
      <c r="AQ297" s="105"/>
      <c r="AR297" s="90"/>
      <c r="AS297" s="90"/>
      <c r="AT297" s="90"/>
      <c r="AU297" s="93" t="str">
        <f t="shared" si="169"/>
        <v/>
      </c>
      <c r="AV297" s="93" t="str">
        <f t="shared" ca="1" si="170"/>
        <v/>
      </c>
      <c r="AW297" s="93" t="str">
        <f t="shared" si="160"/>
        <v/>
      </c>
      <c r="AX297" s="93" t="str">
        <f t="shared" ca="1" si="161"/>
        <v/>
      </c>
      <c r="AY297" s="106"/>
      <c r="AZ297" s="106"/>
      <c r="BA297" s="93" t="str">
        <f t="shared" si="171"/>
        <v/>
      </c>
      <c r="BB297" s="106"/>
      <c r="BC297" s="106"/>
      <c r="BD297" s="93" t="str">
        <f t="shared" si="172"/>
        <v/>
      </c>
      <c r="BE297" s="90"/>
      <c r="BS297" s="118"/>
      <c r="BT297" s="118"/>
      <c r="BU297" s="118"/>
      <c r="BV297" s="118"/>
      <c r="BW297" s="118"/>
      <c r="BX297" s="118"/>
      <c r="BZ297" s="118"/>
      <c r="CB297" s="118"/>
      <c r="CC297" s="118"/>
      <c r="CD297" s="118"/>
    </row>
    <row r="298" spans="1:82" ht="17.399999999999999" customHeight="1" thickTop="1">
      <c r="A298" s="107">
        <f>A291+1</f>
        <v>42.1</v>
      </c>
      <c r="B298" s="108">
        <f>B297+1</f>
        <v>288</v>
      </c>
      <c r="C298" s="51"/>
      <c r="D298" s="52"/>
      <c r="E298" s="53"/>
      <c r="F298" s="52"/>
      <c r="G298" s="54">
        <f t="shared" si="178"/>
        <v>0</v>
      </c>
      <c r="H298" s="55">
        <f t="shared" si="178"/>
        <v>0</v>
      </c>
      <c r="I298" s="56">
        <f t="shared" si="163"/>
        <v>0</v>
      </c>
      <c r="J298" s="57">
        <f t="shared" si="164"/>
        <v>0</v>
      </c>
      <c r="K298" s="57">
        <f t="shared" si="165"/>
        <v>0</v>
      </c>
      <c r="L298" s="57">
        <f t="shared" si="166"/>
        <v>0</v>
      </c>
      <c r="M298" s="58" t="str">
        <f t="shared" ca="1" si="167"/>
        <v/>
      </c>
      <c r="N298" s="58" t="str">
        <f t="shared" ca="1" si="167"/>
        <v/>
      </c>
      <c r="O298" s="58">
        <f t="shared" si="168"/>
        <v>5.0000000000000001E-4</v>
      </c>
      <c r="P298" s="77"/>
      <c r="Q298" s="60"/>
      <c r="R298" s="77"/>
      <c r="S298" s="109">
        <f t="shared" si="155"/>
        <v>0</v>
      </c>
      <c r="T298" s="61">
        <f t="shared" si="155"/>
        <v>0</v>
      </c>
      <c r="U298" s="62">
        <f t="shared" si="175"/>
        <v>0</v>
      </c>
      <c r="V298" s="63">
        <f t="shared" si="176"/>
        <v>0</v>
      </c>
      <c r="W298" s="64">
        <v>137</v>
      </c>
      <c r="X298" s="80">
        <f t="shared" si="180"/>
        <v>166</v>
      </c>
      <c r="Y298" s="53"/>
      <c r="Z298" s="51"/>
      <c r="AA298" s="53"/>
      <c r="AB298" s="53"/>
      <c r="AC298" s="53"/>
      <c r="AD298" s="53"/>
      <c r="AE298" s="66">
        <f t="shared" si="156"/>
        <v>0</v>
      </c>
      <c r="AF298" s="61">
        <f t="shared" si="157"/>
        <v>0</v>
      </c>
      <c r="AG298" s="56">
        <f t="shared" si="151"/>
        <v>0</v>
      </c>
      <c r="AH298" s="67">
        <f t="shared" si="152"/>
        <v>0</v>
      </c>
      <c r="AI298" s="68">
        <f t="shared" si="152"/>
        <v>0</v>
      </c>
      <c r="AJ298" s="68">
        <f t="shared" si="152"/>
        <v>0</v>
      </c>
      <c r="AK298" s="57">
        <f t="shared" si="152"/>
        <v>0</v>
      </c>
      <c r="AL298" s="67">
        <f t="shared" si="158"/>
        <v>0</v>
      </c>
      <c r="AM298" s="57">
        <f t="shared" si="159"/>
        <v>0</v>
      </c>
      <c r="AN298" s="52"/>
      <c r="AO298" s="69"/>
      <c r="AP298" s="52"/>
      <c r="AQ298" s="70"/>
      <c r="AR298" s="52"/>
      <c r="AS298" s="52"/>
      <c r="AT298" s="52"/>
      <c r="AU298" s="61" t="str">
        <f t="shared" si="169"/>
        <v/>
      </c>
      <c r="AV298" s="61" t="str">
        <f t="shared" ca="1" si="170"/>
        <v/>
      </c>
      <c r="AW298" s="61" t="str">
        <f t="shared" si="160"/>
        <v/>
      </c>
      <c r="AX298" s="61" t="str">
        <f t="shared" ca="1" si="161"/>
        <v/>
      </c>
      <c r="AY298" s="71"/>
      <c r="AZ298" s="71"/>
      <c r="BA298" s="61" t="str">
        <f t="shared" si="171"/>
        <v/>
      </c>
      <c r="BB298" s="71"/>
      <c r="BC298" s="71"/>
      <c r="BD298" s="61" t="str">
        <f t="shared" si="172"/>
        <v/>
      </c>
      <c r="BE298" s="52"/>
      <c r="BS298" s="118"/>
      <c r="BT298" s="118"/>
      <c r="BU298" s="118"/>
      <c r="BV298" s="118"/>
      <c r="BW298" s="118"/>
      <c r="BX298" s="118"/>
      <c r="BZ298" s="118"/>
      <c r="CB298" s="118"/>
      <c r="CC298" s="118"/>
      <c r="CD298" s="118"/>
    </row>
    <row r="299" spans="1:82" ht="17.399999999999999" customHeight="1">
      <c r="A299" s="87">
        <f t="shared" si="174"/>
        <v>42.2</v>
      </c>
      <c r="B299" s="111">
        <f t="shared" si="154"/>
        <v>289</v>
      </c>
      <c r="C299" s="60"/>
      <c r="D299" s="74"/>
      <c r="E299" s="75"/>
      <c r="F299" s="74"/>
      <c r="G299" s="54">
        <f t="shared" si="178"/>
        <v>0</v>
      </c>
      <c r="H299" s="55">
        <f t="shared" si="178"/>
        <v>0</v>
      </c>
      <c r="I299" s="76">
        <f t="shared" si="163"/>
        <v>0</v>
      </c>
      <c r="J299" s="58">
        <f t="shared" si="164"/>
        <v>0</v>
      </c>
      <c r="K299" s="58">
        <f t="shared" si="165"/>
        <v>0</v>
      </c>
      <c r="L299" s="58">
        <f t="shared" si="166"/>
        <v>0</v>
      </c>
      <c r="M299" s="58" t="str">
        <f t="shared" ca="1" si="167"/>
        <v/>
      </c>
      <c r="N299" s="58" t="str">
        <f t="shared" ca="1" si="167"/>
        <v/>
      </c>
      <c r="O299" s="58">
        <f t="shared" si="168"/>
        <v>5.0000000000000001E-4</v>
      </c>
      <c r="P299" s="77"/>
      <c r="Q299" s="60"/>
      <c r="R299" s="77"/>
      <c r="S299" s="78">
        <f t="shared" si="155"/>
        <v>0</v>
      </c>
      <c r="T299" s="55">
        <f t="shared" si="155"/>
        <v>0</v>
      </c>
      <c r="U299" s="79">
        <f t="shared" si="175"/>
        <v>0</v>
      </c>
      <c r="V299" s="63">
        <f t="shared" si="176"/>
        <v>0</v>
      </c>
      <c r="W299" s="64">
        <f t="shared" ref="W299:W304" si="181">W298</f>
        <v>137</v>
      </c>
      <c r="X299" s="80">
        <f t="shared" si="180"/>
        <v>166</v>
      </c>
      <c r="Y299" s="75"/>
      <c r="Z299" s="60"/>
      <c r="AA299" s="75"/>
      <c r="AB299" s="75"/>
      <c r="AC299" s="75"/>
      <c r="AD299" s="75"/>
      <c r="AE299" s="81">
        <f t="shared" si="156"/>
        <v>0</v>
      </c>
      <c r="AF299" s="55">
        <f t="shared" si="157"/>
        <v>0</v>
      </c>
      <c r="AG299" s="76">
        <f t="shared" si="151"/>
        <v>0</v>
      </c>
      <c r="AH299" s="82">
        <f t="shared" si="152"/>
        <v>0</v>
      </c>
      <c r="AI299" s="83">
        <f t="shared" si="152"/>
        <v>0</v>
      </c>
      <c r="AJ299" s="83">
        <f t="shared" si="152"/>
        <v>0</v>
      </c>
      <c r="AK299" s="58">
        <f t="shared" si="152"/>
        <v>0</v>
      </c>
      <c r="AL299" s="82">
        <f t="shared" si="158"/>
        <v>0</v>
      </c>
      <c r="AM299" s="58">
        <f t="shared" si="159"/>
        <v>0</v>
      </c>
      <c r="AN299" s="74"/>
      <c r="AO299" s="84"/>
      <c r="AP299" s="74"/>
      <c r="AQ299" s="85"/>
      <c r="AR299" s="74"/>
      <c r="AS299" s="74"/>
      <c r="AT299" s="74"/>
      <c r="AU299" s="55" t="str">
        <f t="shared" si="169"/>
        <v/>
      </c>
      <c r="AV299" s="55" t="str">
        <f t="shared" ca="1" si="170"/>
        <v/>
      </c>
      <c r="AW299" s="55" t="str">
        <f t="shared" si="160"/>
        <v/>
      </c>
      <c r="AX299" s="55" t="str">
        <f t="shared" ca="1" si="161"/>
        <v/>
      </c>
      <c r="AY299" s="86"/>
      <c r="AZ299" s="86"/>
      <c r="BA299" s="55" t="str">
        <f t="shared" si="171"/>
        <v/>
      </c>
      <c r="BB299" s="86"/>
      <c r="BC299" s="86"/>
      <c r="BD299" s="55" t="str">
        <f t="shared" si="172"/>
        <v/>
      </c>
      <c r="BE299" s="74"/>
      <c r="BS299" s="118"/>
      <c r="BT299" s="118"/>
      <c r="BU299" s="118"/>
      <c r="BV299" s="118"/>
      <c r="BW299" s="118"/>
      <c r="BX299" s="118"/>
      <c r="BZ299" s="118"/>
      <c r="CB299" s="118"/>
      <c r="CC299" s="118"/>
      <c r="CD299" s="118"/>
    </row>
    <row r="300" spans="1:82" ht="17.399999999999999" customHeight="1">
      <c r="A300" s="72">
        <f t="shared" si="174"/>
        <v>42.3</v>
      </c>
      <c r="B300" s="111">
        <f t="shared" si="154"/>
        <v>290</v>
      </c>
      <c r="C300" s="60"/>
      <c r="D300" s="74"/>
      <c r="E300" s="75"/>
      <c r="F300" s="74"/>
      <c r="G300" s="54">
        <f t="shared" ref="G300:H315" si="182">G299-E300-C300</f>
        <v>0</v>
      </c>
      <c r="H300" s="55">
        <f t="shared" si="182"/>
        <v>0</v>
      </c>
      <c r="I300" s="76">
        <f t="shared" si="163"/>
        <v>0</v>
      </c>
      <c r="J300" s="58">
        <f t="shared" si="164"/>
        <v>0</v>
      </c>
      <c r="K300" s="58">
        <f t="shared" si="165"/>
        <v>0</v>
      </c>
      <c r="L300" s="58">
        <f t="shared" si="166"/>
        <v>0</v>
      </c>
      <c r="M300" s="58" t="str">
        <f t="shared" ca="1" si="167"/>
        <v/>
      </c>
      <c r="N300" s="58" t="str">
        <f t="shared" ca="1" si="167"/>
        <v/>
      </c>
      <c r="O300" s="58">
        <f t="shared" si="168"/>
        <v>5.0000000000000001E-4</v>
      </c>
      <c r="P300" s="77"/>
      <c r="Q300" s="60"/>
      <c r="R300" s="77"/>
      <c r="S300" s="78">
        <f t="shared" si="155"/>
        <v>0</v>
      </c>
      <c r="T300" s="55">
        <f t="shared" si="155"/>
        <v>0</v>
      </c>
      <c r="U300" s="79">
        <f t="shared" si="175"/>
        <v>0</v>
      </c>
      <c r="V300" s="63">
        <f t="shared" si="176"/>
        <v>0</v>
      </c>
      <c r="W300" s="64">
        <f t="shared" si="181"/>
        <v>137</v>
      </c>
      <c r="X300" s="80">
        <f t="shared" si="180"/>
        <v>166</v>
      </c>
      <c r="Y300" s="75"/>
      <c r="Z300" s="60"/>
      <c r="AA300" s="75"/>
      <c r="AB300" s="75"/>
      <c r="AC300" s="75"/>
      <c r="AD300" s="75"/>
      <c r="AE300" s="81">
        <f t="shared" si="156"/>
        <v>0</v>
      </c>
      <c r="AF300" s="55">
        <f t="shared" si="157"/>
        <v>0</v>
      </c>
      <c r="AG300" s="76">
        <f t="shared" si="151"/>
        <v>0</v>
      </c>
      <c r="AH300" s="82">
        <f t="shared" si="152"/>
        <v>0</v>
      </c>
      <c r="AI300" s="83">
        <f t="shared" si="152"/>
        <v>0</v>
      </c>
      <c r="AJ300" s="83">
        <f t="shared" si="152"/>
        <v>0</v>
      </c>
      <c r="AK300" s="58">
        <f t="shared" si="152"/>
        <v>0</v>
      </c>
      <c r="AL300" s="82">
        <f t="shared" si="158"/>
        <v>0</v>
      </c>
      <c r="AM300" s="58">
        <f t="shared" si="159"/>
        <v>0</v>
      </c>
      <c r="AN300" s="74"/>
      <c r="AO300" s="84"/>
      <c r="AP300" s="74"/>
      <c r="AQ300" s="85"/>
      <c r="AR300" s="74"/>
      <c r="AS300" s="74"/>
      <c r="AT300" s="74"/>
      <c r="AU300" s="55" t="str">
        <f t="shared" si="169"/>
        <v/>
      </c>
      <c r="AV300" s="55" t="str">
        <f t="shared" ca="1" si="170"/>
        <v/>
      </c>
      <c r="AW300" s="55" t="str">
        <f t="shared" si="160"/>
        <v/>
      </c>
      <c r="AX300" s="55" t="str">
        <f t="shared" ca="1" si="161"/>
        <v/>
      </c>
      <c r="AY300" s="86"/>
      <c r="AZ300" s="86"/>
      <c r="BA300" s="55" t="str">
        <f t="shared" si="171"/>
        <v/>
      </c>
      <c r="BB300" s="86"/>
      <c r="BC300" s="86"/>
      <c r="BD300" s="55" t="str">
        <f t="shared" si="172"/>
        <v/>
      </c>
      <c r="BE300" s="74"/>
      <c r="BS300" s="118"/>
      <c r="BT300" s="118"/>
      <c r="BU300" s="118"/>
      <c r="BV300" s="118"/>
      <c r="BW300" s="118"/>
      <c r="BX300" s="118"/>
      <c r="BZ300" s="118"/>
      <c r="CB300" s="118"/>
      <c r="CC300" s="118"/>
      <c r="CD300" s="118"/>
    </row>
    <row r="301" spans="1:82" ht="17.399999999999999" customHeight="1">
      <c r="A301" s="87">
        <f t="shared" si="174"/>
        <v>42.4</v>
      </c>
      <c r="B301" s="111">
        <f t="shared" si="154"/>
        <v>291</v>
      </c>
      <c r="C301" s="60"/>
      <c r="D301" s="74"/>
      <c r="E301" s="75"/>
      <c r="F301" s="74"/>
      <c r="G301" s="54">
        <f t="shared" si="182"/>
        <v>0</v>
      </c>
      <c r="H301" s="55">
        <f t="shared" si="182"/>
        <v>0</v>
      </c>
      <c r="I301" s="76">
        <f t="shared" si="163"/>
        <v>0</v>
      </c>
      <c r="J301" s="58">
        <f t="shared" si="164"/>
        <v>0</v>
      </c>
      <c r="K301" s="58">
        <f t="shared" si="165"/>
        <v>0</v>
      </c>
      <c r="L301" s="58">
        <f t="shared" si="166"/>
        <v>0</v>
      </c>
      <c r="M301" s="58" t="str">
        <f t="shared" ca="1" si="167"/>
        <v/>
      </c>
      <c r="N301" s="58" t="str">
        <f t="shared" ca="1" si="167"/>
        <v/>
      </c>
      <c r="O301" s="58">
        <f t="shared" si="168"/>
        <v>5.0000000000000001E-4</v>
      </c>
      <c r="P301" s="77"/>
      <c r="Q301" s="60"/>
      <c r="R301" s="77"/>
      <c r="S301" s="78">
        <f t="shared" si="155"/>
        <v>0</v>
      </c>
      <c r="T301" s="55">
        <f t="shared" si="155"/>
        <v>0</v>
      </c>
      <c r="U301" s="79">
        <f t="shared" si="175"/>
        <v>0</v>
      </c>
      <c r="V301" s="63">
        <f t="shared" si="176"/>
        <v>0</v>
      </c>
      <c r="W301" s="64">
        <f t="shared" si="181"/>
        <v>137</v>
      </c>
      <c r="X301" s="80">
        <f t="shared" si="180"/>
        <v>166</v>
      </c>
      <c r="Y301" s="75"/>
      <c r="Z301" s="60"/>
      <c r="AA301" s="75"/>
      <c r="AB301" s="75"/>
      <c r="AC301" s="75"/>
      <c r="AD301" s="75"/>
      <c r="AE301" s="81">
        <f t="shared" si="156"/>
        <v>0</v>
      </c>
      <c r="AF301" s="55">
        <f t="shared" si="157"/>
        <v>0</v>
      </c>
      <c r="AG301" s="76">
        <f t="shared" si="151"/>
        <v>0</v>
      </c>
      <c r="AH301" s="82">
        <f t="shared" si="152"/>
        <v>0</v>
      </c>
      <c r="AI301" s="83">
        <f t="shared" si="152"/>
        <v>0</v>
      </c>
      <c r="AJ301" s="83">
        <f t="shared" si="152"/>
        <v>0</v>
      </c>
      <c r="AK301" s="58">
        <f t="shared" si="152"/>
        <v>0</v>
      </c>
      <c r="AL301" s="82">
        <f t="shared" si="158"/>
        <v>0</v>
      </c>
      <c r="AM301" s="58">
        <f t="shared" si="159"/>
        <v>0</v>
      </c>
      <c r="AN301" s="74"/>
      <c r="AO301" s="84"/>
      <c r="AP301" s="74"/>
      <c r="AQ301" s="85"/>
      <c r="AR301" s="74"/>
      <c r="AS301" s="74"/>
      <c r="AT301" s="74"/>
      <c r="AU301" s="55" t="str">
        <f t="shared" si="169"/>
        <v/>
      </c>
      <c r="AV301" s="55" t="str">
        <f t="shared" ca="1" si="170"/>
        <v/>
      </c>
      <c r="AW301" s="55" t="str">
        <f t="shared" si="160"/>
        <v/>
      </c>
      <c r="AX301" s="55" t="str">
        <f t="shared" ca="1" si="161"/>
        <v/>
      </c>
      <c r="AY301" s="86"/>
      <c r="AZ301" s="86"/>
      <c r="BA301" s="55" t="str">
        <f t="shared" si="171"/>
        <v/>
      </c>
      <c r="BB301" s="86"/>
      <c r="BC301" s="86"/>
      <c r="BD301" s="55" t="str">
        <f t="shared" si="172"/>
        <v/>
      </c>
      <c r="BE301" s="74"/>
      <c r="BS301" s="118"/>
      <c r="BT301" s="118"/>
      <c r="BU301" s="118"/>
      <c r="BV301" s="118"/>
      <c r="BW301" s="118"/>
      <c r="BX301" s="118"/>
      <c r="BZ301" s="118"/>
      <c r="CB301" s="118"/>
      <c r="CC301" s="118"/>
      <c r="CD301" s="118"/>
    </row>
    <row r="302" spans="1:82" ht="17.399999999999999" customHeight="1">
      <c r="A302" s="72">
        <f t="shared" si="174"/>
        <v>42.5</v>
      </c>
      <c r="B302" s="111">
        <f t="shared" si="154"/>
        <v>292</v>
      </c>
      <c r="C302" s="60"/>
      <c r="D302" s="74"/>
      <c r="E302" s="75"/>
      <c r="F302" s="74"/>
      <c r="G302" s="54">
        <f t="shared" si="182"/>
        <v>0</v>
      </c>
      <c r="H302" s="55">
        <f t="shared" si="182"/>
        <v>0</v>
      </c>
      <c r="I302" s="76">
        <f t="shared" si="163"/>
        <v>0</v>
      </c>
      <c r="J302" s="58">
        <f t="shared" si="164"/>
        <v>0</v>
      </c>
      <c r="K302" s="58">
        <f t="shared" si="165"/>
        <v>0</v>
      </c>
      <c r="L302" s="58">
        <f t="shared" si="166"/>
        <v>0</v>
      </c>
      <c r="M302" s="58" t="str">
        <f t="shared" ca="1" si="167"/>
        <v/>
      </c>
      <c r="N302" s="58" t="str">
        <f t="shared" ca="1" si="167"/>
        <v/>
      </c>
      <c r="O302" s="58">
        <f t="shared" si="168"/>
        <v>5.0000000000000001E-4</v>
      </c>
      <c r="P302" s="77"/>
      <c r="Q302" s="60"/>
      <c r="R302" s="77"/>
      <c r="S302" s="78">
        <f t="shared" si="155"/>
        <v>0</v>
      </c>
      <c r="T302" s="55">
        <f t="shared" si="155"/>
        <v>0</v>
      </c>
      <c r="U302" s="79">
        <f t="shared" si="175"/>
        <v>0</v>
      </c>
      <c r="V302" s="63">
        <f t="shared" si="176"/>
        <v>0</v>
      </c>
      <c r="W302" s="64">
        <f t="shared" si="181"/>
        <v>137</v>
      </c>
      <c r="X302" s="80">
        <f t="shared" si="180"/>
        <v>166</v>
      </c>
      <c r="Y302" s="75"/>
      <c r="Z302" s="60"/>
      <c r="AA302" s="75"/>
      <c r="AB302" s="75"/>
      <c r="AC302" s="75"/>
      <c r="AD302" s="75"/>
      <c r="AE302" s="81">
        <f t="shared" si="156"/>
        <v>0</v>
      </c>
      <c r="AF302" s="55">
        <f t="shared" si="157"/>
        <v>0</v>
      </c>
      <c r="AG302" s="76">
        <f t="shared" si="151"/>
        <v>0</v>
      </c>
      <c r="AH302" s="82">
        <f t="shared" si="152"/>
        <v>0</v>
      </c>
      <c r="AI302" s="83">
        <f t="shared" si="152"/>
        <v>0</v>
      </c>
      <c r="AJ302" s="83">
        <f t="shared" si="152"/>
        <v>0</v>
      </c>
      <c r="AK302" s="58">
        <f t="shared" si="152"/>
        <v>0</v>
      </c>
      <c r="AL302" s="82">
        <f t="shared" si="158"/>
        <v>0</v>
      </c>
      <c r="AM302" s="58">
        <f t="shared" si="159"/>
        <v>0</v>
      </c>
      <c r="AN302" s="74"/>
      <c r="AO302" s="84"/>
      <c r="AP302" s="74"/>
      <c r="AQ302" s="85"/>
      <c r="AR302" s="74"/>
      <c r="AS302" s="74"/>
      <c r="AT302" s="74"/>
      <c r="AU302" s="55" t="str">
        <f t="shared" si="169"/>
        <v/>
      </c>
      <c r="AV302" s="55" t="str">
        <f t="shared" ca="1" si="170"/>
        <v/>
      </c>
      <c r="AW302" s="55" t="str">
        <f t="shared" si="160"/>
        <v/>
      </c>
      <c r="AX302" s="55" t="str">
        <f t="shared" ca="1" si="161"/>
        <v/>
      </c>
      <c r="AY302" s="86"/>
      <c r="AZ302" s="86"/>
      <c r="BA302" s="55" t="str">
        <f t="shared" si="171"/>
        <v/>
      </c>
      <c r="BB302" s="86"/>
      <c r="BC302" s="86"/>
      <c r="BD302" s="55" t="str">
        <f t="shared" si="172"/>
        <v/>
      </c>
      <c r="BE302" s="74"/>
      <c r="BS302" s="118"/>
      <c r="BT302" s="118"/>
      <c r="BU302" s="118"/>
      <c r="BV302" s="118"/>
      <c r="BW302" s="118"/>
      <c r="BX302" s="118"/>
      <c r="BZ302" s="118"/>
      <c r="CB302" s="118"/>
      <c r="CC302" s="118"/>
      <c r="CD302" s="118"/>
    </row>
    <row r="303" spans="1:82" ht="17.399999999999999" customHeight="1">
      <c r="A303" s="87">
        <f t="shared" si="174"/>
        <v>42.6</v>
      </c>
      <c r="B303" s="111">
        <f t="shared" si="154"/>
        <v>293</v>
      </c>
      <c r="C303" s="60"/>
      <c r="D303" s="74"/>
      <c r="E303" s="75"/>
      <c r="F303" s="74"/>
      <c r="G303" s="54">
        <f t="shared" si="182"/>
        <v>0</v>
      </c>
      <c r="H303" s="55">
        <f t="shared" si="182"/>
        <v>0</v>
      </c>
      <c r="I303" s="76">
        <f t="shared" si="163"/>
        <v>0</v>
      </c>
      <c r="J303" s="58">
        <f t="shared" si="164"/>
        <v>0</v>
      </c>
      <c r="K303" s="58">
        <f t="shared" si="165"/>
        <v>0</v>
      </c>
      <c r="L303" s="58">
        <f t="shared" si="166"/>
        <v>0</v>
      </c>
      <c r="M303" s="58" t="str">
        <f t="shared" ca="1" si="167"/>
        <v/>
      </c>
      <c r="N303" s="58" t="str">
        <f t="shared" ca="1" si="167"/>
        <v/>
      </c>
      <c r="O303" s="58">
        <f t="shared" si="168"/>
        <v>5.0000000000000001E-4</v>
      </c>
      <c r="P303" s="77"/>
      <c r="Q303" s="60"/>
      <c r="R303" s="77"/>
      <c r="S303" s="78">
        <f t="shared" si="155"/>
        <v>0</v>
      </c>
      <c r="T303" s="55">
        <f t="shared" si="155"/>
        <v>0</v>
      </c>
      <c r="U303" s="79">
        <f t="shared" si="175"/>
        <v>0</v>
      </c>
      <c r="V303" s="63">
        <f t="shared" si="176"/>
        <v>0</v>
      </c>
      <c r="W303" s="64">
        <f t="shared" si="181"/>
        <v>137</v>
      </c>
      <c r="X303" s="80">
        <f t="shared" si="180"/>
        <v>166</v>
      </c>
      <c r="Y303" s="75"/>
      <c r="Z303" s="60"/>
      <c r="AA303" s="75"/>
      <c r="AB303" s="75"/>
      <c r="AC303" s="75"/>
      <c r="AD303" s="75"/>
      <c r="AE303" s="81">
        <f t="shared" si="156"/>
        <v>0</v>
      </c>
      <c r="AF303" s="55">
        <f t="shared" si="157"/>
        <v>0</v>
      </c>
      <c r="AG303" s="76">
        <f t="shared" si="151"/>
        <v>0</v>
      </c>
      <c r="AH303" s="82">
        <f t="shared" si="152"/>
        <v>0</v>
      </c>
      <c r="AI303" s="83">
        <f t="shared" si="152"/>
        <v>0</v>
      </c>
      <c r="AJ303" s="83">
        <f t="shared" si="152"/>
        <v>0</v>
      </c>
      <c r="AK303" s="58">
        <f t="shared" si="152"/>
        <v>0</v>
      </c>
      <c r="AL303" s="82">
        <f t="shared" si="158"/>
        <v>0</v>
      </c>
      <c r="AM303" s="58">
        <f t="shared" si="159"/>
        <v>0</v>
      </c>
      <c r="AN303" s="74"/>
      <c r="AO303" s="84"/>
      <c r="AP303" s="74"/>
      <c r="AQ303" s="85"/>
      <c r="AR303" s="74"/>
      <c r="AS303" s="74"/>
      <c r="AT303" s="74"/>
      <c r="AU303" s="55" t="str">
        <f t="shared" si="169"/>
        <v/>
      </c>
      <c r="AV303" s="55" t="str">
        <f t="shared" ca="1" si="170"/>
        <v/>
      </c>
      <c r="AW303" s="55" t="str">
        <f t="shared" si="160"/>
        <v/>
      </c>
      <c r="AX303" s="55" t="str">
        <f t="shared" ca="1" si="161"/>
        <v/>
      </c>
      <c r="AY303" s="86"/>
      <c r="AZ303" s="86"/>
      <c r="BA303" s="55" t="str">
        <f t="shared" si="171"/>
        <v/>
      </c>
      <c r="BB303" s="86"/>
      <c r="BC303" s="86"/>
      <c r="BD303" s="55" t="str">
        <f t="shared" si="172"/>
        <v/>
      </c>
      <c r="BE303" s="74"/>
      <c r="BS303" s="118"/>
      <c r="BT303" s="118"/>
      <c r="BU303" s="118"/>
      <c r="BV303" s="118"/>
      <c r="BW303" s="118"/>
      <c r="BX303" s="118"/>
      <c r="BZ303" s="118"/>
      <c r="CB303" s="118"/>
      <c r="CC303" s="118"/>
      <c r="CD303" s="118"/>
    </row>
    <row r="304" spans="1:82" ht="17.399999999999999" customHeight="1" thickBot="1">
      <c r="A304" s="72">
        <f t="shared" si="174"/>
        <v>42.7</v>
      </c>
      <c r="B304" s="113">
        <f t="shared" si="154"/>
        <v>294</v>
      </c>
      <c r="C304" s="89"/>
      <c r="D304" s="90"/>
      <c r="E304" s="91"/>
      <c r="F304" s="90"/>
      <c r="G304" s="92">
        <f t="shared" si="182"/>
        <v>0</v>
      </c>
      <c r="H304" s="93">
        <f t="shared" si="182"/>
        <v>0</v>
      </c>
      <c r="I304" s="94">
        <f t="shared" si="163"/>
        <v>0</v>
      </c>
      <c r="J304" s="95">
        <f t="shared" si="164"/>
        <v>0</v>
      </c>
      <c r="K304" s="95">
        <f t="shared" si="165"/>
        <v>0</v>
      </c>
      <c r="L304" s="95">
        <f t="shared" si="166"/>
        <v>0</v>
      </c>
      <c r="M304" s="95" t="str">
        <f t="shared" ca="1" si="167"/>
        <v/>
      </c>
      <c r="N304" s="95" t="str">
        <f t="shared" ca="1" si="167"/>
        <v/>
      </c>
      <c r="O304" s="95">
        <f t="shared" si="168"/>
        <v>5.0000000000000001E-4</v>
      </c>
      <c r="P304" s="96"/>
      <c r="Q304" s="89"/>
      <c r="R304" s="96"/>
      <c r="S304" s="78">
        <f t="shared" si="155"/>
        <v>0</v>
      </c>
      <c r="T304" s="55">
        <f t="shared" si="155"/>
        <v>0</v>
      </c>
      <c r="U304" s="97">
        <f t="shared" si="175"/>
        <v>0</v>
      </c>
      <c r="V304" s="98">
        <f t="shared" si="176"/>
        <v>0</v>
      </c>
      <c r="W304" s="99">
        <f t="shared" si="181"/>
        <v>137</v>
      </c>
      <c r="X304" s="100">
        <f t="shared" si="180"/>
        <v>166</v>
      </c>
      <c r="Y304" s="91"/>
      <c r="Z304" s="60"/>
      <c r="AA304" s="75"/>
      <c r="AB304" s="75"/>
      <c r="AC304" s="75"/>
      <c r="AD304" s="75"/>
      <c r="AE304" s="101">
        <f t="shared" si="156"/>
        <v>0</v>
      </c>
      <c r="AF304" s="93">
        <f t="shared" si="157"/>
        <v>0</v>
      </c>
      <c r="AG304" s="94">
        <f t="shared" si="151"/>
        <v>0</v>
      </c>
      <c r="AH304" s="102">
        <f t="shared" si="152"/>
        <v>0</v>
      </c>
      <c r="AI304" s="103">
        <f t="shared" si="152"/>
        <v>0</v>
      </c>
      <c r="AJ304" s="103">
        <f t="shared" si="152"/>
        <v>0</v>
      </c>
      <c r="AK304" s="95">
        <f t="shared" si="152"/>
        <v>0</v>
      </c>
      <c r="AL304" s="102">
        <f t="shared" si="158"/>
        <v>0</v>
      </c>
      <c r="AM304" s="95">
        <f t="shared" si="159"/>
        <v>0</v>
      </c>
      <c r="AN304" s="90"/>
      <c r="AO304" s="104"/>
      <c r="AP304" s="90"/>
      <c r="AQ304" s="105"/>
      <c r="AR304" s="90"/>
      <c r="AS304" s="90"/>
      <c r="AT304" s="90"/>
      <c r="AU304" s="93" t="str">
        <f t="shared" si="169"/>
        <v/>
      </c>
      <c r="AV304" s="93" t="str">
        <f t="shared" ca="1" si="170"/>
        <v/>
      </c>
      <c r="AW304" s="93" t="str">
        <f t="shared" si="160"/>
        <v/>
      </c>
      <c r="AX304" s="93" t="str">
        <f t="shared" ca="1" si="161"/>
        <v/>
      </c>
      <c r="AY304" s="106"/>
      <c r="AZ304" s="106"/>
      <c r="BA304" s="93" t="str">
        <f t="shared" si="171"/>
        <v/>
      </c>
      <c r="BB304" s="106"/>
      <c r="BC304" s="106"/>
      <c r="BD304" s="93" t="str">
        <f t="shared" si="172"/>
        <v/>
      </c>
      <c r="BE304" s="90"/>
      <c r="BS304" s="118"/>
      <c r="BT304" s="118"/>
      <c r="BU304" s="118"/>
      <c r="BV304" s="118"/>
      <c r="BW304" s="118"/>
      <c r="BX304" s="118"/>
      <c r="BZ304" s="118"/>
      <c r="CB304" s="118"/>
      <c r="CC304" s="118"/>
      <c r="CD304" s="118"/>
    </row>
    <row r="305" spans="1:82" ht="17.399999999999999" customHeight="1" thickTop="1">
      <c r="A305" s="49">
        <f>A298+1</f>
        <v>43.1</v>
      </c>
      <c r="B305" s="108">
        <f>B304+1</f>
        <v>295</v>
      </c>
      <c r="C305" s="51"/>
      <c r="D305" s="52"/>
      <c r="E305" s="53"/>
      <c r="F305" s="52"/>
      <c r="G305" s="54">
        <f t="shared" si="182"/>
        <v>0</v>
      </c>
      <c r="H305" s="55">
        <f t="shared" si="182"/>
        <v>0</v>
      </c>
      <c r="I305" s="56">
        <f t="shared" si="163"/>
        <v>0</v>
      </c>
      <c r="J305" s="57">
        <f t="shared" si="164"/>
        <v>0</v>
      </c>
      <c r="K305" s="57">
        <f t="shared" si="165"/>
        <v>0</v>
      </c>
      <c r="L305" s="57">
        <f t="shared" si="166"/>
        <v>0</v>
      </c>
      <c r="M305" s="58" t="str">
        <f t="shared" ca="1" si="167"/>
        <v/>
      </c>
      <c r="N305" s="58" t="str">
        <f t="shared" ca="1" si="167"/>
        <v/>
      </c>
      <c r="O305" s="58">
        <f t="shared" si="168"/>
        <v>5.0000000000000001E-4</v>
      </c>
      <c r="P305" s="77"/>
      <c r="Q305" s="60"/>
      <c r="R305" s="77"/>
      <c r="S305" s="109">
        <f t="shared" si="155"/>
        <v>0</v>
      </c>
      <c r="T305" s="61">
        <f t="shared" si="155"/>
        <v>0</v>
      </c>
      <c r="U305" s="62">
        <f t="shared" si="175"/>
        <v>0</v>
      </c>
      <c r="V305" s="63">
        <f t="shared" si="176"/>
        <v>0</v>
      </c>
      <c r="W305" s="64">
        <v>138</v>
      </c>
      <c r="X305" s="80">
        <f t="shared" si="180"/>
        <v>166</v>
      </c>
      <c r="Y305" s="53"/>
      <c r="Z305" s="51"/>
      <c r="AA305" s="53"/>
      <c r="AB305" s="53"/>
      <c r="AC305" s="53"/>
      <c r="AD305" s="53"/>
      <c r="AE305" s="66">
        <f t="shared" si="156"/>
        <v>0</v>
      </c>
      <c r="AF305" s="61">
        <f t="shared" si="157"/>
        <v>0</v>
      </c>
      <c r="AG305" s="56">
        <f t="shared" si="151"/>
        <v>0</v>
      </c>
      <c r="AH305" s="67">
        <f t="shared" si="152"/>
        <v>0</v>
      </c>
      <c r="AI305" s="68">
        <f t="shared" si="152"/>
        <v>0</v>
      </c>
      <c r="AJ305" s="68">
        <f t="shared" si="152"/>
        <v>0</v>
      </c>
      <c r="AK305" s="57">
        <f t="shared" si="152"/>
        <v>0</v>
      </c>
      <c r="AL305" s="67">
        <f t="shared" si="158"/>
        <v>0</v>
      </c>
      <c r="AM305" s="57">
        <f t="shared" si="159"/>
        <v>0</v>
      </c>
      <c r="AN305" s="52"/>
      <c r="AO305" s="69"/>
      <c r="AP305" s="52"/>
      <c r="AQ305" s="70"/>
      <c r="AR305" s="52"/>
      <c r="AS305" s="52"/>
      <c r="AT305" s="52"/>
      <c r="AU305" s="61" t="str">
        <f t="shared" si="169"/>
        <v/>
      </c>
      <c r="AV305" s="61" t="str">
        <f t="shared" ca="1" si="170"/>
        <v/>
      </c>
      <c r="AW305" s="61" t="str">
        <f t="shared" si="160"/>
        <v/>
      </c>
      <c r="AX305" s="61" t="str">
        <f t="shared" ca="1" si="161"/>
        <v/>
      </c>
      <c r="AY305" s="71"/>
      <c r="AZ305" s="71"/>
      <c r="BA305" s="61" t="str">
        <f t="shared" si="171"/>
        <v/>
      </c>
      <c r="BB305" s="71"/>
      <c r="BC305" s="71"/>
      <c r="BD305" s="61" t="str">
        <f t="shared" si="172"/>
        <v/>
      </c>
      <c r="BE305" s="52"/>
      <c r="BS305" s="118"/>
      <c r="BT305" s="118"/>
      <c r="BU305" s="118"/>
      <c r="BV305" s="118"/>
      <c r="BW305" s="118"/>
      <c r="BX305" s="118"/>
      <c r="BZ305" s="118"/>
      <c r="CB305" s="118"/>
      <c r="CC305" s="118"/>
      <c r="CD305" s="118"/>
    </row>
    <row r="306" spans="1:82" ht="17.399999999999999" customHeight="1">
      <c r="A306" s="72">
        <f t="shared" si="174"/>
        <v>43.2</v>
      </c>
      <c r="B306" s="111">
        <f t="shared" si="154"/>
        <v>296</v>
      </c>
      <c r="C306" s="60"/>
      <c r="D306" s="74"/>
      <c r="E306" s="75"/>
      <c r="F306" s="74"/>
      <c r="G306" s="54">
        <f t="shared" si="182"/>
        <v>0</v>
      </c>
      <c r="H306" s="55">
        <f t="shared" si="182"/>
        <v>0</v>
      </c>
      <c r="I306" s="76">
        <f t="shared" si="163"/>
        <v>0</v>
      </c>
      <c r="J306" s="58">
        <f t="shared" si="164"/>
        <v>0</v>
      </c>
      <c r="K306" s="58">
        <f t="shared" si="165"/>
        <v>0</v>
      </c>
      <c r="L306" s="58">
        <f t="shared" si="166"/>
        <v>0</v>
      </c>
      <c r="M306" s="58" t="str">
        <f t="shared" ca="1" si="167"/>
        <v/>
      </c>
      <c r="N306" s="58" t="str">
        <f t="shared" ca="1" si="167"/>
        <v/>
      </c>
      <c r="O306" s="58">
        <f t="shared" si="168"/>
        <v>5.0000000000000001E-4</v>
      </c>
      <c r="P306" s="77"/>
      <c r="Q306" s="60"/>
      <c r="R306" s="77"/>
      <c r="S306" s="78">
        <f t="shared" si="155"/>
        <v>0</v>
      </c>
      <c r="T306" s="55">
        <f t="shared" si="155"/>
        <v>0</v>
      </c>
      <c r="U306" s="79">
        <f t="shared" si="175"/>
        <v>0</v>
      </c>
      <c r="V306" s="63">
        <f t="shared" si="176"/>
        <v>0</v>
      </c>
      <c r="W306" s="64">
        <f t="shared" ref="W306:X311" si="183">W305</f>
        <v>138</v>
      </c>
      <c r="X306" s="80">
        <f t="shared" si="180"/>
        <v>166</v>
      </c>
      <c r="Y306" s="75"/>
      <c r="Z306" s="60"/>
      <c r="AA306" s="75"/>
      <c r="AB306" s="75"/>
      <c r="AC306" s="75"/>
      <c r="AD306" s="75"/>
      <c r="AE306" s="81">
        <f t="shared" si="156"/>
        <v>0</v>
      </c>
      <c r="AF306" s="55">
        <f t="shared" si="157"/>
        <v>0</v>
      </c>
      <c r="AG306" s="76">
        <f t="shared" si="151"/>
        <v>0</v>
      </c>
      <c r="AH306" s="82">
        <f t="shared" si="152"/>
        <v>0</v>
      </c>
      <c r="AI306" s="83">
        <f t="shared" si="152"/>
        <v>0</v>
      </c>
      <c r="AJ306" s="83">
        <f t="shared" si="152"/>
        <v>0</v>
      </c>
      <c r="AK306" s="58">
        <f t="shared" si="152"/>
        <v>0</v>
      </c>
      <c r="AL306" s="82">
        <f t="shared" si="158"/>
        <v>0</v>
      </c>
      <c r="AM306" s="58">
        <f t="shared" si="159"/>
        <v>0</v>
      </c>
      <c r="AN306" s="74"/>
      <c r="AO306" s="84"/>
      <c r="AP306" s="74"/>
      <c r="AQ306" s="85"/>
      <c r="AR306" s="74"/>
      <c r="AS306" s="74"/>
      <c r="AT306" s="74"/>
      <c r="AU306" s="55" t="str">
        <f t="shared" si="169"/>
        <v/>
      </c>
      <c r="AV306" s="55" t="str">
        <f t="shared" ca="1" si="170"/>
        <v/>
      </c>
      <c r="AW306" s="55" t="str">
        <f t="shared" si="160"/>
        <v/>
      </c>
      <c r="AX306" s="55" t="str">
        <f t="shared" ca="1" si="161"/>
        <v/>
      </c>
      <c r="AY306" s="86"/>
      <c r="AZ306" s="86"/>
      <c r="BA306" s="55" t="str">
        <f t="shared" si="171"/>
        <v/>
      </c>
      <c r="BB306" s="86"/>
      <c r="BC306" s="86"/>
      <c r="BD306" s="55" t="str">
        <f t="shared" si="172"/>
        <v/>
      </c>
      <c r="BE306" s="74"/>
      <c r="BS306" s="118"/>
      <c r="BT306" s="118"/>
      <c r="BU306" s="118"/>
      <c r="BV306" s="118"/>
      <c r="BW306" s="118"/>
      <c r="BX306" s="118"/>
      <c r="BZ306" s="118"/>
      <c r="CB306" s="118"/>
      <c r="CC306" s="118"/>
      <c r="CD306" s="118"/>
    </row>
    <row r="307" spans="1:82" ht="17.399999999999999" customHeight="1">
      <c r="A307" s="87">
        <f t="shared" si="174"/>
        <v>43.3</v>
      </c>
      <c r="B307" s="111">
        <f t="shared" si="154"/>
        <v>297</v>
      </c>
      <c r="C307" s="60"/>
      <c r="D307" s="74"/>
      <c r="E307" s="75"/>
      <c r="F307" s="74"/>
      <c r="G307" s="54">
        <f t="shared" si="182"/>
        <v>0</v>
      </c>
      <c r="H307" s="55">
        <f t="shared" si="182"/>
        <v>0</v>
      </c>
      <c r="I307" s="76">
        <f t="shared" si="163"/>
        <v>0</v>
      </c>
      <c r="J307" s="58">
        <f t="shared" si="164"/>
        <v>0</v>
      </c>
      <c r="K307" s="58">
        <f t="shared" si="165"/>
        <v>0</v>
      </c>
      <c r="L307" s="58">
        <f t="shared" si="166"/>
        <v>0</v>
      </c>
      <c r="M307" s="58" t="str">
        <f t="shared" ca="1" si="167"/>
        <v/>
      </c>
      <c r="N307" s="58" t="str">
        <f t="shared" ca="1" si="167"/>
        <v/>
      </c>
      <c r="O307" s="58">
        <f t="shared" si="168"/>
        <v>5.0000000000000001E-4</v>
      </c>
      <c r="P307" s="77"/>
      <c r="Q307" s="60"/>
      <c r="R307" s="77"/>
      <c r="S307" s="78">
        <f t="shared" si="155"/>
        <v>0</v>
      </c>
      <c r="T307" s="55">
        <f t="shared" si="155"/>
        <v>0</v>
      </c>
      <c r="U307" s="79">
        <f t="shared" si="175"/>
        <v>0</v>
      </c>
      <c r="V307" s="63">
        <f t="shared" si="176"/>
        <v>0</v>
      </c>
      <c r="W307" s="64">
        <f t="shared" si="183"/>
        <v>138</v>
      </c>
      <c r="X307" s="80">
        <f t="shared" si="180"/>
        <v>166</v>
      </c>
      <c r="Y307" s="75"/>
      <c r="Z307" s="60"/>
      <c r="AA307" s="75"/>
      <c r="AB307" s="75"/>
      <c r="AC307" s="75"/>
      <c r="AD307" s="75"/>
      <c r="AE307" s="81">
        <f t="shared" si="156"/>
        <v>0</v>
      </c>
      <c r="AF307" s="55">
        <f t="shared" si="157"/>
        <v>0</v>
      </c>
      <c r="AG307" s="76">
        <f t="shared" si="151"/>
        <v>0</v>
      </c>
      <c r="AH307" s="82">
        <f t="shared" si="152"/>
        <v>0</v>
      </c>
      <c r="AI307" s="83">
        <f t="shared" si="152"/>
        <v>0</v>
      </c>
      <c r="AJ307" s="83">
        <f t="shared" si="152"/>
        <v>0</v>
      </c>
      <c r="AK307" s="58">
        <f t="shared" si="152"/>
        <v>0</v>
      </c>
      <c r="AL307" s="82">
        <f t="shared" si="158"/>
        <v>0</v>
      </c>
      <c r="AM307" s="58">
        <f t="shared" si="159"/>
        <v>0</v>
      </c>
      <c r="AN307" s="74"/>
      <c r="AO307" s="84"/>
      <c r="AP307" s="74"/>
      <c r="AQ307" s="85"/>
      <c r="AR307" s="74"/>
      <c r="AS307" s="74"/>
      <c r="AT307" s="74"/>
      <c r="AU307" s="55" t="str">
        <f t="shared" si="169"/>
        <v/>
      </c>
      <c r="AV307" s="55" t="str">
        <f t="shared" ca="1" si="170"/>
        <v/>
      </c>
      <c r="AW307" s="55" t="str">
        <f t="shared" si="160"/>
        <v/>
      </c>
      <c r="AX307" s="55" t="str">
        <f t="shared" ca="1" si="161"/>
        <v/>
      </c>
      <c r="AY307" s="86"/>
      <c r="AZ307" s="86"/>
      <c r="BA307" s="55" t="str">
        <f t="shared" si="171"/>
        <v/>
      </c>
      <c r="BB307" s="86"/>
      <c r="BC307" s="86"/>
      <c r="BD307" s="55" t="str">
        <f t="shared" si="172"/>
        <v/>
      </c>
      <c r="BE307" s="74"/>
      <c r="BS307" s="118"/>
      <c r="BT307" s="118"/>
      <c r="BU307" s="118"/>
      <c r="BV307" s="118"/>
      <c r="BW307" s="118"/>
      <c r="BX307" s="118"/>
      <c r="BZ307" s="118"/>
      <c r="CB307" s="118"/>
      <c r="CC307" s="118"/>
      <c r="CD307" s="118"/>
    </row>
    <row r="308" spans="1:82" ht="17.399999999999999" customHeight="1">
      <c r="A308" s="72">
        <f t="shared" si="174"/>
        <v>43.4</v>
      </c>
      <c r="B308" s="111">
        <f t="shared" si="154"/>
        <v>298</v>
      </c>
      <c r="C308" s="60"/>
      <c r="D308" s="74"/>
      <c r="E308" s="75"/>
      <c r="F308" s="74"/>
      <c r="G308" s="54">
        <f t="shared" si="182"/>
        <v>0</v>
      </c>
      <c r="H308" s="55">
        <f t="shared" si="182"/>
        <v>0</v>
      </c>
      <c r="I308" s="76">
        <f t="shared" si="163"/>
        <v>0</v>
      </c>
      <c r="J308" s="58">
        <f t="shared" si="164"/>
        <v>0</v>
      </c>
      <c r="K308" s="58">
        <f t="shared" si="165"/>
        <v>0</v>
      </c>
      <c r="L308" s="58">
        <f t="shared" si="166"/>
        <v>0</v>
      </c>
      <c r="M308" s="58" t="str">
        <f t="shared" ca="1" si="167"/>
        <v/>
      </c>
      <c r="N308" s="58" t="str">
        <f t="shared" ca="1" si="167"/>
        <v/>
      </c>
      <c r="O308" s="58">
        <f t="shared" si="168"/>
        <v>5.0000000000000001E-4</v>
      </c>
      <c r="P308" s="77"/>
      <c r="Q308" s="60"/>
      <c r="R308" s="77"/>
      <c r="S308" s="78">
        <f t="shared" si="155"/>
        <v>0</v>
      </c>
      <c r="T308" s="55">
        <f t="shared" si="155"/>
        <v>0</v>
      </c>
      <c r="U308" s="79">
        <f t="shared" si="175"/>
        <v>0</v>
      </c>
      <c r="V308" s="63">
        <f t="shared" si="176"/>
        <v>0</v>
      </c>
      <c r="W308" s="64">
        <f t="shared" si="183"/>
        <v>138</v>
      </c>
      <c r="X308" s="80">
        <f t="shared" si="183"/>
        <v>166</v>
      </c>
      <c r="Y308" s="75"/>
      <c r="Z308" s="60"/>
      <c r="AA308" s="75"/>
      <c r="AB308" s="75"/>
      <c r="AC308" s="75"/>
      <c r="AD308" s="75"/>
      <c r="AE308" s="81">
        <f t="shared" si="156"/>
        <v>0</v>
      </c>
      <c r="AF308" s="55">
        <f t="shared" si="157"/>
        <v>0</v>
      </c>
      <c r="AG308" s="76">
        <f t="shared" si="151"/>
        <v>0</v>
      </c>
      <c r="AH308" s="82">
        <f t="shared" si="152"/>
        <v>0</v>
      </c>
      <c r="AI308" s="83">
        <f t="shared" si="152"/>
        <v>0</v>
      </c>
      <c r="AJ308" s="83">
        <f t="shared" si="152"/>
        <v>0</v>
      </c>
      <c r="AK308" s="58">
        <f t="shared" si="152"/>
        <v>0</v>
      </c>
      <c r="AL308" s="82">
        <f t="shared" si="158"/>
        <v>0</v>
      </c>
      <c r="AM308" s="58">
        <f t="shared" si="159"/>
        <v>0</v>
      </c>
      <c r="AN308" s="74"/>
      <c r="AO308" s="84"/>
      <c r="AP308" s="74"/>
      <c r="AQ308" s="85"/>
      <c r="AR308" s="74"/>
      <c r="AS308" s="74"/>
      <c r="AT308" s="74"/>
      <c r="AU308" s="55" t="str">
        <f t="shared" si="169"/>
        <v/>
      </c>
      <c r="AV308" s="55" t="str">
        <f t="shared" ca="1" si="170"/>
        <v/>
      </c>
      <c r="AW308" s="55" t="str">
        <f t="shared" si="160"/>
        <v/>
      </c>
      <c r="AX308" s="55" t="str">
        <f t="shared" ca="1" si="161"/>
        <v/>
      </c>
      <c r="AY308" s="86"/>
      <c r="AZ308" s="86"/>
      <c r="BA308" s="55" t="str">
        <f t="shared" si="171"/>
        <v/>
      </c>
      <c r="BB308" s="86"/>
      <c r="BC308" s="86"/>
      <c r="BD308" s="55" t="str">
        <f t="shared" si="172"/>
        <v/>
      </c>
      <c r="BE308" s="74"/>
      <c r="BS308" s="118"/>
      <c r="BT308" s="118"/>
      <c r="BU308" s="118"/>
      <c r="BV308" s="118"/>
      <c r="BW308" s="118"/>
      <c r="BX308" s="118"/>
      <c r="BZ308" s="118"/>
      <c r="CB308" s="118"/>
      <c r="CC308" s="118"/>
      <c r="CD308" s="118"/>
    </row>
    <row r="309" spans="1:82" ht="17.399999999999999" customHeight="1">
      <c r="A309" s="87">
        <f t="shared" si="174"/>
        <v>43.5</v>
      </c>
      <c r="B309" s="111">
        <f t="shared" si="154"/>
        <v>299</v>
      </c>
      <c r="C309" s="60"/>
      <c r="D309" s="74"/>
      <c r="E309" s="75"/>
      <c r="F309" s="74"/>
      <c r="G309" s="54">
        <f t="shared" si="182"/>
        <v>0</v>
      </c>
      <c r="H309" s="55">
        <f t="shared" si="182"/>
        <v>0</v>
      </c>
      <c r="I309" s="76">
        <f t="shared" si="163"/>
        <v>0</v>
      </c>
      <c r="J309" s="58">
        <f t="shared" si="164"/>
        <v>0</v>
      </c>
      <c r="K309" s="58">
        <f t="shared" si="165"/>
        <v>0</v>
      </c>
      <c r="L309" s="58">
        <f t="shared" si="166"/>
        <v>0</v>
      </c>
      <c r="M309" s="58" t="str">
        <f t="shared" ca="1" si="167"/>
        <v/>
      </c>
      <c r="N309" s="58" t="str">
        <f t="shared" ca="1" si="167"/>
        <v/>
      </c>
      <c r="O309" s="58">
        <f t="shared" si="168"/>
        <v>5.0000000000000001E-4</v>
      </c>
      <c r="P309" s="77"/>
      <c r="Q309" s="60"/>
      <c r="R309" s="77"/>
      <c r="S309" s="78">
        <f t="shared" si="155"/>
        <v>0</v>
      </c>
      <c r="T309" s="55">
        <f t="shared" si="155"/>
        <v>0</v>
      </c>
      <c r="U309" s="79">
        <f t="shared" si="175"/>
        <v>0</v>
      </c>
      <c r="V309" s="63">
        <f t="shared" si="176"/>
        <v>0</v>
      </c>
      <c r="W309" s="64">
        <f t="shared" si="183"/>
        <v>138</v>
      </c>
      <c r="X309" s="80">
        <f t="shared" si="183"/>
        <v>166</v>
      </c>
      <c r="Y309" s="75"/>
      <c r="Z309" s="60"/>
      <c r="AA309" s="75"/>
      <c r="AB309" s="75"/>
      <c r="AC309" s="75"/>
      <c r="AD309" s="75"/>
      <c r="AE309" s="81">
        <f t="shared" si="156"/>
        <v>0</v>
      </c>
      <c r="AF309" s="55">
        <f t="shared" si="157"/>
        <v>0</v>
      </c>
      <c r="AG309" s="76">
        <f t="shared" si="151"/>
        <v>0</v>
      </c>
      <c r="AH309" s="82">
        <f t="shared" si="152"/>
        <v>0</v>
      </c>
      <c r="AI309" s="83">
        <f t="shared" si="152"/>
        <v>0</v>
      </c>
      <c r="AJ309" s="83">
        <f t="shared" si="152"/>
        <v>0</v>
      </c>
      <c r="AK309" s="58">
        <f t="shared" si="152"/>
        <v>0</v>
      </c>
      <c r="AL309" s="82">
        <f t="shared" si="158"/>
        <v>0</v>
      </c>
      <c r="AM309" s="58">
        <f t="shared" si="159"/>
        <v>0</v>
      </c>
      <c r="AN309" s="74"/>
      <c r="AO309" s="84"/>
      <c r="AP309" s="74"/>
      <c r="AQ309" s="85"/>
      <c r="AR309" s="74"/>
      <c r="AS309" s="74"/>
      <c r="AT309" s="74"/>
      <c r="AU309" s="55" t="str">
        <f t="shared" si="169"/>
        <v/>
      </c>
      <c r="AV309" s="55" t="str">
        <f t="shared" ca="1" si="170"/>
        <v/>
      </c>
      <c r="AW309" s="55" t="str">
        <f t="shared" si="160"/>
        <v/>
      </c>
      <c r="AX309" s="55" t="str">
        <f t="shared" ca="1" si="161"/>
        <v/>
      </c>
      <c r="AY309" s="86"/>
      <c r="AZ309" s="86"/>
      <c r="BA309" s="55" t="str">
        <f t="shared" si="171"/>
        <v/>
      </c>
      <c r="BB309" s="86"/>
      <c r="BC309" s="86"/>
      <c r="BD309" s="55" t="str">
        <f t="shared" si="172"/>
        <v/>
      </c>
      <c r="BE309" s="74"/>
      <c r="BS309" s="118"/>
      <c r="BT309" s="118"/>
      <c r="BU309" s="118"/>
      <c r="BV309" s="118"/>
      <c r="BW309" s="118"/>
      <c r="BX309" s="118"/>
      <c r="BZ309" s="118"/>
      <c r="CB309" s="118"/>
      <c r="CC309" s="118"/>
      <c r="CD309" s="118"/>
    </row>
    <row r="310" spans="1:82" ht="17.399999999999999" customHeight="1">
      <c r="A310" s="72">
        <f t="shared" si="174"/>
        <v>43.6</v>
      </c>
      <c r="B310" s="111">
        <f t="shared" si="154"/>
        <v>300</v>
      </c>
      <c r="C310" s="60"/>
      <c r="D310" s="74"/>
      <c r="E310" s="75"/>
      <c r="F310" s="74"/>
      <c r="G310" s="54">
        <f t="shared" si="182"/>
        <v>0</v>
      </c>
      <c r="H310" s="55">
        <f t="shared" si="182"/>
        <v>0</v>
      </c>
      <c r="I310" s="76">
        <f t="shared" si="163"/>
        <v>0</v>
      </c>
      <c r="J310" s="58">
        <f t="shared" si="164"/>
        <v>0</v>
      </c>
      <c r="K310" s="58">
        <f t="shared" si="165"/>
        <v>0</v>
      </c>
      <c r="L310" s="58">
        <f t="shared" si="166"/>
        <v>0</v>
      </c>
      <c r="M310" s="58" t="str">
        <f t="shared" ca="1" si="167"/>
        <v/>
      </c>
      <c r="N310" s="58" t="str">
        <f t="shared" ca="1" si="167"/>
        <v/>
      </c>
      <c r="O310" s="58">
        <f t="shared" si="168"/>
        <v>5.0000000000000001E-4</v>
      </c>
      <c r="P310" s="77"/>
      <c r="Q310" s="60"/>
      <c r="R310" s="77"/>
      <c r="S310" s="78">
        <f t="shared" si="155"/>
        <v>0</v>
      </c>
      <c r="T310" s="55">
        <f t="shared" si="155"/>
        <v>0</v>
      </c>
      <c r="U310" s="79">
        <f t="shared" si="175"/>
        <v>0</v>
      </c>
      <c r="V310" s="63">
        <f t="shared" si="176"/>
        <v>0</v>
      </c>
      <c r="W310" s="64">
        <f t="shared" si="183"/>
        <v>138</v>
      </c>
      <c r="X310" s="80">
        <f t="shared" si="183"/>
        <v>166</v>
      </c>
      <c r="Y310" s="75"/>
      <c r="Z310" s="60"/>
      <c r="AA310" s="75"/>
      <c r="AB310" s="75"/>
      <c r="AC310" s="75"/>
      <c r="AD310" s="75"/>
      <c r="AE310" s="81">
        <f t="shared" si="156"/>
        <v>0</v>
      </c>
      <c r="AF310" s="55">
        <f t="shared" si="157"/>
        <v>0</v>
      </c>
      <c r="AG310" s="76">
        <f t="shared" si="151"/>
        <v>0</v>
      </c>
      <c r="AH310" s="82">
        <f t="shared" si="152"/>
        <v>0</v>
      </c>
      <c r="AI310" s="83">
        <f t="shared" si="152"/>
        <v>0</v>
      </c>
      <c r="AJ310" s="83">
        <f t="shared" si="152"/>
        <v>0</v>
      </c>
      <c r="AK310" s="58">
        <f t="shared" si="152"/>
        <v>0</v>
      </c>
      <c r="AL310" s="82">
        <f t="shared" si="158"/>
        <v>0</v>
      </c>
      <c r="AM310" s="58">
        <f t="shared" si="159"/>
        <v>0</v>
      </c>
      <c r="AN310" s="74"/>
      <c r="AO310" s="84"/>
      <c r="AP310" s="74"/>
      <c r="AQ310" s="85"/>
      <c r="AR310" s="74"/>
      <c r="AS310" s="74"/>
      <c r="AT310" s="74"/>
      <c r="AU310" s="55" t="str">
        <f t="shared" si="169"/>
        <v/>
      </c>
      <c r="AV310" s="55" t="str">
        <f t="shared" ca="1" si="170"/>
        <v/>
      </c>
      <c r="AW310" s="55" t="str">
        <f t="shared" si="160"/>
        <v/>
      </c>
      <c r="AX310" s="55" t="str">
        <f t="shared" ca="1" si="161"/>
        <v/>
      </c>
      <c r="AY310" s="86"/>
      <c r="AZ310" s="86"/>
      <c r="BA310" s="55" t="str">
        <f t="shared" si="171"/>
        <v/>
      </c>
      <c r="BB310" s="86"/>
      <c r="BC310" s="86"/>
      <c r="BD310" s="55" t="str">
        <f t="shared" si="172"/>
        <v/>
      </c>
      <c r="BE310" s="74"/>
      <c r="BS310" s="118"/>
      <c r="BT310" s="118"/>
      <c r="BU310" s="118"/>
      <c r="BV310" s="118"/>
      <c r="BW310" s="118"/>
      <c r="BX310" s="118"/>
      <c r="BZ310" s="118"/>
      <c r="CB310" s="118"/>
      <c r="CC310" s="118"/>
      <c r="CD310" s="118"/>
    </row>
    <row r="311" spans="1:82" ht="17.399999999999999" customHeight="1" thickBot="1">
      <c r="A311" s="87">
        <f t="shared" si="174"/>
        <v>43.7</v>
      </c>
      <c r="B311" s="113">
        <f t="shared" si="154"/>
        <v>301</v>
      </c>
      <c r="C311" s="89"/>
      <c r="D311" s="90"/>
      <c r="E311" s="91"/>
      <c r="F311" s="90"/>
      <c r="G311" s="92">
        <f t="shared" si="182"/>
        <v>0</v>
      </c>
      <c r="H311" s="93">
        <f t="shared" si="182"/>
        <v>0</v>
      </c>
      <c r="I311" s="94">
        <f t="shared" si="163"/>
        <v>0</v>
      </c>
      <c r="J311" s="95">
        <f t="shared" si="164"/>
        <v>0</v>
      </c>
      <c r="K311" s="95">
        <f t="shared" si="165"/>
        <v>0</v>
      </c>
      <c r="L311" s="95">
        <f t="shared" si="166"/>
        <v>0</v>
      </c>
      <c r="M311" s="95" t="str">
        <f t="shared" ca="1" si="167"/>
        <v/>
      </c>
      <c r="N311" s="95" t="str">
        <f t="shared" ca="1" si="167"/>
        <v/>
      </c>
      <c r="O311" s="95">
        <f t="shared" si="168"/>
        <v>5.0000000000000001E-4</v>
      </c>
      <c r="P311" s="96"/>
      <c r="Q311" s="89"/>
      <c r="R311" s="96"/>
      <c r="S311" s="78">
        <f t="shared" si="155"/>
        <v>0</v>
      </c>
      <c r="T311" s="55">
        <f t="shared" si="155"/>
        <v>0</v>
      </c>
      <c r="U311" s="97">
        <f t="shared" si="175"/>
        <v>0</v>
      </c>
      <c r="V311" s="98">
        <f t="shared" si="176"/>
        <v>0</v>
      </c>
      <c r="W311" s="99">
        <f t="shared" si="183"/>
        <v>138</v>
      </c>
      <c r="X311" s="100">
        <f t="shared" si="183"/>
        <v>166</v>
      </c>
      <c r="Y311" s="91"/>
      <c r="Z311" s="60"/>
      <c r="AA311" s="75"/>
      <c r="AB311" s="75"/>
      <c r="AC311" s="75"/>
      <c r="AD311" s="75"/>
      <c r="AE311" s="101">
        <f t="shared" si="156"/>
        <v>0</v>
      </c>
      <c r="AF311" s="93">
        <f t="shared" si="157"/>
        <v>0</v>
      </c>
      <c r="AG311" s="94">
        <f t="shared" si="151"/>
        <v>0</v>
      </c>
      <c r="AH311" s="102">
        <f t="shared" si="152"/>
        <v>0</v>
      </c>
      <c r="AI311" s="103">
        <f t="shared" si="152"/>
        <v>0</v>
      </c>
      <c r="AJ311" s="103">
        <f t="shared" si="152"/>
        <v>0</v>
      </c>
      <c r="AK311" s="95">
        <f t="shared" si="152"/>
        <v>0</v>
      </c>
      <c r="AL311" s="102">
        <f t="shared" si="158"/>
        <v>0</v>
      </c>
      <c r="AM311" s="95">
        <f t="shared" si="159"/>
        <v>0</v>
      </c>
      <c r="AN311" s="90"/>
      <c r="AO311" s="104"/>
      <c r="AP311" s="90"/>
      <c r="AQ311" s="105"/>
      <c r="AR311" s="90"/>
      <c r="AS311" s="90"/>
      <c r="AT311" s="90"/>
      <c r="AU311" s="93" t="str">
        <f t="shared" si="169"/>
        <v/>
      </c>
      <c r="AV311" s="93" t="str">
        <f t="shared" ca="1" si="170"/>
        <v/>
      </c>
      <c r="AW311" s="93" t="str">
        <f t="shared" si="160"/>
        <v/>
      </c>
      <c r="AX311" s="93" t="str">
        <f t="shared" ca="1" si="161"/>
        <v/>
      </c>
      <c r="AY311" s="106"/>
      <c r="AZ311" s="106"/>
      <c r="BA311" s="93" t="str">
        <f t="shared" si="171"/>
        <v/>
      </c>
      <c r="BB311" s="106"/>
      <c r="BC311" s="106"/>
      <c r="BD311" s="93" t="str">
        <f t="shared" si="172"/>
        <v/>
      </c>
      <c r="BE311" s="90"/>
      <c r="BS311" s="118"/>
      <c r="BT311" s="118"/>
      <c r="BU311" s="118"/>
      <c r="BV311" s="118"/>
      <c r="BW311" s="118"/>
      <c r="BX311" s="118"/>
      <c r="BZ311" s="118"/>
      <c r="CB311" s="118"/>
      <c r="CC311" s="118"/>
      <c r="CD311" s="118"/>
    </row>
    <row r="312" spans="1:82" ht="17.399999999999999" customHeight="1" thickTop="1">
      <c r="A312" s="107">
        <f>A305+1</f>
        <v>44.1</v>
      </c>
      <c r="B312" s="108">
        <f>B311+1</f>
        <v>302</v>
      </c>
      <c r="C312" s="51"/>
      <c r="D312" s="52"/>
      <c r="E312" s="53"/>
      <c r="F312" s="52"/>
      <c r="G312" s="54">
        <f t="shared" si="182"/>
        <v>0</v>
      </c>
      <c r="H312" s="55">
        <f t="shared" si="182"/>
        <v>0</v>
      </c>
      <c r="I312" s="56">
        <f t="shared" si="163"/>
        <v>0</v>
      </c>
      <c r="J312" s="57">
        <f t="shared" si="164"/>
        <v>0</v>
      </c>
      <c r="K312" s="57">
        <f t="shared" si="165"/>
        <v>0</v>
      </c>
      <c r="L312" s="57">
        <f t="shared" si="166"/>
        <v>0</v>
      </c>
      <c r="M312" s="58" t="str">
        <f t="shared" ca="1" si="167"/>
        <v/>
      </c>
      <c r="N312" s="58" t="str">
        <f t="shared" ca="1" si="167"/>
        <v/>
      </c>
      <c r="O312" s="58">
        <f t="shared" si="168"/>
        <v>5.0000000000000001E-4</v>
      </c>
      <c r="P312" s="77"/>
      <c r="Q312" s="60"/>
      <c r="R312" s="77"/>
      <c r="S312" s="109">
        <f t="shared" si="155"/>
        <v>0</v>
      </c>
      <c r="T312" s="61">
        <f t="shared" si="155"/>
        <v>0</v>
      </c>
      <c r="U312" s="62">
        <f t="shared" si="175"/>
        <v>0</v>
      </c>
      <c r="V312" s="63">
        <f t="shared" si="176"/>
        <v>0</v>
      </c>
      <c r="W312" s="64">
        <v>139</v>
      </c>
      <c r="X312" s="80">
        <v>165</v>
      </c>
      <c r="Y312" s="53"/>
      <c r="Z312" s="51"/>
      <c r="AA312" s="53"/>
      <c r="AB312" s="53"/>
      <c r="AC312" s="53"/>
      <c r="AD312" s="53"/>
      <c r="AE312" s="66">
        <f t="shared" si="156"/>
        <v>0</v>
      </c>
      <c r="AF312" s="61">
        <f t="shared" si="157"/>
        <v>0</v>
      </c>
      <c r="AG312" s="56">
        <f t="shared" si="151"/>
        <v>0</v>
      </c>
      <c r="AH312" s="67">
        <f t="shared" si="152"/>
        <v>0</v>
      </c>
      <c r="AI312" s="68">
        <f t="shared" si="152"/>
        <v>0</v>
      </c>
      <c r="AJ312" s="68">
        <f t="shared" si="152"/>
        <v>0</v>
      </c>
      <c r="AK312" s="57">
        <f t="shared" si="152"/>
        <v>0</v>
      </c>
      <c r="AL312" s="67">
        <f t="shared" si="158"/>
        <v>0</v>
      </c>
      <c r="AM312" s="57">
        <f t="shared" si="159"/>
        <v>0</v>
      </c>
      <c r="AN312" s="52"/>
      <c r="AO312" s="69"/>
      <c r="AP312" s="52"/>
      <c r="AQ312" s="70"/>
      <c r="AR312" s="52"/>
      <c r="AS312" s="52"/>
      <c r="AT312" s="52"/>
      <c r="AU312" s="61" t="str">
        <f t="shared" si="169"/>
        <v/>
      </c>
      <c r="AV312" s="61" t="str">
        <f t="shared" ca="1" si="170"/>
        <v/>
      </c>
      <c r="AW312" s="61" t="str">
        <f t="shared" si="160"/>
        <v/>
      </c>
      <c r="AX312" s="61" t="str">
        <f t="shared" ca="1" si="161"/>
        <v/>
      </c>
      <c r="AY312" s="71"/>
      <c r="AZ312" s="71"/>
      <c r="BA312" s="61" t="str">
        <f t="shared" si="171"/>
        <v/>
      </c>
      <c r="BB312" s="71"/>
      <c r="BC312" s="71"/>
      <c r="BD312" s="61" t="str">
        <f t="shared" si="172"/>
        <v/>
      </c>
      <c r="BE312" s="52"/>
      <c r="BS312" s="118"/>
      <c r="BT312" s="118"/>
      <c r="BU312" s="118"/>
      <c r="BV312" s="118"/>
      <c r="BW312" s="118"/>
      <c r="BX312" s="118"/>
      <c r="BZ312" s="118"/>
      <c r="CB312" s="118"/>
      <c r="CC312" s="118"/>
      <c r="CD312" s="118"/>
    </row>
    <row r="313" spans="1:82" ht="17.399999999999999" customHeight="1">
      <c r="A313" s="87">
        <f t="shared" si="174"/>
        <v>44.2</v>
      </c>
      <c r="B313" s="111">
        <f t="shared" si="154"/>
        <v>303</v>
      </c>
      <c r="C313" s="60"/>
      <c r="D313" s="74"/>
      <c r="E313" s="75"/>
      <c r="F313" s="74"/>
      <c r="G313" s="54">
        <f t="shared" si="182"/>
        <v>0</v>
      </c>
      <c r="H313" s="55">
        <f t="shared" si="182"/>
        <v>0</v>
      </c>
      <c r="I313" s="76">
        <f t="shared" si="163"/>
        <v>0</v>
      </c>
      <c r="J313" s="58">
        <f t="shared" si="164"/>
        <v>0</v>
      </c>
      <c r="K313" s="58">
        <f t="shared" si="165"/>
        <v>0</v>
      </c>
      <c r="L313" s="58">
        <f t="shared" si="166"/>
        <v>0</v>
      </c>
      <c r="M313" s="58" t="str">
        <f t="shared" ca="1" si="167"/>
        <v/>
      </c>
      <c r="N313" s="58" t="str">
        <f t="shared" ca="1" si="167"/>
        <v/>
      </c>
      <c r="O313" s="58">
        <f t="shared" si="168"/>
        <v>5.0000000000000001E-4</v>
      </c>
      <c r="P313" s="77"/>
      <c r="Q313" s="60"/>
      <c r="R313" s="77"/>
      <c r="S313" s="78">
        <f t="shared" si="155"/>
        <v>0</v>
      </c>
      <c r="T313" s="55">
        <f t="shared" si="155"/>
        <v>0</v>
      </c>
      <c r="U313" s="79">
        <f t="shared" si="175"/>
        <v>0</v>
      </c>
      <c r="V313" s="63">
        <f t="shared" si="176"/>
        <v>0</v>
      </c>
      <c r="W313" s="64">
        <f t="shared" ref="W313:X328" si="184">W312</f>
        <v>139</v>
      </c>
      <c r="X313" s="80">
        <f t="shared" si="184"/>
        <v>165</v>
      </c>
      <c r="Y313" s="75"/>
      <c r="Z313" s="60"/>
      <c r="AA313" s="75"/>
      <c r="AB313" s="75"/>
      <c r="AC313" s="75"/>
      <c r="AD313" s="75"/>
      <c r="AE313" s="81">
        <f t="shared" si="156"/>
        <v>0</v>
      </c>
      <c r="AF313" s="55">
        <f t="shared" si="157"/>
        <v>0</v>
      </c>
      <c r="AG313" s="76">
        <f t="shared" si="151"/>
        <v>0</v>
      </c>
      <c r="AH313" s="82">
        <f t="shared" si="152"/>
        <v>0</v>
      </c>
      <c r="AI313" s="83">
        <f t="shared" si="152"/>
        <v>0</v>
      </c>
      <c r="AJ313" s="83">
        <f t="shared" si="152"/>
        <v>0</v>
      </c>
      <c r="AK313" s="58">
        <f t="shared" si="152"/>
        <v>0</v>
      </c>
      <c r="AL313" s="82">
        <f t="shared" si="158"/>
        <v>0</v>
      </c>
      <c r="AM313" s="58">
        <f t="shared" si="159"/>
        <v>0</v>
      </c>
      <c r="AN313" s="74"/>
      <c r="AO313" s="84"/>
      <c r="AP313" s="74"/>
      <c r="AQ313" s="85"/>
      <c r="AR313" s="74"/>
      <c r="AS313" s="74"/>
      <c r="AT313" s="74"/>
      <c r="AU313" s="55" t="str">
        <f t="shared" si="169"/>
        <v/>
      </c>
      <c r="AV313" s="55" t="str">
        <f t="shared" ca="1" si="170"/>
        <v/>
      </c>
      <c r="AW313" s="55" t="str">
        <f t="shared" si="160"/>
        <v/>
      </c>
      <c r="AX313" s="55" t="str">
        <f t="shared" ca="1" si="161"/>
        <v/>
      </c>
      <c r="AY313" s="86"/>
      <c r="AZ313" s="86"/>
      <c r="BA313" s="55" t="str">
        <f t="shared" si="171"/>
        <v/>
      </c>
      <c r="BB313" s="86"/>
      <c r="BC313" s="86"/>
      <c r="BD313" s="55" t="str">
        <f t="shared" si="172"/>
        <v/>
      </c>
      <c r="BE313" s="74"/>
      <c r="BS313" s="118"/>
      <c r="BT313" s="118"/>
      <c r="BU313" s="118"/>
      <c r="BV313" s="118"/>
      <c r="BW313" s="118"/>
      <c r="BX313" s="118"/>
      <c r="BZ313" s="118"/>
      <c r="CB313" s="118"/>
      <c r="CC313" s="118"/>
      <c r="CD313" s="118"/>
    </row>
    <row r="314" spans="1:82" ht="17.399999999999999" customHeight="1">
      <c r="A314" s="72">
        <f t="shared" si="174"/>
        <v>44.3</v>
      </c>
      <c r="B314" s="111">
        <f t="shared" si="154"/>
        <v>304</v>
      </c>
      <c r="C314" s="60"/>
      <c r="D314" s="74"/>
      <c r="E314" s="75"/>
      <c r="F314" s="74"/>
      <c r="G314" s="54">
        <f t="shared" si="182"/>
        <v>0</v>
      </c>
      <c r="H314" s="55">
        <f t="shared" si="182"/>
        <v>0</v>
      </c>
      <c r="I314" s="76">
        <f t="shared" si="163"/>
        <v>0</v>
      </c>
      <c r="J314" s="58">
        <f t="shared" si="164"/>
        <v>0</v>
      </c>
      <c r="K314" s="58">
        <f t="shared" si="165"/>
        <v>0</v>
      </c>
      <c r="L314" s="58">
        <f t="shared" si="166"/>
        <v>0</v>
      </c>
      <c r="M314" s="58" t="str">
        <f t="shared" ca="1" si="167"/>
        <v/>
      </c>
      <c r="N314" s="58" t="str">
        <f t="shared" ca="1" si="167"/>
        <v/>
      </c>
      <c r="O314" s="58">
        <f t="shared" si="168"/>
        <v>5.0000000000000001E-4</v>
      </c>
      <c r="P314" s="77"/>
      <c r="Q314" s="60"/>
      <c r="R314" s="77"/>
      <c r="S314" s="78">
        <f t="shared" si="155"/>
        <v>0</v>
      </c>
      <c r="T314" s="55">
        <f t="shared" si="155"/>
        <v>0</v>
      </c>
      <c r="U314" s="79">
        <f t="shared" si="175"/>
        <v>0</v>
      </c>
      <c r="V314" s="63">
        <f t="shared" si="176"/>
        <v>0</v>
      </c>
      <c r="W314" s="64">
        <f t="shared" si="184"/>
        <v>139</v>
      </c>
      <c r="X314" s="80">
        <f t="shared" si="184"/>
        <v>165</v>
      </c>
      <c r="Y314" s="75"/>
      <c r="Z314" s="60"/>
      <c r="AA314" s="75"/>
      <c r="AB314" s="75"/>
      <c r="AC314" s="75"/>
      <c r="AD314" s="75"/>
      <c r="AE314" s="81">
        <f t="shared" si="156"/>
        <v>0</v>
      </c>
      <c r="AF314" s="55">
        <f t="shared" si="157"/>
        <v>0</v>
      </c>
      <c r="AG314" s="76">
        <f t="shared" si="151"/>
        <v>0</v>
      </c>
      <c r="AH314" s="82">
        <f t="shared" si="152"/>
        <v>0</v>
      </c>
      <c r="AI314" s="83">
        <f t="shared" si="152"/>
        <v>0</v>
      </c>
      <c r="AJ314" s="83">
        <f t="shared" si="152"/>
        <v>0</v>
      </c>
      <c r="AK314" s="58">
        <f t="shared" si="152"/>
        <v>0</v>
      </c>
      <c r="AL314" s="82">
        <f t="shared" si="158"/>
        <v>0</v>
      </c>
      <c r="AM314" s="58">
        <f t="shared" si="159"/>
        <v>0</v>
      </c>
      <c r="AN314" s="74"/>
      <c r="AO314" s="84"/>
      <c r="AP314" s="74"/>
      <c r="AQ314" s="85"/>
      <c r="AR314" s="74"/>
      <c r="AS314" s="74"/>
      <c r="AT314" s="74"/>
      <c r="AU314" s="55" t="str">
        <f t="shared" si="169"/>
        <v/>
      </c>
      <c r="AV314" s="55" t="str">
        <f t="shared" ca="1" si="170"/>
        <v/>
      </c>
      <c r="AW314" s="55" t="str">
        <f t="shared" si="160"/>
        <v/>
      </c>
      <c r="AX314" s="55" t="str">
        <f t="shared" ca="1" si="161"/>
        <v/>
      </c>
      <c r="AY314" s="86"/>
      <c r="AZ314" s="86"/>
      <c r="BA314" s="55" t="str">
        <f t="shared" si="171"/>
        <v/>
      </c>
      <c r="BB314" s="86"/>
      <c r="BC314" s="86"/>
      <c r="BD314" s="55" t="str">
        <f t="shared" si="172"/>
        <v/>
      </c>
      <c r="BE314" s="74"/>
      <c r="BS314" s="118"/>
      <c r="BT314" s="118"/>
      <c r="BU314" s="118"/>
      <c r="BV314" s="118"/>
      <c r="BW314" s="118"/>
      <c r="BX314" s="118"/>
      <c r="BZ314" s="118"/>
      <c r="CB314" s="118"/>
      <c r="CC314" s="118"/>
      <c r="CD314" s="118"/>
    </row>
    <row r="315" spans="1:82" ht="17.399999999999999" customHeight="1">
      <c r="A315" s="87">
        <f t="shared" si="174"/>
        <v>44.4</v>
      </c>
      <c r="B315" s="111">
        <f t="shared" si="154"/>
        <v>305</v>
      </c>
      <c r="C315" s="60"/>
      <c r="D315" s="74"/>
      <c r="E315" s="75"/>
      <c r="F315" s="74"/>
      <c r="G315" s="54">
        <f t="shared" si="182"/>
        <v>0</v>
      </c>
      <c r="H315" s="55">
        <f t="shared" si="182"/>
        <v>0</v>
      </c>
      <c r="I315" s="76">
        <f t="shared" si="163"/>
        <v>0</v>
      </c>
      <c r="J315" s="58">
        <f t="shared" si="164"/>
        <v>0</v>
      </c>
      <c r="K315" s="58">
        <f t="shared" si="165"/>
        <v>0</v>
      </c>
      <c r="L315" s="58">
        <f t="shared" si="166"/>
        <v>0</v>
      </c>
      <c r="M315" s="58" t="str">
        <f t="shared" ca="1" si="167"/>
        <v/>
      </c>
      <c r="N315" s="58" t="str">
        <f t="shared" ca="1" si="167"/>
        <v/>
      </c>
      <c r="O315" s="58">
        <f t="shared" si="168"/>
        <v>5.0000000000000001E-4</v>
      </c>
      <c r="P315" s="77"/>
      <c r="Q315" s="60"/>
      <c r="R315" s="77"/>
      <c r="S315" s="78">
        <f t="shared" si="155"/>
        <v>0</v>
      </c>
      <c r="T315" s="55">
        <f t="shared" si="155"/>
        <v>0</v>
      </c>
      <c r="U315" s="79">
        <f t="shared" si="175"/>
        <v>0</v>
      </c>
      <c r="V315" s="63">
        <f t="shared" si="176"/>
        <v>0</v>
      </c>
      <c r="W315" s="64">
        <f t="shared" si="184"/>
        <v>139</v>
      </c>
      <c r="X315" s="80">
        <f t="shared" si="184"/>
        <v>165</v>
      </c>
      <c r="Y315" s="75"/>
      <c r="Z315" s="60"/>
      <c r="AA315" s="75"/>
      <c r="AB315" s="75"/>
      <c r="AC315" s="75"/>
      <c r="AD315" s="75"/>
      <c r="AE315" s="81">
        <f t="shared" si="156"/>
        <v>0</v>
      </c>
      <c r="AF315" s="55">
        <f t="shared" si="157"/>
        <v>0</v>
      </c>
      <c r="AG315" s="76">
        <f t="shared" si="151"/>
        <v>0</v>
      </c>
      <c r="AH315" s="82">
        <f t="shared" si="152"/>
        <v>0</v>
      </c>
      <c r="AI315" s="83">
        <f t="shared" si="152"/>
        <v>0</v>
      </c>
      <c r="AJ315" s="83">
        <f t="shared" si="152"/>
        <v>0</v>
      </c>
      <c r="AK315" s="58">
        <f t="shared" si="152"/>
        <v>0</v>
      </c>
      <c r="AL315" s="82">
        <f t="shared" si="158"/>
        <v>0</v>
      </c>
      <c r="AM315" s="58">
        <f t="shared" si="159"/>
        <v>0</v>
      </c>
      <c r="AN315" s="74"/>
      <c r="AO315" s="84"/>
      <c r="AP315" s="74"/>
      <c r="AQ315" s="85"/>
      <c r="AR315" s="74"/>
      <c r="AS315" s="74"/>
      <c r="AT315" s="74"/>
      <c r="AU315" s="55" t="str">
        <f t="shared" si="169"/>
        <v/>
      </c>
      <c r="AV315" s="55" t="str">
        <f t="shared" ca="1" si="170"/>
        <v/>
      </c>
      <c r="AW315" s="55" t="str">
        <f t="shared" si="160"/>
        <v/>
      </c>
      <c r="AX315" s="55" t="str">
        <f t="shared" ca="1" si="161"/>
        <v/>
      </c>
      <c r="AY315" s="86"/>
      <c r="AZ315" s="86"/>
      <c r="BA315" s="55" t="str">
        <f t="shared" si="171"/>
        <v/>
      </c>
      <c r="BB315" s="86"/>
      <c r="BC315" s="86"/>
      <c r="BD315" s="55" t="str">
        <f t="shared" si="172"/>
        <v/>
      </c>
      <c r="BE315" s="74"/>
      <c r="BS315" s="118"/>
      <c r="BT315" s="118"/>
      <c r="BU315" s="118"/>
      <c r="BV315" s="118"/>
      <c r="BW315" s="118"/>
      <c r="BX315" s="118"/>
      <c r="BZ315" s="118"/>
      <c r="CB315" s="118"/>
      <c r="CC315" s="118"/>
      <c r="CD315" s="118"/>
    </row>
    <row r="316" spans="1:82" ht="17.399999999999999" customHeight="1">
      <c r="A316" s="72">
        <f t="shared" si="174"/>
        <v>44.5</v>
      </c>
      <c r="B316" s="111">
        <f t="shared" si="154"/>
        <v>306</v>
      </c>
      <c r="C316" s="60"/>
      <c r="D316" s="74"/>
      <c r="E316" s="75"/>
      <c r="F316" s="74"/>
      <c r="G316" s="54">
        <f t="shared" ref="G316:H331" si="185">G315-E316-C316</f>
        <v>0</v>
      </c>
      <c r="H316" s="55">
        <f t="shared" si="185"/>
        <v>0</v>
      </c>
      <c r="I316" s="76">
        <f t="shared" si="163"/>
        <v>0</v>
      </c>
      <c r="J316" s="58">
        <f t="shared" si="164"/>
        <v>0</v>
      </c>
      <c r="K316" s="58">
        <f t="shared" si="165"/>
        <v>0</v>
      </c>
      <c r="L316" s="58">
        <f t="shared" si="166"/>
        <v>0</v>
      </c>
      <c r="M316" s="58" t="str">
        <f t="shared" ca="1" si="167"/>
        <v/>
      </c>
      <c r="N316" s="58" t="str">
        <f t="shared" ca="1" si="167"/>
        <v/>
      </c>
      <c r="O316" s="58">
        <f t="shared" si="168"/>
        <v>5.0000000000000001E-4</v>
      </c>
      <c r="P316" s="77"/>
      <c r="Q316" s="60"/>
      <c r="R316" s="77"/>
      <c r="S316" s="78">
        <f t="shared" si="155"/>
        <v>0</v>
      </c>
      <c r="T316" s="55">
        <f t="shared" si="155"/>
        <v>0</v>
      </c>
      <c r="U316" s="79">
        <f t="shared" si="175"/>
        <v>0</v>
      </c>
      <c r="V316" s="63">
        <f t="shared" si="176"/>
        <v>0</v>
      </c>
      <c r="W316" s="64">
        <f t="shared" si="184"/>
        <v>139</v>
      </c>
      <c r="X316" s="80">
        <f t="shared" si="184"/>
        <v>165</v>
      </c>
      <c r="Y316" s="75"/>
      <c r="Z316" s="60"/>
      <c r="AA316" s="75"/>
      <c r="AB316" s="75"/>
      <c r="AC316" s="75"/>
      <c r="AD316" s="75"/>
      <c r="AE316" s="81">
        <f t="shared" si="156"/>
        <v>0</v>
      </c>
      <c r="AF316" s="55">
        <f t="shared" si="157"/>
        <v>0</v>
      </c>
      <c r="AG316" s="76">
        <f t="shared" si="151"/>
        <v>0</v>
      </c>
      <c r="AH316" s="82">
        <f t="shared" si="152"/>
        <v>0</v>
      </c>
      <c r="AI316" s="83">
        <f t="shared" si="152"/>
        <v>0</v>
      </c>
      <c r="AJ316" s="83">
        <f t="shared" si="152"/>
        <v>0</v>
      </c>
      <c r="AK316" s="58">
        <f t="shared" si="152"/>
        <v>0</v>
      </c>
      <c r="AL316" s="82">
        <f t="shared" si="158"/>
        <v>0</v>
      </c>
      <c r="AM316" s="58">
        <f t="shared" si="159"/>
        <v>0</v>
      </c>
      <c r="AN316" s="74"/>
      <c r="AO316" s="84"/>
      <c r="AP316" s="74"/>
      <c r="AQ316" s="85"/>
      <c r="AR316" s="74"/>
      <c r="AS316" s="74"/>
      <c r="AT316" s="74"/>
      <c r="AU316" s="55" t="str">
        <f t="shared" si="169"/>
        <v/>
      </c>
      <c r="AV316" s="55" t="str">
        <f t="shared" ca="1" si="170"/>
        <v/>
      </c>
      <c r="AW316" s="55" t="str">
        <f t="shared" si="160"/>
        <v/>
      </c>
      <c r="AX316" s="55" t="str">
        <f t="shared" ca="1" si="161"/>
        <v/>
      </c>
      <c r="AY316" s="86"/>
      <c r="AZ316" s="86"/>
      <c r="BA316" s="55" t="str">
        <f t="shared" si="171"/>
        <v/>
      </c>
      <c r="BB316" s="86"/>
      <c r="BC316" s="86"/>
      <c r="BD316" s="55" t="str">
        <f t="shared" si="172"/>
        <v/>
      </c>
      <c r="BE316" s="74"/>
      <c r="BS316" s="118"/>
      <c r="BT316" s="118"/>
      <c r="BU316" s="118"/>
      <c r="BV316" s="118"/>
      <c r="BW316" s="118"/>
      <c r="BX316" s="118"/>
      <c r="BZ316" s="118"/>
      <c r="CB316" s="118"/>
      <c r="CC316" s="118"/>
      <c r="CD316" s="118"/>
    </row>
    <row r="317" spans="1:82" ht="17.399999999999999" customHeight="1">
      <c r="A317" s="87">
        <f t="shared" si="174"/>
        <v>44.6</v>
      </c>
      <c r="B317" s="111">
        <f t="shared" si="154"/>
        <v>307</v>
      </c>
      <c r="C317" s="60"/>
      <c r="D317" s="74"/>
      <c r="E317" s="75"/>
      <c r="F317" s="74"/>
      <c r="G317" s="54">
        <f t="shared" si="185"/>
        <v>0</v>
      </c>
      <c r="H317" s="55">
        <f t="shared" si="185"/>
        <v>0</v>
      </c>
      <c r="I317" s="76">
        <f t="shared" si="163"/>
        <v>0</v>
      </c>
      <c r="J317" s="58">
        <f t="shared" si="164"/>
        <v>0</v>
      </c>
      <c r="K317" s="58">
        <f t="shared" si="165"/>
        <v>0</v>
      </c>
      <c r="L317" s="58">
        <f t="shared" si="166"/>
        <v>0</v>
      </c>
      <c r="M317" s="58" t="str">
        <f t="shared" ca="1" si="167"/>
        <v/>
      </c>
      <c r="N317" s="58" t="str">
        <f t="shared" ca="1" si="167"/>
        <v/>
      </c>
      <c r="O317" s="58">
        <f t="shared" si="168"/>
        <v>5.0000000000000001E-4</v>
      </c>
      <c r="P317" s="77"/>
      <c r="Q317" s="60"/>
      <c r="R317" s="77"/>
      <c r="S317" s="78">
        <f t="shared" si="155"/>
        <v>0</v>
      </c>
      <c r="T317" s="55">
        <f t="shared" si="155"/>
        <v>0</v>
      </c>
      <c r="U317" s="79">
        <f t="shared" si="175"/>
        <v>0</v>
      </c>
      <c r="V317" s="63">
        <f t="shared" si="176"/>
        <v>0</v>
      </c>
      <c r="W317" s="64">
        <f t="shared" si="184"/>
        <v>139</v>
      </c>
      <c r="X317" s="80">
        <f t="shared" si="184"/>
        <v>165</v>
      </c>
      <c r="Y317" s="75"/>
      <c r="Z317" s="60"/>
      <c r="AA317" s="75"/>
      <c r="AB317" s="75"/>
      <c r="AC317" s="75"/>
      <c r="AD317" s="75"/>
      <c r="AE317" s="81">
        <f t="shared" si="156"/>
        <v>0</v>
      </c>
      <c r="AF317" s="55">
        <f t="shared" si="157"/>
        <v>0</v>
      </c>
      <c r="AG317" s="76">
        <f t="shared" si="151"/>
        <v>0</v>
      </c>
      <c r="AH317" s="82">
        <f t="shared" si="152"/>
        <v>0</v>
      </c>
      <c r="AI317" s="83">
        <f t="shared" si="152"/>
        <v>0</v>
      </c>
      <c r="AJ317" s="83">
        <f t="shared" si="152"/>
        <v>0</v>
      </c>
      <c r="AK317" s="58">
        <f t="shared" si="152"/>
        <v>0</v>
      </c>
      <c r="AL317" s="82">
        <f t="shared" si="158"/>
        <v>0</v>
      </c>
      <c r="AM317" s="58">
        <f t="shared" si="159"/>
        <v>0</v>
      </c>
      <c r="AN317" s="74"/>
      <c r="AO317" s="84"/>
      <c r="AP317" s="74"/>
      <c r="AQ317" s="85"/>
      <c r="AR317" s="74"/>
      <c r="AS317" s="74"/>
      <c r="AT317" s="74"/>
      <c r="AU317" s="55" t="str">
        <f t="shared" si="169"/>
        <v/>
      </c>
      <c r="AV317" s="55" t="str">
        <f t="shared" ca="1" si="170"/>
        <v/>
      </c>
      <c r="AW317" s="55" t="str">
        <f t="shared" si="160"/>
        <v/>
      </c>
      <c r="AX317" s="55" t="str">
        <f t="shared" ca="1" si="161"/>
        <v/>
      </c>
      <c r="AY317" s="86"/>
      <c r="AZ317" s="86"/>
      <c r="BA317" s="55" t="str">
        <f t="shared" si="171"/>
        <v/>
      </c>
      <c r="BB317" s="86"/>
      <c r="BC317" s="86"/>
      <c r="BD317" s="55" t="str">
        <f t="shared" si="172"/>
        <v/>
      </c>
      <c r="BE317" s="74"/>
      <c r="BS317" s="118"/>
      <c r="BT317" s="118"/>
      <c r="BU317" s="118"/>
      <c r="BV317" s="118"/>
      <c r="BW317" s="118"/>
      <c r="BX317" s="118"/>
      <c r="BZ317" s="118"/>
      <c r="CB317" s="118"/>
      <c r="CC317" s="118"/>
      <c r="CD317" s="118"/>
    </row>
    <row r="318" spans="1:82" ht="17.399999999999999" customHeight="1" thickBot="1">
      <c r="A318" s="72">
        <f t="shared" si="174"/>
        <v>44.7</v>
      </c>
      <c r="B318" s="113">
        <f t="shared" si="154"/>
        <v>308</v>
      </c>
      <c r="C318" s="89"/>
      <c r="D318" s="90"/>
      <c r="E318" s="91"/>
      <c r="F318" s="90"/>
      <c r="G318" s="92">
        <f t="shared" si="185"/>
        <v>0</v>
      </c>
      <c r="H318" s="93">
        <f t="shared" si="185"/>
        <v>0</v>
      </c>
      <c r="I318" s="94">
        <f t="shared" si="163"/>
        <v>0</v>
      </c>
      <c r="J318" s="95">
        <f t="shared" si="164"/>
        <v>0</v>
      </c>
      <c r="K318" s="95">
        <f t="shared" si="165"/>
        <v>0</v>
      </c>
      <c r="L318" s="95">
        <f t="shared" si="166"/>
        <v>0</v>
      </c>
      <c r="M318" s="95" t="str">
        <f t="shared" ca="1" si="167"/>
        <v/>
      </c>
      <c r="N318" s="95" t="str">
        <f t="shared" ca="1" si="167"/>
        <v/>
      </c>
      <c r="O318" s="95">
        <f t="shared" si="168"/>
        <v>5.0000000000000001E-4</v>
      </c>
      <c r="P318" s="96"/>
      <c r="Q318" s="89"/>
      <c r="R318" s="96"/>
      <c r="S318" s="78">
        <f t="shared" si="155"/>
        <v>0</v>
      </c>
      <c r="T318" s="55">
        <f t="shared" si="155"/>
        <v>0</v>
      </c>
      <c r="U318" s="97">
        <f t="shared" si="175"/>
        <v>0</v>
      </c>
      <c r="V318" s="98">
        <f t="shared" si="176"/>
        <v>0</v>
      </c>
      <c r="W318" s="99">
        <f t="shared" si="184"/>
        <v>139</v>
      </c>
      <c r="X318" s="100">
        <f t="shared" si="184"/>
        <v>165</v>
      </c>
      <c r="Y318" s="91"/>
      <c r="Z318" s="60"/>
      <c r="AA318" s="75"/>
      <c r="AB318" s="75"/>
      <c r="AC318" s="75"/>
      <c r="AD318" s="75"/>
      <c r="AE318" s="101">
        <f t="shared" si="156"/>
        <v>0</v>
      </c>
      <c r="AF318" s="93">
        <f t="shared" si="157"/>
        <v>0</v>
      </c>
      <c r="AG318" s="94">
        <f t="shared" si="151"/>
        <v>0</v>
      </c>
      <c r="AH318" s="102">
        <f t="shared" si="152"/>
        <v>0</v>
      </c>
      <c r="AI318" s="103">
        <f t="shared" si="152"/>
        <v>0</v>
      </c>
      <c r="AJ318" s="103">
        <f t="shared" si="152"/>
        <v>0</v>
      </c>
      <c r="AK318" s="95">
        <f t="shared" si="152"/>
        <v>0</v>
      </c>
      <c r="AL318" s="102">
        <f t="shared" si="158"/>
        <v>0</v>
      </c>
      <c r="AM318" s="95">
        <f t="shared" si="159"/>
        <v>0</v>
      </c>
      <c r="AN318" s="90"/>
      <c r="AO318" s="104"/>
      <c r="AP318" s="90"/>
      <c r="AQ318" s="105"/>
      <c r="AR318" s="90"/>
      <c r="AS318" s="90"/>
      <c r="AT318" s="90"/>
      <c r="AU318" s="93" t="str">
        <f t="shared" si="169"/>
        <v/>
      </c>
      <c r="AV318" s="93" t="str">
        <f t="shared" ca="1" si="170"/>
        <v/>
      </c>
      <c r="AW318" s="93" t="str">
        <f t="shared" si="160"/>
        <v/>
      </c>
      <c r="AX318" s="93" t="str">
        <f t="shared" ca="1" si="161"/>
        <v/>
      </c>
      <c r="AY318" s="106"/>
      <c r="AZ318" s="106"/>
      <c r="BA318" s="93" t="str">
        <f t="shared" si="171"/>
        <v/>
      </c>
      <c r="BB318" s="106"/>
      <c r="BC318" s="106"/>
      <c r="BD318" s="93" t="str">
        <f t="shared" si="172"/>
        <v/>
      </c>
      <c r="BE318" s="90"/>
      <c r="BS318" s="118"/>
      <c r="BT318" s="118"/>
      <c r="BU318" s="118"/>
      <c r="BV318" s="118"/>
      <c r="BW318" s="118"/>
      <c r="BX318" s="118"/>
      <c r="BZ318" s="118"/>
      <c r="CB318" s="118"/>
      <c r="CC318" s="118"/>
      <c r="CD318" s="118"/>
    </row>
    <row r="319" spans="1:82" ht="17.399999999999999" customHeight="1" thickTop="1">
      <c r="A319" s="49">
        <f>A312+1</f>
        <v>45.1</v>
      </c>
      <c r="B319" s="108">
        <f>B318+1</f>
        <v>309</v>
      </c>
      <c r="C319" s="51"/>
      <c r="D319" s="52"/>
      <c r="E319" s="53"/>
      <c r="F319" s="52"/>
      <c r="G319" s="54">
        <f t="shared" si="185"/>
        <v>0</v>
      </c>
      <c r="H319" s="55">
        <f t="shared" si="185"/>
        <v>0</v>
      </c>
      <c r="I319" s="56">
        <f t="shared" si="163"/>
        <v>0</v>
      </c>
      <c r="J319" s="57">
        <f t="shared" si="164"/>
        <v>0</v>
      </c>
      <c r="K319" s="57">
        <f t="shared" si="165"/>
        <v>0</v>
      </c>
      <c r="L319" s="57">
        <f t="shared" si="166"/>
        <v>0</v>
      </c>
      <c r="M319" s="58" t="str">
        <f t="shared" ca="1" si="167"/>
        <v/>
      </c>
      <c r="N319" s="58" t="str">
        <f t="shared" ca="1" si="167"/>
        <v/>
      </c>
      <c r="O319" s="58">
        <f t="shared" si="168"/>
        <v>5.0000000000000001E-4</v>
      </c>
      <c r="P319" s="77"/>
      <c r="Q319" s="60"/>
      <c r="R319" s="77"/>
      <c r="S319" s="109">
        <f t="shared" si="155"/>
        <v>0</v>
      </c>
      <c r="T319" s="61">
        <f t="shared" si="155"/>
        <v>0</v>
      </c>
      <c r="U319" s="62">
        <f t="shared" si="175"/>
        <v>0</v>
      </c>
      <c r="V319" s="63">
        <f t="shared" si="176"/>
        <v>0</v>
      </c>
      <c r="W319" s="64">
        <v>140</v>
      </c>
      <c r="X319" s="80">
        <f t="shared" si="184"/>
        <v>165</v>
      </c>
      <c r="Y319" s="53"/>
      <c r="Z319" s="51"/>
      <c r="AA319" s="53"/>
      <c r="AB319" s="53"/>
      <c r="AC319" s="53"/>
      <c r="AD319" s="53"/>
      <c r="AE319" s="66">
        <f t="shared" si="156"/>
        <v>0</v>
      </c>
      <c r="AF319" s="61">
        <f t="shared" si="157"/>
        <v>0</v>
      </c>
      <c r="AG319" s="56">
        <f t="shared" si="151"/>
        <v>0</v>
      </c>
      <c r="AH319" s="67">
        <f t="shared" si="152"/>
        <v>0</v>
      </c>
      <c r="AI319" s="68">
        <f t="shared" si="152"/>
        <v>0</v>
      </c>
      <c r="AJ319" s="68">
        <f t="shared" si="152"/>
        <v>0</v>
      </c>
      <c r="AK319" s="57">
        <f t="shared" si="152"/>
        <v>0</v>
      </c>
      <c r="AL319" s="67">
        <f t="shared" si="158"/>
        <v>0</v>
      </c>
      <c r="AM319" s="57">
        <f t="shared" si="159"/>
        <v>0</v>
      </c>
      <c r="AN319" s="52"/>
      <c r="AO319" s="69"/>
      <c r="AP319" s="52"/>
      <c r="AQ319" s="70"/>
      <c r="AR319" s="52"/>
      <c r="AS319" s="52"/>
      <c r="AT319" s="52"/>
      <c r="AU319" s="61" t="str">
        <f t="shared" si="169"/>
        <v/>
      </c>
      <c r="AV319" s="61" t="str">
        <f t="shared" ca="1" si="170"/>
        <v/>
      </c>
      <c r="AW319" s="61" t="str">
        <f t="shared" si="160"/>
        <v/>
      </c>
      <c r="AX319" s="61" t="str">
        <f t="shared" ca="1" si="161"/>
        <v/>
      </c>
      <c r="AY319" s="71"/>
      <c r="AZ319" s="71"/>
      <c r="BA319" s="61" t="str">
        <f t="shared" si="171"/>
        <v/>
      </c>
      <c r="BB319" s="71"/>
      <c r="BC319" s="71"/>
      <c r="BD319" s="61" t="str">
        <f t="shared" si="172"/>
        <v/>
      </c>
      <c r="BE319" s="52"/>
      <c r="BS319" s="118"/>
      <c r="BT319" s="118"/>
      <c r="BU319" s="118"/>
      <c r="BV319" s="118"/>
      <c r="BW319" s="118"/>
      <c r="BX319" s="118"/>
      <c r="BZ319" s="118"/>
      <c r="CB319" s="118"/>
      <c r="CC319" s="118"/>
      <c r="CD319" s="118"/>
    </row>
    <row r="320" spans="1:82" ht="17.399999999999999" customHeight="1">
      <c r="A320" s="72">
        <f t="shared" si="174"/>
        <v>45.2</v>
      </c>
      <c r="B320" s="111">
        <f t="shared" si="154"/>
        <v>310</v>
      </c>
      <c r="C320" s="60"/>
      <c r="D320" s="74"/>
      <c r="E320" s="75"/>
      <c r="F320" s="74"/>
      <c r="G320" s="54">
        <f t="shared" si="185"/>
        <v>0</v>
      </c>
      <c r="H320" s="55">
        <f t="shared" si="185"/>
        <v>0</v>
      </c>
      <c r="I320" s="76">
        <f t="shared" si="163"/>
        <v>0</v>
      </c>
      <c r="J320" s="58">
        <f t="shared" si="164"/>
        <v>0</v>
      </c>
      <c r="K320" s="58">
        <f t="shared" si="165"/>
        <v>0</v>
      </c>
      <c r="L320" s="58">
        <f t="shared" si="166"/>
        <v>0</v>
      </c>
      <c r="M320" s="58" t="str">
        <f t="shared" ca="1" si="167"/>
        <v/>
      </c>
      <c r="N320" s="58" t="str">
        <f t="shared" ca="1" si="167"/>
        <v/>
      </c>
      <c r="O320" s="58">
        <f t="shared" si="168"/>
        <v>5.0000000000000001E-4</v>
      </c>
      <c r="P320" s="77"/>
      <c r="Q320" s="60"/>
      <c r="R320" s="77"/>
      <c r="S320" s="78">
        <f t="shared" si="155"/>
        <v>0</v>
      </c>
      <c r="T320" s="55">
        <f t="shared" si="155"/>
        <v>0</v>
      </c>
      <c r="U320" s="79">
        <f t="shared" si="175"/>
        <v>0</v>
      </c>
      <c r="V320" s="63">
        <f t="shared" si="176"/>
        <v>0</v>
      </c>
      <c r="W320" s="64">
        <f t="shared" ref="W320:W325" si="186">W319</f>
        <v>140</v>
      </c>
      <c r="X320" s="80">
        <f t="shared" si="184"/>
        <v>165</v>
      </c>
      <c r="Y320" s="75"/>
      <c r="Z320" s="60"/>
      <c r="AA320" s="75"/>
      <c r="AB320" s="75"/>
      <c r="AC320" s="75"/>
      <c r="AD320" s="75"/>
      <c r="AE320" s="81">
        <f t="shared" si="156"/>
        <v>0</v>
      </c>
      <c r="AF320" s="55">
        <f t="shared" si="157"/>
        <v>0</v>
      </c>
      <c r="AG320" s="76">
        <f t="shared" si="151"/>
        <v>0</v>
      </c>
      <c r="AH320" s="82">
        <f t="shared" si="152"/>
        <v>0</v>
      </c>
      <c r="AI320" s="83">
        <f t="shared" si="152"/>
        <v>0</v>
      </c>
      <c r="AJ320" s="83">
        <f t="shared" si="152"/>
        <v>0</v>
      </c>
      <c r="AK320" s="58">
        <f t="shared" si="152"/>
        <v>0</v>
      </c>
      <c r="AL320" s="82">
        <f t="shared" si="158"/>
        <v>0</v>
      </c>
      <c r="AM320" s="58">
        <f t="shared" si="159"/>
        <v>0</v>
      </c>
      <c r="AN320" s="74"/>
      <c r="AO320" s="84"/>
      <c r="AP320" s="74"/>
      <c r="AQ320" s="85"/>
      <c r="AR320" s="74"/>
      <c r="AS320" s="74"/>
      <c r="AT320" s="74"/>
      <c r="AU320" s="55" t="str">
        <f t="shared" si="169"/>
        <v/>
      </c>
      <c r="AV320" s="55" t="str">
        <f t="shared" ca="1" si="170"/>
        <v/>
      </c>
      <c r="AW320" s="55" t="str">
        <f t="shared" si="160"/>
        <v/>
      </c>
      <c r="AX320" s="55" t="str">
        <f t="shared" ca="1" si="161"/>
        <v/>
      </c>
      <c r="AY320" s="86"/>
      <c r="AZ320" s="86"/>
      <c r="BA320" s="55" t="str">
        <f t="shared" si="171"/>
        <v/>
      </c>
      <c r="BB320" s="86"/>
      <c r="BC320" s="86"/>
      <c r="BD320" s="55" t="str">
        <f t="shared" si="172"/>
        <v/>
      </c>
      <c r="BE320" s="74"/>
      <c r="BS320" s="118"/>
      <c r="BT320" s="118"/>
      <c r="BU320" s="118"/>
      <c r="BV320" s="118"/>
      <c r="BW320" s="118"/>
      <c r="BX320" s="118"/>
      <c r="BZ320" s="118"/>
      <c r="CB320" s="118"/>
      <c r="CC320" s="118"/>
      <c r="CD320" s="118"/>
    </row>
    <row r="321" spans="1:82" ht="17.399999999999999" customHeight="1">
      <c r="A321" s="87">
        <f t="shared" si="174"/>
        <v>45.3</v>
      </c>
      <c r="B321" s="111">
        <f t="shared" si="154"/>
        <v>311</v>
      </c>
      <c r="C321" s="60"/>
      <c r="D321" s="74"/>
      <c r="E321" s="75"/>
      <c r="F321" s="74"/>
      <c r="G321" s="54">
        <f t="shared" si="185"/>
        <v>0</v>
      </c>
      <c r="H321" s="55">
        <f t="shared" si="185"/>
        <v>0</v>
      </c>
      <c r="I321" s="76">
        <f t="shared" si="163"/>
        <v>0</v>
      </c>
      <c r="J321" s="58">
        <f t="shared" si="164"/>
        <v>0</v>
      </c>
      <c r="K321" s="58">
        <f t="shared" si="165"/>
        <v>0</v>
      </c>
      <c r="L321" s="58">
        <f t="shared" si="166"/>
        <v>0</v>
      </c>
      <c r="M321" s="58" t="str">
        <f t="shared" ca="1" si="167"/>
        <v/>
      </c>
      <c r="N321" s="58" t="str">
        <f t="shared" ca="1" si="167"/>
        <v/>
      </c>
      <c r="O321" s="58">
        <f t="shared" si="168"/>
        <v>5.0000000000000001E-4</v>
      </c>
      <c r="P321" s="77"/>
      <c r="Q321" s="60"/>
      <c r="R321" s="77"/>
      <c r="S321" s="78">
        <f t="shared" si="155"/>
        <v>0</v>
      </c>
      <c r="T321" s="55">
        <f t="shared" si="155"/>
        <v>0</v>
      </c>
      <c r="U321" s="79">
        <f t="shared" si="175"/>
        <v>0</v>
      </c>
      <c r="V321" s="63">
        <f t="shared" si="176"/>
        <v>0</v>
      </c>
      <c r="W321" s="64">
        <f t="shared" si="186"/>
        <v>140</v>
      </c>
      <c r="X321" s="80">
        <f t="shared" si="184"/>
        <v>165</v>
      </c>
      <c r="Y321" s="75"/>
      <c r="Z321" s="60"/>
      <c r="AA321" s="75"/>
      <c r="AB321" s="75"/>
      <c r="AC321" s="75"/>
      <c r="AD321" s="75"/>
      <c r="AE321" s="81">
        <f t="shared" si="156"/>
        <v>0</v>
      </c>
      <c r="AF321" s="55">
        <f t="shared" si="157"/>
        <v>0</v>
      </c>
      <c r="AG321" s="76">
        <f t="shared" si="151"/>
        <v>0</v>
      </c>
      <c r="AH321" s="82">
        <f t="shared" si="152"/>
        <v>0</v>
      </c>
      <c r="AI321" s="83">
        <f t="shared" si="152"/>
        <v>0</v>
      </c>
      <c r="AJ321" s="83">
        <f t="shared" si="152"/>
        <v>0</v>
      </c>
      <c r="AK321" s="58">
        <f t="shared" si="152"/>
        <v>0</v>
      </c>
      <c r="AL321" s="82">
        <f t="shared" si="158"/>
        <v>0</v>
      </c>
      <c r="AM321" s="58">
        <f t="shared" si="159"/>
        <v>0</v>
      </c>
      <c r="AN321" s="74"/>
      <c r="AO321" s="84"/>
      <c r="AP321" s="74"/>
      <c r="AQ321" s="85"/>
      <c r="AR321" s="74"/>
      <c r="AS321" s="74"/>
      <c r="AT321" s="74"/>
      <c r="AU321" s="55" t="str">
        <f t="shared" si="169"/>
        <v/>
      </c>
      <c r="AV321" s="55" t="str">
        <f t="shared" ca="1" si="170"/>
        <v/>
      </c>
      <c r="AW321" s="55" t="str">
        <f t="shared" si="160"/>
        <v/>
      </c>
      <c r="AX321" s="55" t="str">
        <f t="shared" ca="1" si="161"/>
        <v/>
      </c>
      <c r="AY321" s="86"/>
      <c r="AZ321" s="86"/>
      <c r="BA321" s="55" t="str">
        <f t="shared" si="171"/>
        <v/>
      </c>
      <c r="BB321" s="86"/>
      <c r="BC321" s="86"/>
      <c r="BD321" s="55" t="str">
        <f t="shared" si="172"/>
        <v/>
      </c>
      <c r="BE321" s="74"/>
      <c r="BS321" s="118"/>
      <c r="BT321" s="118"/>
      <c r="BU321" s="118"/>
      <c r="BV321" s="118"/>
      <c r="BW321" s="118"/>
      <c r="BX321" s="118"/>
      <c r="BZ321" s="118"/>
      <c r="CB321" s="118"/>
      <c r="CC321" s="118"/>
      <c r="CD321" s="118"/>
    </row>
    <row r="322" spans="1:82" ht="17.399999999999999" customHeight="1">
      <c r="A322" s="72">
        <f t="shared" si="174"/>
        <v>45.4</v>
      </c>
      <c r="B322" s="111">
        <f t="shared" si="154"/>
        <v>312</v>
      </c>
      <c r="C322" s="60"/>
      <c r="D322" s="74"/>
      <c r="E322" s="75"/>
      <c r="F322" s="74"/>
      <c r="G322" s="54">
        <f t="shared" si="185"/>
        <v>0</v>
      </c>
      <c r="H322" s="55">
        <f t="shared" si="185"/>
        <v>0</v>
      </c>
      <c r="I322" s="76">
        <f t="shared" si="163"/>
        <v>0</v>
      </c>
      <c r="J322" s="58">
        <f t="shared" si="164"/>
        <v>0</v>
      </c>
      <c r="K322" s="58">
        <f t="shared" si="165"/>
        <v>0</v>
      </c>
      <c r="L322" s="58">
        <f t="shared" si="166"/>
        <v>0</v>
      </c>
      <c r="M322" s="58" t="str">
        <f t="shared" ca="1" si="167"/>
        <v/>
      </c>
      <c r="N322" s="58" t="str">
        <f t="shared" ca="1" si="167"/>
        <v/>
      </c>
      <c r="O322" s="58">
        <f t="shared" si="168"/>
        <v>5.0000000000000001E-4</v>
      </c>
      <c r="P322" s="77"/>
      <c r="Q322" s="60"/>
      <c r="R322" s="77"/>
      <c r="S322" s="78">
        <f t="shared" si="155"/>
        <v>0</v>
      </c>
      <c r="T322" s="55">
        <f t="shared" si="155"/>
        <v>0</v>
      </c>
      <c r="U322" s="79">
        <f t="shared" si="175"/>
        <v>0</v>
      </c>
      <c r="V322" s="63">
        <f t="shared" si="176"/>
        <v>0</v>
      </c>
      <c r="W322" s="64">
        <f t="shared" si="186"/>
        <v>140</v>
      </c>
      <c r="X322" s="80">
        <f t="shared" si="184"/>
        <v>165</v>
      </c>
      <c r="Y322" s="75"/>
      <c r="Z322" s="60"/>
      <c r="AA322" s="75"/>
      <c r="AB322" s="75"/>
      <c r="AC322" s="75"/>
      <c r="AD322" s="75"/>
      <c r="AE322" s="81">
        <f t="shared" si="156"/>
        <v>0</v>
      </c>
      <c r="AF322" s="55">
        <f t="shared" si="157"/>
        <v>0</v>
      </c>
      <c r="AG322" s="76">
        <f t="shared" si="151"/>
        <v>0</v>
      </c>
      <c r="AH322" s="82">
        <f t="shared" si="152"/>
        <v>0</v>
      </c>
      <c r="AI322" s="83">
        <f t="shared" si="152"/>
        <v>0</v>
      </c>
      <c r="AJ322" s="83">
        <f t="shared" si="152"/>
        <v>0</v>
      </c>
      <c r="AK322" s="58">
        <f t="shared" si="152"/>
        <v>0</v>
      </c>
      <c r="AL322" s="82">
        <f t="shared" si="158"/>
        <v>0</v>
      </c>
      <c r="AM322" s="58">
        <f t="shared" si="159"/>
        <v>0</v>
      </c>
      <c r="AN322" s="74"/>
      <c r="AO322" s="84"/>
      <c r="AP322" s="74"/>
      <c r="AQ322" s="85"/>
      <c r="AR322" s="74"/>
      <c r="AS322" s="74"/>
      <c r="AT322" s="74"/>
      <c r="AU322" s="55" t="str">
        <f t="shared" si="169"/>
        <v/>
      </c>
      <c r="AV322" s="55" t="str">
        <f t="shared" ca="1" si="170"/>
        <v/>
      </c>
      <c r="AW322" s="55" t="str">
        <f t="shared" si="160"/>
        <v/>
      </c>
      <c r="AX322" s="55" t="str">
        <f t="shared" ca="1" si="161"/>
        <v/>
      </c>
      <c r="AY322" s="86"/>
      <c r="AZ322" s="86"/>
      <c r="BA322" s="55" t="str">
        <f t="shared" si="171"/>
        <v/>
      </c>
      <c r="BB322" s="86"/>
      <c r="BC322" s="86"/>
      <c r="BD322" s="55" t="str">
        <f t="shared" si="172"/>
        <v/>
      </c>
      <c r="BE322" s="74"/>
      <c r="BS322" s="118"/>
      <c r="BT322" s="118"/>
      <c r="BU322" s="118"/>
      <c r="BV322" s="118"/>
      <c r="BW322" s="118"/>
      <c r="BX322" s="118"/>
      <c r="BZ322" s="118"/>
      <c r="CB322" s="118"/>
      <c r="CC322" s="118"/>
      <c r="CD322" s="118"/>
    </row>
    <row r="323" spans="1:82" ht="17.399999999999999" customHeight="1">
      <c r="A323" s="87">
        <f t="shared" si="174"/>
        <v>45.5</v>
      </c>
      <c r="B323" s="111">
        <f t="shared" si="154"/>
        <v>313</v>
      </c>
      <c r="C323" s="60"/>
      <c r="D323" s="74"/>
      <c r="E323" s="75"/>
      <c r="F323" s="74"/>
      <c r="G323" s="54">
        <f t="shared" si="185"/>
        <v>0</v>
      </c>
      <c r="H323" s="55">
        <f t="shared" si="185"/>
        <v>0</v>
      </c>
      <c r="I323" s="76">
        <f t="shared" si="163"/>
        <v>0</v>
      </c>
      <c r="J323" s="58">
        <f t="shared" si="164"/>
        <v>0</v>
      </c>
      <c r="K323" s="58">
        <f t="shared" si="165"/>
        <v>0</v>
      </c>
      <c r="L323" s="58">
        <f t="shared" si="166"/>
        <v>0</v>
      </c>
      <c r="M323" s="58" t="str">
        <f t="shared" ca="1" si="167"/>
        <v/>
      </c>
      <c r="N323" s="58" t="str">
        <f t="shared" ca="1" si="167"/>
        <v/>
      </c>
      <c r="O323" s="58">
        <f t="shared" si="168"/>
        <v>5.0000000000000001E-4</v>
      </c>
      <c r="P323" s="77"/>
      <c r="Q323" s="60"/>
      <c r="R323" s="77"/>
      <c r="S323" s="78">
        <f t="shared" si="155"/>
        <v>0</v>
      </c>
      <c r="T323" s="55">
        <f t="shared" si="155"/>
        <v>0</v>
      </c>
      <c r="U323" s="79">
        <f t="shared" si="175"/>
        <v>0</v>
      </c>
      <c r="V323" s="63">
        <f t="shared" si="176"/>
        <v>0</v>
      </c>
      <c r="W323" s="64">
        <f t="shared" si="186"/>
        <v>140</v>
      </c>
      <c r="X323" s="80">
        <f t="shared" si="184"/>
        <v>165</v>
      </c>
      <c r="Y323" s="75"/>
      <c r="Z323" s="60"/>
      <c r="AA323" s="75"/>
      <c r="AB323" s="75"/>
      <c r="AC323" s="75"/>
      <c r="AD323" s="75"/>
      <c r="AE323" s="81">
        <f t="shared" si="156"/>
        <v>0</v>
      </c>
      <c r="AF323" s="55">
        <f t="shared" si="157"/>
        <v>0</v>
      </c>
      <c r="AG323" s="76">
        <f t="shared" si="151"/>
        <v>0</v>
      </c>
      <c r="AH323" s="82">
        <f t="shared" si="152"/>
        <v>0</v>
      </c>
      <c r="AI323" s="83">
        <f t="shared" si="152"/>
        <v>0</v>
      </c>
      <c r="AJ323" s="83">
        <f t="shared" si="152"/>
        <v>0</v>
      </c>
      <c r="AK323" s="58">
        <f t="shared" si="152"/>
        <v>0</v>
      </c>
      <c r="AL323" s="82">
        <f t="shared" si="158"/>
        <v>0</v>
      </c>
      <c r="AM323" s="58">
        <f t="shared" si="159"/>
        <v>0</v>
      </c>
      <c r="AN323" s="74"/>
      <c r="AO323" s="84"/>
      <c r="AP323" s="74"/>
      <c r="AQ323" s="85"/>
      <c r="AR323" s="74"/>
      <c r="AS323" s="74"/>
      <c r="AT323" s="74"/>
      <c r="AU323" s="55" t="str">
        <f t="shared" si="169"/>
        <v/>
      </c>
      <c r="AV323" s="55" t="str">
        <f t="shared" ca="1" si="170"/>
        <v/>
      </c>
      <c r="AW323" s="55" t="str">
        <f t="shared" si="160"/>
        <v/>
      </c>
      <c r="AX323" s="55" t="str">
        <f t="shared" ca="1" si="161"/>
        <v/>
      </c>
      <c r="AY323" s="86"/>
      <c r="AZ323" s="86"/>
      <c r="BA323" s="55" t="str">
        <f t="shared" si="171"/>
        <v/>
      </c>
      <c r="BB323" s="86"/>
      <c r="BC323" s="86"/>
      <c r="BD323" s="55" t="str">
        <f t="shared" si="172"/>
        <v/>
      </c>
      <c r="BE323" s="74"/>
      <c r="BS323" s="118"/>
      <c r="BT323" s="118"/>
      <c r="BU323" s="118"/>
      <c r="BV323" s="118"/>
      <c r="BW323" s="118"/>
      <c r="BX323" s="118"/>
      <c r="BZ323" s="118"/>
      <c r="CB323" s="118"/>
      <c r="CC323" s="118"/>
      <c r="CD323" s="118"/>
    </row>
    <row r="324" spans="1:82" ht="17.399999999999999" customHeight="1">
      <c r="A324" s="72">
        <f t="shared" si="174"/>
        <v>45.6</v>
      </c>
      <c r="B324" s="111">
        <f t="shared" si="154"/>
        <v>314</v>
      </c>
      <c r="C324" s="60"/>
      <c r="D324" s="74"/>
      <c r="E324" s="75"/>
      <c r="F324" s="74"/>
      <c r="G324" s="54">
        <f t="shared" si="185"/>
        <v>0</v>
      </c>
      <c r="H324" s="55">
        <f t="shared" si="185"/>
        <v>0</v>
      </c>
      <c r="I324" s="76">
        <f t="shared" si="163"/>
        <v>0</v>
      </c>
      <c r="J324" s="58">
        <f t="shared" si="164"/>
        <v>0</v>
      </c>
      <c r="K324" s="58">
        <f t="shared" si="165"/>
        <v>0</v>
      </c>
      <c r="L324" s="58">
        <f t="shared" si="166"/>
        <v>0</v>
      </c>
      <c r="M324" s="58" t="str">
        <f t="shared" ca="1" si="167"/>
        <v/>
      </c>
      <c r="N324" s="58" t="str">
        <f t="shared" ca="1" si="167"/>
        <v/>
      </c>
      <c r="O324" s="58">
        <f t="shared" si="168"/>
        <v>5.0000000000000001E-4</v>
      </c>
      <c r="P324" s="77"/>
      <c r="Q324" s="60"/>
      <c r="R324" s="77"/>
      <c r="S324" s="78">
        <f t="shared" si="155"/>
        <v>0</v>
      </c>
      <c r="T324" s="55">
        <f t="shared" si="155"/>
        <v>0</v>
      </c>
      <c r="U324" s="79">
        <f t="shared" si="175"/>
        <v>0</v>
      </c>
      <c r="V324" s="63">
        <f t="shared" si="176"/>
        <v>0</v>
      </c>
      <c r="W324" s="64">
        <f t="shared" si="186"/>
        <v>140</v>
      </c>
      <c r="X324" s="80">
        <f t="shared" si="184"/>
        <v>165</v>
      </c>
      <c r="Y324" s="75"/>
      <c r="Z324" s="60"/>
      <c r="AA324" s="75"/>
      <c r="AB324" s="75"/>
      <c r="AC324" s="75"/>
      <c r="AD324" s="75"/>
      <c r="AE324" s="81">
        <f t="shared" si="156"/>
        <v>0</v>
      </c>
      <c r="AF324" s="55">
        <f t="shared" si="157"/>
        <v>0</v>
      </c>
      <c r="AG324" s="76">
        <f t="shared" si="151"/>
        <v>0</v>
      </c>
      <c r="AH324" s="82">
        <f t="shared" si="152"/>
        <v>0</v>
      </c>
      <c r="AI324" s="83">
        <f t="shared" si="152"/>
        <v>0</v>
      </c>
      <c r="AJ324" s="83">
        <f t="shared" si="152"/>
        <v>0</v>
      </c>
      <c r="AK324" s="58">
        <f t="shared" ref="AK324:AK387" si="187">IFERROR(AC324/$Y324,0)</f>
        <v>0</v>
      </c>
      <c r="AL324" s="82">
        <f t="shared" si="158"/>
        <v>0</v>
      </c>
      <c r="AM324" s="58">
        <f t="shared" si="159"/>
        <v>0</v>
      </c>
      <c r="AN324" s="74"/>
      <c r="AO324" s="84"/>
      <c r="AP324" s="74"/>
      <c r="AQ324" s="85"/>
      <c r="AR324" s="74"/>
      <c r="AS324" s="74"/>
      <c r="AT324" s="74"/>
      <c r="AU324" s="55" t="str">
        <f t="shared" si="169"/>
        <v/>
      </c>
      <c r="AV324" s="55" t="str">
        <f t="shared" ca="1" si="170"/>
        <v/>
      </c>
      <c r="AW324" s="55" t="str">
        <f t="shared" si="160"/>
        <v/>
      </c>
      <c r="AX324" s="55" t="str">
        <f t="shared" ca="1" si="161"/>
        <v/>
      </c>
      <c r="AY324" s="86"/>
      <c r="AZ324" s="86"/>
      <c r="BA324" s="55" t="str">
        <f t="shared" si="171"/>
        <v/>
      </c>
      <c r="BB324" s="86"/>
      <c r="BC324" s="86"/>
      <c r="BD324" s="55" t="str">
        <f t="shared" si="172"/>
        <v/>
      </c>
      <c r="BE324" s="74"/>
      <c r="BS324" s="118"/>
      <c r="BT324" s="118"/>
      <c r="BU324" s="118"/>
      <c r="BV324" s="118"/>
      <c r="BW324" s="118"/>
      <c r="BX324" s="118"/>
      <c r="BZ324" s="118"/>
      <c r="CB324" s="118"/>
      <c r="CC324" s="118"/>
      <c r="CD324" s="118"/>
    </row>
    <row r="325" spans="1:82" ht="17.399999999999999" customHeight="1" thickBot="1">
      <c r="A325" s="87">
        <f t="shared" si="174"/>
        <v>45.7</v>
      </c>
      <c r="B325" s="113">
        <f t="shared" si="154"/>
        <v>315</v>
      </c>
      <c r="C325" s="89"/>
      <c r="D325" s="90"/>
      <c r="E325" s="91"/>
      <c r="F325" s="90"/>
      <c r="G325" s="92">
        <f t="shared" si="185"/>
        <v>0</v>
      </c>
      <c r="H325" s="93">
        <f t="shared" si="185"/>
        <v>0</v>
      </c>
      <c r="I325" s="94">
        <f t="shared" si="163"/>
        <v>0</v>
      </c>
      <c r="J325" s="95">
        <f t="shared" si="164"/>
        <v>0</v>
      </c>
      <c r="K325" s="95">
        <f t="shared" si="165"/>
        <v>0</v>
      </c>
      <c r="L325" s="95">
        <f t="shared" si="166"/>
        <v>0</v>
      </c>
      <c r="M325" s="95" t="str">
        <f t="shared" ca="1" si="167"/>
        <v/>
      </c>
      <c r="N325" s="95" t="str">
        <f t="shared" ca="1" si="167"/>
        <v/>
      </c>
      <c r="O325" s="95">
        <f t="shared" si="168"/>
        <v>5.0000000000000001E-4</v>
      </c>
      <c r="P325" s="96"/>
      <c r="Q325" s="89"/>
      <c r="R325" s="96"/>
      <c r="S325" s="78">
        <f t="shared" si="155"/>
        <v>0</v>
      </c>
      <c r="T325" s="55">
        <f t="shared" si="155"/>
        <v>0</v>
      </c>
      <c r="U325" s="97">
        <f t="shared" si="175"/>
        <v>0</v>
      </c>
      <c r="V325" s="98">
        <f t="shared" si="176"/>
        <v>0</v>
      </c>
      <c r="W325" s="99">
        <f t="shared" si="186"/>
        <v>140</v>
      </c>
      <c r="X325" s="100">
        <f t="shared" si="184"/>
        <v>165</v>
      </c>
      <c r="Y325" s="91"/>
      <c r="Z325" s="60"/>
      <c r="AA325" s="75"/>
      <c r="AB325" s="75"/>
      <c r="AC325" s="75"/>
      <c r="AD325" s="75"/>
      <c r="AE325" s="101">
        <f t="shared" si="156"/>
        <v>0</v>
      </c>
      <c r="AF325" s="93">
        <f t="shared" si="157"/>
        <v>0</v>
      </c>
      <c r="AG325" s="94">
        <f t="shared" ref="AG325:AG388" si="188">IFERROR(Y325/H324,0)</f>
        <v>0</v>
      </c>
      <c r="AH325" s="102">
        <f t="shared" ref="AH325:AK388" si="189">IFERROR(Z325/$Y325,0)</f>
        <v>0</v>
      </c>
      <c r="AI325" s="103">
        <f t="shared" si="189"/>
        <v>0</v>
      </c>
      <c r="AJ325" s="103">
        <f t="shared" si="189"/>
        <v>0</v>
      </c>
      <c r="AK325" s="95">
        <f t="shared" si="187"/>
        <v>0</v>
      </c>
      <c r="AL325" s="102">
        <f t="shared" si="158"/>
        <v>0</v>
      </c>
      <c r="AM325" s="95">
        <f t="shared" si="159"/>
        <v>0</v>
      </c>
      <c r="AN325" s="90"/>
      <c r="AO325" s="104"/>
      <c r="AP325" s="90"/>
      <c r="AQ325" s="105"/>
      <c r="AR325" s="90"/>
      <c r="AS325" s="90"/>
      <c r="AT325" s="90"/>
      <c r="AU325" s="93" t="str">
        <f t="shared" si="169"/>
        <v/>
      </c>
      <c r="AV325" s="93" t="str">
        <f t="shared" ca="1" si="170"/>
        <v/>
      </c>
      <c r="AW325" s="93" t="str">
        <f t="shared" si="160"/>
        <v/>
      </c>
      <c r="AX325" s="93" t="str">
        <f t="shared" ca="1" si="161"/>
        <v/>
      </c>
      <c r="AY325" s="106"/>
      <c r="AZ325" s="106"/>
      <c r="BA325" s="93" t="str">
        <f t="shared" si="171"/>
        <v/>
      </c>
      <c r="BB325" s="106"/>
      <c r="BC325" s="106"/>
      <c r="BD325" s="93" t="str">
        <f t="shared" si="172"/>
        <v/>
      </c>
      <c r="BE325" s="90"/>
      <c r="BS325" s="118"/>
      <c r="BT325" s="118"/>
      <c r="BU325" s="118"/>
      <c r="BV325" s="118"/>
      <c r="BW325" s="118"/>
      <c r="BX325" s="118"/>
      <c r="BZ325" s="118"/>
      <c r="CB325" s="118"/>
      <c r="CC325" s="118"/>
      <c r="CD325" s="118"/>
    </row>
    <row r="326" spans="1:82" ht="17.399999999999999" customHeight="1" thickTop="1">
      <c r="A326" s="107">
        <f>A319+1</f>
        <v>46.1</v>
      </c>
      <c r="B326" s="108">
        <f>B325+1</f>
        <v>316</v>
      </c>
      <c r="C326" s="51"/>
      <c r="D326" s="52"/>
      <c r="E326" s="53"/>
      <c r="F326" s="52"/>
      <c r="G326" s="54">
        <f t="shared" si="185"/>
        <v>0</v>
      </c>
      <c r="H326" s="55">
        <f t="shared" si="185"/>
        <v>0</v>
      </c>
      <c r="I326" s="56">
        <f t="shared" si="163"/>
        <v>0</v>
      </c>
      <c r="J326" s="57">
        <f t="shared" si="164"/>
        <v>0</v>
      </c>
      <c r="K326" s="57">
        <f t="shared" si="165"/>
        <v>0</v>
      </c>
      <c r="L326" s="57">
        <f t="shared" si="166"/>
        <v>0</v>
      </c>
      <c r="M326" s="58" t="str">
        <f t="shared" ca="1" si="167"/>
        <v/>
      </c>
      <c r="N326" s="58" t="str">
        <f t="shared" ca="1" si="167"/>
        <v/>
      </c>
      <c r="O326" s="58">
        <f t="shared" si="168"/>
        <v>5.0000000000000001E-4</v>
      </c>
      <c r="P326" s="77"/>
      <c r="Q326" s="60"/>
      <c r="R326" s="77"/>
      <c r="S326" s="109">
        <f t="shared" si="155"/>
        <v>0</v>
      </c>
      <c r="T326" s="61">
        <f t="shared" si="155"/>
        <v>0</v>
      </c>
      <c r="U326" s="62">
        <f t="shared" si="175"/>
        <v>0</v>
      </c>
      <c r="V326" s="63">
        <f t="shared" si="176"/>
        <v>0</v>
      </c>
      <c r="W326" s="64">
        <v>141</v>
      </c>
      <c r="X326" s="80">
        <f t="shared" si="184"/>
        <v>165</v>
      </c>
      <c r="Y326" s="53"/>
      <c r="Z326" s="51"/>
      <c r="AA326" s="53"/>
      <c r="AB326" s="53"/>
      <c r="AC326" s="53"/>
      <c r="AD326" s="53"/>
      <c r="AE326" s="66">
        <f t="shared" si="156"/>
        <v>0</v>
      </c>
      <c r="AF326" s="61">
        <f t="shared" si="157"/>
        <v>0</v>
      </c>
      <c r="AG326" s="56">
        <f t="shared" si="188"/>
        <v>0</v>
      </c>
      <c r="AH326" s="67">
        <f t="shared" si="189"/>
        <v>0</v>
      </c>
      <c r="AI326" s="68">
        <f t="shared" si="189"/>
        <v>0</v>
      </c>
      <c r="AJ326" s="68">
        <f t="shared" si="189"/>
        <v>0</v>
      </c>
      <c r="AK326" s="57">
        <f t="shared" si="187"/>
        <v>0</v>
      </c>
      <c r="AL326" s="67">
        <f t="shared" si="158"/>
        <v>0</v>
      </c>
      <c r="AM326" s="57">
        <f t="shared" si="159"/>
        <v>0</v>
      </c>
      <c r="AN326" s="52"/>
      <c r="AO326" s="69"/>
      <c r="AP326" s="52"/>
      <c r="AQ326" s="70"/>
      <c r="AR326" s="52"/>
      <c r="AS326" s="52"/>
      <c r="AT326" s="52"/>
      <c r="AU326" s="61" t="str">
        <f t="shared" si="169"/>
        <v/>
      </c>
      <c r="AV326" s="61" t="str">
        <f t="shared" ca="1" si="170"/>
        <v/>
      </c>
      <c r="AW326" s="61" t="str">
        <f t="shared" si="160"/>
        <v/>
      </c>
      <c r="AX326" s="61" t="str">
        <f t="shared" ca="1" si="161"/>
        <v/>
      </c>
      <c r="AY326" s="71"/>
      <c r="AZ326" s="71"/>
      <c r="BA326" s="61" t="str">
        <f t="shared" si="171"/>
        <v/>
      </c>
      <c r="BB326" s="71"/>
      <c r="BC326" s="71"/>
      <c r="BD326" s="61" t="str">
        <f t="shared" si="172"/>
        <v/>
      </c>
      <c r="BE326" s="52"/>
      <c r="BS326" s="118"/>
      <c r="BT326" s="118"/>
      <c r="BU326" s="118"/>
      <c r="BV326" s="118"/>
      <c r="BW326" s="118"/>
      <c r="BX326" s="118"/>
      <c r="BZ326" s="118"/>
      <c r="CB326" s="118"/>
      <c r="CC326" s="118"/>
      <c r="CD326" s="118"/>
    </row>
    <row r="327" spans="1:82" ht="17.399999999999999" customHeight="1">
      <c r="A327" s="87">
        <f t="shared" si="174"/>
        <v>46.2</v>
      </c>
      <c r="B327" s="111">
        <f t="shared" si="154"/>
        <v>317</v>
      </c>
      <c r="C327" s="60"/>
      <c r="D327" s="74"/>
      <c r="E327" s="75"/>
      <c r="F327" s="74"/>
      <c r="G327" s="54">
        <f t="shared" si="185"/>
        <v>0</v>
      </c>
      <c r="H327" s="55">
        <f t="shared" si="185"/>
        <v>0</v>
      </c>
      <c r="I327" s="76">
        <f t="shared" si="163"/>
        <v>0</v>
      </c>
      <c r="J327" s="58">
        <f t="shared" si="164"/>
        <v>0</v>
      </c>
      <c r="K327" s="58">
        <f t="shared" si="165"/>
        <v>0</v>
      </c>
      <c r="L327" s="58">
        <f t="shared" si="166"/>
        <v>0</v>
      </c>
      <c r="M327" s="58" t="str">
        <f t="shared" ca="1" si="167"/>
        <v/>
      </c>
      <c r="N327" s="58" t="str">
        <f t="shared" ca="1" si="167"/>
        <v/>
      </c>
      <c r="O327" s="58">
        <f t="shared" si="168"/>
        <v>5.0000000000000001E-4</v>
      </c>
      <c r="P327" s="77"/>
      <c r="Q327" s="60"/>
      <c r="R327" s="77"/>
      <c r="S327" s="78">
        <f t="shared" si="155"/>
        <v>0</v>
      </c>
      <c r="T327" s="55">
        <f t="shared" si="155"/>
        <v>0</v>
      </c>
      <c r="U327" s="79">
        <f t="shared" si="175"/>
        <v>0</v>
      </c>
      <c r="V327" s="63">
        <f t="shared" si="176"/>
        <v>0</v>
      </c>
      <c r="W327" s="64">
        <f t="shared" ref="W327:X339" si="190">W326</f>
        <v>141</v>
      </c>
      <c r="X327" s="80">
        <f t="shared" si="184"/>
        <v>165</v>
      </c>
      <c r="Y327" s="75"/>
      <c r="Z327" s="60"/>
      <c r="AA327" s="75"/>
      <c r="AB327" s="75"/>
      <c r="AC327" s="75"/>
      <c r="AD327" s="75"/>
      <c r="AE327" s="81">
        <f t="shared" si="156"/>
        <v>0</v>
      </c>
      <c r="AF327" s="55">
        <f t="shared" si="157"/>
        <v>0</v>
      </c>
      <c r="AG327" s="76">
        <f t="shared" si="188"/>
        <v>0</v>
      </c>
      <c r="AH327" s="82">
        <f t="shared" si="189"/>
        <v>0</v>
      </c>
      <c r="AI327" s="83">
        <f t="shared" si="189"/>
        <v>0</v>
      </c>
      <c r="AJ327" s="83">
        <f t="shared" si="189"/>
        <v>0</v>
      </c>
      <c r="AK327" s="58">
        <f t="shared" si="187"/>
        <v>0</v>
      </c>
      <c r="AL327" s="82">
        <f t="shared" si="158"/>
        <v>0</v>
      </c>
      <c r="AM327" s="58">
        <f t="shared" si="159"/>
        <v>0</v>
      </c>
      <c r="AN327" s="74"/>
      <c r="AO327" s="84"/>
      <c r="AP327" s="74"/>
      <c r="AQ327" s="85"/>
      <c r="AR327" s="74"/>
      <c r="AS327" s="74"/>
      <c r="AT327" s="74"/>
      <c r="AU327" s="55" t="str">
        <f t="shared" si="169"/>
        <v/>
      </c>
      <c r="AV327" s="55" t="str">
        <f t="shared" ca="1" si="170"/>
        <v/>
      </c>
      <c r="AW327" s="55" t="str">
        <f t="shared" si="160"/>
        <v/>
      </c>
      <c r="AX327" s="55" t="str">
        <f t="shared" ca="1" si="161"/>
        <v/>
      </c>
      <c r="AY327" s="86"/>
      <c r="AZ327" s="86"/>
      <c r="BA327" s="55" t="str">
        <f t="shared" si="171"/>
        <v/>
      </c>
      <c r="BB327" s="86"/>
      <c r="BC327" s="86"/>
      <c r="BD327" s="55" t="str">
        <f t="shared" si="172"/>
        <v/>
      </c>
      <c r="BE327" s="74"/>
      <c r="BS327" s="118"/>
      <c r="BT327" s="118"/>
      <c r="BU327" s="118"/>
      <c r="BV327" s="118"/>
      <c r="BW327" s="118"/>
      <c r="BX327" s="118"/>
      <c r="BZ327" s="118"/>
      <c r="CB327" s="118"/>
      <c r="CC327" s="118"/>
      <c r="CD327" s="118"/>
    </row>
    <row r="328" spans="1:82" ht="17.399999999999999" customHeight="1">
      <c r="A328" s="72">
        <f t="shared" si="174"/>
        <v>46.3</v>
      </c>
      <c r="B328" s="111">
        <f t="shared" si="154"/>
        <v>318</v>
      </c>
      <c r="C328" s="60"/>
      <c r="D328" s="74"/>
      <c r="E328" s="75"/>
      <c r="F328" s="74"/>
      <c r="G328" s="54">
        <f t="shared" si="185"/>
        <v>0</v>
      </c>
      <c r="H328" s="55">
        <f t="shared" si="185"/>
        <v>0</v>
      </c>
      <c r="I328" s="76">
        <f t="shared" si="163"/>
        <v>0</v>
      </c>
      <c r="J328" s="58">
        <f t="shared" si="164"/>
        <v>0</v>
      </c>
      <c r="K328" s="58">
        <f t="shared" si="165"/>
        <v>0</v>
      </c>
      <c r="L328" s="58">
        <f t="shared" si="166"/>
        <v>0</v>
      </c>
      <c r="M328" s="58" t="str">
        <f t="shared" ca="1" si="167"/>
        <v/>
      </c>
      <c r="N328" s="58" t="str">
        <f t="shared" ca="1" si="167"/>
        <v/>
      </c>
      <c r="O328" s="58">
        <f t="shared" si="168"/>
        <v>5.0000000000000001E-4</v>
      </c>
      <c r="P328" s="77"/>
      <c r="Q328" s="60"/>
      <c r="R328" s="77"/>
      <c r="S328" s="78">
        <f t="shared" si="155"/>
        <v>0</v>
      </c>
      <c r="T328" s="55">
        <f t="shared" si="155"/>
        <v>0</v>
      </c>
      <c r="U328" s="79">
        <f t="shared" si="175"/>
        <v>0</v>
      </c>
      <c r="V328" s="63">
        <f t="shared" si="176"/>
        <v>0</v>
      </c>
      <c r="W328" s="64">
        <f t="shared" si="190"/>
        <v>141</v>
      </c>
      <c r="X328" s="80">
        <f t="shared" si="184"/>
        <v>165</v>
      </c>
      <c r="Y328" s="75"/>
      <c r="Z328" s="60"/>
      <c r="AA328" s="75"/>
      <c r="AB328" s="75"/>
      <c r="AC328" s="75"/>
      <c r="AD328" s="75"/>
      <c r="AE328" s="81">
        <f t="shared" si="156"/>
        <v>0</v>
      </c>
      <c r="AF328" s="55">
        <f t="shared" si="157"/>
        <v>0</v>
      </c>
      <c r="AG328" s="76">
        <f t="shared" si="188"/>
        <v>0</v>
      </c>
      <c r="AH328" s="82">
        <f t="shared" si="189"/>
        <v>0</v>
      </c>
      <c r="AI328" s="83">
        <f t="shared" si="189"/>
        <v>0</v>
      </c>
      <c r="AJ328" s="83">
        <f t="shared" si="189"/>
        <v>0</v>
      </c>
      <c r="AK328" s="58">
        <f t="shared" si="187"/>
        <v>0</v>
      </c>
      <c r="AL328" s="82">
        <f t="shared" si="158"/>
        <v>0</v>
      </c>
      <c r="AM328" s="58">
        <f t="shared" si="159"/>
        <v>0</v>
      </c>
      <c r="AN328" s="74"/>
      <c r="AO328" s="84"/>
      <c r="AP328" s="74"/>
      <c r="AQ328" s="85"/>
      <c r="AR328" s="74"/>
      <c r="AS328" s="74"/>
      <c r="AT328" s="74"/>
      <c r="AU328" s="55" t="str">
        <f t="shared" si="169"/>
        <v/>
      </c>
      <c r="AV328" s="55" t="str">
        <f t="shared" ca="1" si="170"/>
        <v/>
      </c>
      <c r="AW328" s="55" t="str">
        <f t="shared" si="160"/>
        <v/>
      </c>
      <c r="AX328" s="55" t="str">
        <f t="shared" ca="1" si="161"/>
        <v/>
      </c>
      <c r="AY328" s="86"/>
      <c r="AZ328" s="86"/>
      <c r="BA328" s="55" t="str">
        <f t="shared" si="171"/>
        <v/>
      </c>
      <c r="BB328" s="86"/>
      <c r="BC328" s="86"/>
      <c r="BD328" s="55" t="str">
        <f t="shared" si="172"/>
        <v/>
      </c>
      <c r="BE328" s="74"/>
      <c r="BS328" s="118"/>
      <c r="BT328" s="118"/>
      <c r="BU328" s="118"/>
      <c r="BV328" s="118"/>
      <c r="BW328" s="118"/>
      <c r="BX328" s="118"/>
      <c r="BZ328" s="118"/>
      <c r="CB328" s="118"/>
      <c r="CC328" s="118"/>
      <c r="CD328" s="118"/>
    </row>
    <row r="329" spans="1:82" ht="17.399999999999999" customHeight="1">
      <c r="A329" s="87">
        <f t="shared" si="174"/>
        <v>46.4</v>
      </c>
      <c r="B329" s="111">
        <f t="shared" si="154"/>
        <v>319</v>
      </c>
      <c r="C329" s="60"/>
      <c r="D329" s="74"/>
      <c r="E329" s="75"/>
      <c r="F329" s="74"/>
      <c r="G329" s="54">
        <f t="shared" si="185"/>
        <v>0</v>
      </c>
      <c r="H329" s="55">
        <f t="shared" si="185"/>
        <v>0</v>
      </c>
      <c r="I329" s="76">
        <f t="shared" si="163"/>
        <v>0</v>
      </c>
      <c r="J329" s="58">
        <f t="shared" si="164"/>
        <v>0</v>
      </c>
      <c r="K329" s="58">
        <f t="shared" si="165"/>
        <v>0</v>
      </c>
      <c r="L329" s="58">
        <f t="shared" si="166"/>
        <v>0</v>
      </c>
      <c r="M329" s="58" t="str">
        <f t="shared" ca="1" si="167"/>
        <v/>
      </c>
      <c r="N329" s="58" t="str">
        <f t="shared" ca="1" si="167"/>
        <v/>
      </c>
      <c r="O329" s="58">
        <f t="shared" si="168"/>
        <v>5.0000000000000001E-4</v>
      </c>
      <c r="P329" s="77"/>
      <c r="Q329" s="60"/>
      <c r="R329" s="77"/>
      <c r="S329" s="78">
        <f t="shared" si="155"/>
        <v>0</v>
      </c>
      <c r="T329" s="55">
        <f t="shared" si="155"/>
        <v>0</v>
      </c>
      <c r="U329" s="79">
        <f t="shared" si="175"/>
        <v>0</v>
      </c>
      <c r="V329" s="63">
        <f t="shared" si="176"/>
        <v>0</v>
      </c>
      <c r="W329" s="64">
        <f t="shared" si="190"/>
        <v>141</v>
      </c>
      <c r="X329" s="80">
        <f t="shared" si="190"/>
        <v>165</v>
      </c>
      <c r="Y329" s="75"/>
      <c r="Z329" s="60"/>
      <c r="AA329" s="75"/>
      <c r="AB329" s="75"/>
      <c r="AC329" s="75"/>
      <c r="AD329" s="75"/>
      <c r="AE329" s="81">
        <f t="shared" si="156"/>
        <v>0</v>
      </c>
      <c r="AF329" s="55">
        <f t="shared" si="157"/>
        <v>0</v>
      </c>
      <c r="AG329" s="76">
        <f t="shared" si="188"/>
        <v>0</v>
      </c>
      <c r="AH329" s="82">
        <f t="shared" si="189"/>
        <v>0</v>
      </c>
      <c r="AI329" s="83">
        <f t="shared" si="189"/>
        <v>0</v>
      </c>
      <c r="AJ329" s="83">
        <f t="shared" si="189"/>
        <v>0</v>
      </c>
      <c r="AK329" s="58">
        <f t="shared" si="187"/>
        <v>0</v>
      </c>
      <c r="AL329" s="82">
        <f t="shared" si="158"/>
        <v>0</v>
      </c>
      <c r="AM329" s="58">
        <f t="shared" si="159"/>
        <v>0</v>
      </c>
      <c r="AN329" s="74"/>
      <c r="AO329" s="84"/>
      <c r="AP329" s="74"/>
      <c r="AQ329" s="85"/>
      <c r="AR329" s="74"/>
      <c r="AS329" s="74"/>
      <c r="AT329" s="74"/>
      <c r="AU329" s="55" t="str">
        <f t="shared" si="169"/>
        <v/>
      </c>
      <c r="AV329" s="55" t="str">
        <f t="shared" ca="1" si="170"/>
        <v/>
      </c>
      <c r="AW329" s="55" t="str">
        <f t="shared" si="160"/>
        <v/>
      </c>
      <c r="AX329" s="55" t="str">
        <f t="shared" ca="1" si="161"/>
        <v/>
      </c>
      <c r="AY329" s="86"/>
      <c r="AZ329" s="86"/>
      <c r="BA329" s="55" t="str">
        <f t="shared" si="171"/>
        <v/>
      </c>
      <c r="BB329" s="86"/>
      <c r="BC329" s="86"/>
      <c r="BD329" s="55" t="str">
        <f t="shared" si="172"/>
        <v/>
      </c>
      <c r="BE329" s="74"/>
      <c r="BS329" s="118"/>
      <c r="BT329" s="118"/>
      <c r="BU329" s="118"/>
      <c r="BV329" s="118"/>
      <c r="BW329" s="118"/>
      <c r="BX329" s="118"/>
      <c r="BZ329" s="118"/>
      <c r="CB329" s="118"/>
      <c r="CC329" s="118"/>
      <c r="CD329" s="118"/>
    </row>
    <row r="330" spans="1:82" ht="17.399999999999999" customHeight="1">
      <c r="A330" s="72">
        <f t="shared" si="174"/>
        <v>46.5</v>
      </c>
      <c r="B330" s="111">
        <f t="shared" si="154"/>
        <v>320</v>
      </c>
      <c r="C330" s="60"/>
      <c r="D330" s="74"/>
      <c r="E330" s="75"/>
      <c r="F330" s="74"/>
      <c r="G330" s="54">
        <f t="shared" si="185"/>
        <v>0</v>
      </c>
      <c r="H330" s="55">
        <f t="shared" si="185"/>
        <v>0</v>
      </c>
      <c r="I330" s="76">
        <f t="shared" si="163"/>
        <v>0</v>
      </c>
      <c r="J330" s="58">
        <f t="shared" si="164"/>
        <v>0</v>
      </c>
      <c r="K330" s="58">
        <f t="shared" si="165"/>
        <v>0</v>
      </c>
      <c r="L330" s="58">
        <f t="shared" si="166"/>
        <v>0</v>
      </c>
      <c r="M330" s="58" t="str">
        <f t="shared" ca="1" si="167"/>
        <v/>
      </c>
      <c r="N330" s="58" t="str">
        <f t="shared" ca="1" si="167"/>
        <v/>
      </c>
      <c r="O330" s="58">
        <f t="shared" si="168"/>
        <v>5.0000000000000001E-4</v>
      </c>
      <c r="P330" s="77"/>
      <c r="Q330" s="60"/>
      <c r="R330" s="77"/>
      <c r="S330" s="78">
        <f t="shared" si="155"/>
        <v>0</v>
      </c>
      <c r="T330" s="55">
        <f t="shared" si="155"/>
        <v>0</v>
      </c>
      <c r="U330" s="79">
        <f t="shared" si="175"/>
        <v>0</v>
      </c>
      <c r="V330" s="63">
        <f t="shared" si="176"/>
        <v>0</v>
      </c>
      <c r="W330" s="64">
        <f t="shared" si="190"/>
        <v>141</v>
      </c>
      <c r="X330" s="80">
        <f t="shared" si="190"/>
        <v>165</v>
      </c>
      <c r="Y330" s="75"/>
      <c r="Z330" s="60"/>
      <c r="AA330" s="75"/>
      <c r="AB330" s="75"/>
      <c r="AC330" s="75"/>
      <c r="AD330" s="75"/>
      <c r="AE330" s="81">
        <f t="shared" si="156"/>
        <v>0</v>
      </c>
      <c r="AF330" s="55">
        <f t="shared" si="157"/>
        <v>0</v>
      </c>
      <c r="AG330" s="76">
        <f t="shared" si="188"/>
        <v>0</v>
      </c>
      <c r="AH330" s="82">
        <f t="shared" si="189"/>
        <v>0</v>
      </c>
      <c r="AI330" s="83">
        <f t="shared" si="189"/>
        <v>0</v>
      </c>
      <c r="AJ330" s="83">
        <f t="shared" si="189"/>
        <v>0</v>
      </c>
      <c r="AK330" s="58">
        <f t="shared" si="187"/>
        <v>0</v>
      </c>
      <c r="AL330" s="82">
        <f t="shared" si="158"/>
        <v>0</v>
      </c>
      <c r="AM330" s="58">
        <f t="shared" si="159"/>
        <v>0</v>
      </c>
      <c r="AN330" s="74"/>
      <c r="AO330" s="84"/>
      <c r="AP330" s="74"/>
      <c r="AQ330" s="85"/>
      <c r="AR330" s="74"/>
      <c r="AS330" s="74"/>
      <c r="AT330" s="74"/>
      <c r="AU330" s="55" t="str">
        <f t="shared" si="169"/>
        <v/>
      </c>
      <c r="AV330" s="55" t="str">
        <f t="shared" ca="1" si="170"/>
        <v/>
      </c>
      <c r="AW330" s="55" t="str">
        <f t="shared" si="160"/>
        <v/>
      </c>
      <c r="AX330" s="55" t="str">
        <f t="shared" ca="1" si="161"/>
        <v/>
      </c>
      <c r="AY330" s="86"/>
      <c r="AZ330" s="86"/>
      <c r="BA330" s="55" t="str">
        <f t="shared" si="171"/>
        <v/>
      </c>
      <c r="BB330" s="86"/>
      <c r="BC330" s="86"/>
      <c r="BD330" s="55" t="str">
        <f t="shared" si="172"/>
        <v/>
      </c>
      <c r="BE330" s="74"/>
      <c r="BS330" s="118"/>
      <c r="BT330" s="118"/>
      <c r="BU330" s="118"/>
      <c r="BV330" s="118"/>
      <c r="BW330" s="118"/>
      <c r="BX330" s="118"/>
      <c r="BZ330" s="118"/>
      <c r="CB330" s="118"/>
      <c r="CC330" s="118"/>
      <c r="CD330" s="118"/>
    </row>
    <row r="331" spans="1:82" ht="17.399999999999999" customHeight="1">
      <c r="A331" s="87">
        <f t="shared" si="174"/>
        <v>46.6</v>
      </c>
      <c r="B331" s="111">
        <f t="shared" ref="B331:B394" si="191">B330+1</f>
        <v>321</v>
      </c>
      <c r="C331" s="60"/>
      <c r="D331" s="74"/>
      <c r="E331" s="75"/>
      <c r="F331" s="74"/>
      <c r="G331" s="54">
        <f t="shared" si="185"/>
        <v>0</v>
      </c>
      <c r="H331" s="55">
        <f t="shared" si="185"/>
        <v>0</v>
      </c>
      <c r="I331" s="76">
        <f t="shared" si="163"/>
        <v>0</v>
      </c>
      <c r="J331" s="58">
        <f t="shared" si="164"/>
        <v>0</v>
      </c>
      <c r="K331" s="58">
        <f t="shared" si="165"/>
        <v>0</v>
      </c>
      <c r="L331" s="58">
        <f t="shared" si="166"/>
        <v>0</v>
      </c>
      <c r="M331" s="58" t="str">
        <f t="shared" ca="1" si="167"/>
        <v/>
      </c>
      <c r="N331" s="58" t="str">
        <f t="shared" ca="1" si="167"/>
        <v/>
      </c>
      <c r="O331" s="58">
        <f t="shared" si="168"/>
        <v>5.0000000000000001E-4</v>
      </c>
      <c r="P331" s="77"/>
      <c r="Q331" s="60"/>
      <c r="R331" s="77"/>
      <c r="S331" s="78">
        <f t="shared" ref="S331:T394" si="192">IF($P331="FULL FEED",Q331,Q331*2)</f>
        <v>0</v>
      </c>
      <c r="T331" s="55">
        <f t="shared" si="192"/>
        <v>0</v>
      </c>
      <c r="U331" s="79">
        <f t="shared" si="175"/>
        <v>0</v>
      </c>
      <c r="V331" s="63">
        <f t="shared" si="176"/>
        <v>0</v>
      </c>
      <c r="W331" s="64">
        <f t="shared" si="190"/>
        <v>141</v>
      </c>
      <c r="X331" s="80">
        <f t="shared" si="190"/>
        <v>165</v>
      </c>
      <c r="Y331" s="75"/>
      <c r="Z331" s="60"/>
      <c r="AA331" s="75"/>
      <c r="AB331" s="75"/>
      <c r="AC331" s="75"/>
      <c r="AD331" s="75"/>
      <c r="AE331" s="81">
        <f t="shared" ref="AE331:AE394" si="193">SUM(Z331,AA331,AB331,AC331)</f>
        <v>0</v>
      </c>
      <c r="AF331" s="55">
        <f t="shared" ref="AF331:AF394" si="194">Y331-AE331</f>
        <v>0</v>
      </c>
      <c r="AG331" s="76">
        <f t="shared" si="188"/>
        <v>0</v>
      </c>
      <c r="AH331" s="82">
        <f t="shared" si="189"/>
        <v>0</v>
      </c>
      <c r="AI331" s="83">
        <f t="shared" si="189"/>
        <v>0</v>
      </c>
      <c r="AJ331" s="83">
        <f t="shared" si="189"/>
        <v>0</v>
      </c>
      <c r="AK331" s="58">
        <f t="shared" si="187"/>
        <v>0</v>
      </c>
      <c r="AL331" s="82">
        <f t="shared" ref="AL331:AL394" si="195">IFERROR(AE331/Y331,0)</f>
        <v>0</v>
      </c>
      <c r="AM331" s="58">
        <f t="shared" ref="AM331:AM394" si="196">IFERROR(AF331/Y331,0)</f>
        <v>0</v>
      </c>
      <c r="AN331" s="74"/>
      <c r="AO331" s="84"/>
      <c r="AP331" s="74"/>
      <c r="AQ331" s="85"/>
      <c r="AR331" s="74"/>
      <c r="AS331" s="74"/>
      <c r="AT331" s="74"/>
      <c r="AU331" s="55" t="str">
        <f t="shared" si="169"/>
        <v/>
      </c>
      <c r="AV331" s="55" t="str">
        <f t="shared" ca="1" si="170"/>
        <v/>
      </c>
      <c r="AW331" s="55" t="str">
        <f t="shared" ref="AW331:AW394" si="197">IFERROR(IF(OR(AR331="",AT331="",K331="",L331=""),"", ((AT331-AR331)/100*1000)/(U331+V331)),0)</f>
        <v/>
      </c>
      <c r="AX331" s="55" t="str">
        <f t="shared" ref="AX331:AX394" ca="1" si="198">IF(OR(AR331="",AR332="",M331="",N331=""),"", ((AR332-AR331)/100*1000)/((G331+H331))*1000)</f>
        <v/>
      </c>
      <c r="AY331" s="86"/>
      <c r="AZ331" s="86"/>
      <c r="BA331" s="55" t="str">
        <f t="shared" si="171"/>
        <v/>
      </c>
      <c r="BB331" s="86"/>
      <c r="BC331" s="86"/>
      <c r="BD331" s="55" t="str">
        <f t="shared" si="172"/>
        <v/>
      </c>
      <c r="BE331" s="74"/>
      <c r="BS331" s="118"/>
      <c r="BT331" s="118"/>
      <c r="BU331" s="118"/>
      <c r="BV331" s="118"/>
      <c r="BW331" s="118"/>
      <c r="BX331" s="118"/>
      <c r="BZ331" s="118"/>
      <c r="CB331" s="118"/>
      <c r="CC331" s="118"/>
      <c r="CD331" s="118"/>
    </row>
    <row r="332" spans="1:82" ht="17.399999999999999" customHeight="1" thickBot="1">
      <c r="A332" s="72">
        <f t="shared" si="174"/>
        <v>46.7</v>
      </c>
      <c r="B332" s="113">
        <f t="shared" si="191"/>
        <v>322</v>
      </c>
      <c r="C332" s="89"/>
      <c r="D332" s="90"/>
      <c r="E332" s="91"/>
      <c r="F332" s="90"/>
      <c r="G332" s="92">
        <f t="shared" ref="G332:H347" si="199">G331-E332-C332</f>
        <v>0</v>
      </c>
      <c r="H332" s="93">
        <f t="shared" si="199"/>
        <v>0</v>
      </c>
      <c r="I332" s="94">
        <f t="shared" ref="I332:I395" si="200">IFERROR(C332/G331,0)</f>
        <v>0</v>
      </c>
      <c r="J332" s="95">
        <f t="shared" ref="J332:J395" si="201">IFERROR(E332/G331,0)</f>
        <v>0</v>
      </c>
      <c r="K332" s="95">
        <f t="shared" ref="K332:K395" si="202">IFERROR(D332/H331,0)</f>
        <v>0</v>
      </c>
      <c r="L332" s="95">
        <f t="shared" ref="L332:L395" si="203">IFERROR(F332/H331,0)</f>
        <v>0</v>
      </c>
      <c r="M332" s="95" t="str">
        <f t="shared" ref="M332:N395" ca="1" si="204">IF(ROW()=11,
   IF($B$4&gt;0,E332/$B$4,""),
   IF($B$4&gt;0,
      (OFFSET(M332,-1,0)*$B$4 + E332)/$B$4,
      "")
)</f>
        <v/>
      </c>
      <c r="N332" s="95" t="str">
        <f t="shared" ca="1" si="204"/>
        <v/>
      </c>
      <c r="O332" s="95">
        <f t="shared" ref="O332:O395" si="205">$O$10</f>
        <v>5.0000000000000001E-4</v>
      </c>
      <c r="P332" s="96"/>
      <c r="Q332" s="89"/>
      <c r="R332" s="96"/>
      <c r="S332" s="78">
        <f t="shared" si="192"/>
        <v>0</v>
      </c>
      <c r="T332" s="55">
        <f t="shared" si="192"/>
        <v>0</v>
      </c>
      <c r="U332" s="97">
        <f t="shared" si="175"/>
        <v>0</v>
      </c>
      <c r="V332" s="98">
        <f t="shared" si="176"/>
        <v>0</v>
      </c>
      <c r="W332" s="99">
        <f t="shared" si="190"/>
        <v>141</v>
      </c>
      <c r="X332" s="100">
        <f t="shared" si="190"/>
        <v>165</v>
      </c>
      <c r="Y332" s="91"/>
      <c r="Z332" s="60"/>
      <c r="AA332" s="75"/>
      <c r="AB332" s="75"/>
      <c r="AC332" s="75"/>
      <c r="AD332" s="75"/>
      <c r="AE332" s="101">
        <f t="shared" si="193"/>
        <v>0</v>
      </c>
      <c r="AF332" s="93">
        <f t="shared" si="194"/>
        <v>0</v>
      </c>
      <c r="AG332" s="94">
        <f t="shared" si="188"/>
        <v>0</v>
      </c>
      <c r="AH332" s="102">
        <f t="shared" si="189"/>
        <v>0</v>
      </c>
      <c r="AI332" s="103">
        <f t="shared" si="189"/>
        <v>0</v>
      </c>
      <c r="AJ332" s="103">
        <f t="shared" si="189"/>
        <v>0</v>
      </c>
      <c r="AK332" s="95">
        <f t="shared" si="187"/>
        <v>0</v>
      </c>
      <c r="AL332" s="102">
        <f t="shared" si="195"/>
        <v>0</v>
      </c>
      <c r="AM332" s="95">
        <f t="shared" si="196"/>
        <v>0</v>
      </c>
      <c r="AN332" s="90"/>
      <c r="AO332" s="104"/>
      <c r="AP332" s="90"/>
      <c r="AQ332" s="105"/>
      <c r="AR332" s="90"/>
      <c r="AS332" s="90"/>
      <c r="AT332" s="90"/>
      <c r="AU332" s="93" t="str">
        <f t="shared" ref="AU332:AU395" si="206">IF(OR(AT332="",AR332=""),"", (AT332-AR332)/100*1000)</f>
        <v/>
      </c>
      <c r="AV332" s="93" t="str">
        <f t="shared" ref="AV332:AV395" ca="1" si="207">IF(OR(AR333="",OFFSET(AR333,-1,0)=""),"", (AR333-OFFSET(AR333,-1,0))/100*1000)</f>
        <v/>
      </c>
      <c r="AW332" s="93" t="str">
        <f t="shared" si="197"/>
        <v/>
      </c>
      <c r="AX332" s="93" t="str">
        <f t="shared" ca="1" si="198"/>
        <v/>
      </c>
      <c r="AY332" s="106"/>
      <c r="AZ332" s="106"/>
      <c r="BA332" s="93" t="str">
        <f t="shared" ref="BA332:BA395" si="208">IF(OR(AY332="",AZ332=""),"",MOD(AZ332-AY332,1)*24)</f>
        <v/>
      </c>
      <c r="BB332" s="106"/>
      <c r="BC332" s="106"/>
      <c r="BD332" s="93" t="str">
        <f t="shared" ref="BD332:BD395" si="209">IF(OR(BB332="",BC332=""),"",MOD(BC332-BB332,1)*24)</f>
        <v/>
      </c>
      <c r="BE332" s="90"/>
      <c r="BS332" s="118"/>
      <c r="BT332" s="118"/>
      <c r="BU332" s="118"/>
      <c r="BV332" s="118"/>
      <c r="BW332" s="118"/>
      <c r="BX332" s="118"/>
      <c r="BZ332" s="118"/>
      <c r="CB332" s="118"/>
      <c r="CC332" s="118"/>
      <c r="CD332" s="118"/>
    </row>
    <row r="333" spans="1:82" ht="17.399999999999999" customHeight="1" thickTop="1">
      <c r="A333" s="49">
        <f>A326+1</f>
        <v>47.1</v>
      </c>
      <c r="B333" s="108">
        <f>B332+1</f>
        <v>323</v>
      </c>
      <c r="C333" s="51"/>
      <c r="D333" s="52"/>
      <c r="E333" s="53"/>
      <c r="F333" s="52"/>
      <c r="G333" s="54">
        <f t="shared" si="199"/>
        <v>0</v>
      </c>
      <c r="H333" s="55">
        <f t="shared" si="199"/>
        <v>0</v>
      </c>
      <c r="I333" s="56">
        <f t="shared" si="200"/>
        <v>0</v>
      </c>
      <c r="J333" s="57">
        <f t="shared" si="201"/>
        <v>0</v>
      </c>
      <c r="K333" s="57">
        <f t="shared" si="202"/>
        <v>0</v>
      </c>
      <c r="L333" s="57">
        <f t="shared" si="203"/>
        <v>0</v>
      </c>
      <c r="M333" s="58" t="str">
        <f t="shared" ca="1" si="204"/>
        <v/>
      </c>
      <c r="N333" s="58" t="str">
        <f t="shared" ca="1" si="204"/>
        <v/>
      </c>
      <c r="O333" s="58">
        <f t="shared" si="205"/>
        <v>5.0000000000000001E-4</v>
      </c>
      <c r="P333" s="77"/>
      <c r="Q333" s="60"/>
      <c r="R333" s="77"/>
      <c r="S333" s="109">
        <f t="shared" si="192"/>
        <v>0</v>
      </c>
      <c r="T333" s="61">
        <f t="shared" si="192"/>
        <v>0</v>
      </c>
      <c r="U333" s="62">
        <f t="shared" si="175"/>
        <v>0</v>
      </c>
      <c r="V333" s="63">
        <f t="shared" si="176"/>
        <v>0</v>
      </c>
      <c r="W333" s="64">
        <v>141</v>
      </c>
      <c r="X333" s="80">
        <f t="shared" si="190"/>
        <v>165</v>
      </c>
      <c r="Y333" s="53"/>
      <c r="Z333" s="51"/>
      <c r="AA333" s="53"/>
      <c r="AB333" s="53"/>
      <c r="AC333" s="53"/>
      <c r="AD333" s="53"/>
      <c r="AE333" s="66">
        <f t="shared" si="193"/>
        <v>0</v>
      </c>
      <c r="AF333" s="61">
        <f t="shared" si="194"/>
        <v>0</v>
      </c>
      <c r="AG333" s="56">
        <f t="shared" si="188"/>
        <v>0</v>
      </c>
      <c r="AH333" s="67">
        <f t="shared" si="189"/>
        <v>0</v>
      </c>
      <c r="AI333" s="68">
        <f t="shared" si="189"/>
        <v>0</v>
      </c>
      <c r="AJ333" s="68">
        <f t="shared" si="189"/>
        <v>0</v>
      </c>
      <c r="AK333" s="57">
        <f t="shared" si="187"/>
        <v>0</v>
      </c>
      <c r="AL333" s="67">
        <f t="shared" si="195"/>
        <v>0</v>
      </c>
      <c r="AM333" s="57">
        <f t="shared" si="196"/>
        <v>0</v>
      </c>
      <c r="AN333" s="52"/>
      <c r="AO333" s="69"/>
      <c r="AP333" s="52"/>
      <c r="AQ333" s="70"/>
      <c r="AR333" s="52"/>
      <c r="AS333" s="52"/>
      <c r="AT333" s="52"/>
      <c r="AU333" s="61" t="str">
        <f t="shared" si="206"/>
        <v/>
      </c>
      <c r="AV333" s="61" t="str">
        <f t="shared" ca="1" si="207"/>
        <v/>
      </c>
      <c r="AW333" s="61" t="str">
        <f t="shared" si="197"/>
        <v/>
      </c>
      <c r="AX333" s="61" t="str">
        <f t="shared" ca="1" si="198"/>
        <v/>
      </c>
      <c r="AY333" s="71"/>
      <c r="AZ333" s="71"/>
      <c r="BA333" s="61" t="str">
        <f t="shared" si="208"/>
        <v/>
      </c>
      <c r="BB333" s="71"/>
      <c r="BC333" s="71"/>
      <c r="BD333" s="61" t="str">
        <f t="shared" si="209"/>
        <v/>
      </c>
      <c r="BE333" s="52"/>
      <c r="BS333" s="118"/>
      <c r="BT333" s="118"/>
      <c r="BU333" s="118"/>
      <c r="BV333" s="118"/>
      <c r="BW333" s="118"/>
      <c r="BX333" s="118"/>
      <c r="BZ333" s="118"/>
      <c r="CB333" s="118"/>
      <c r="CC333" s="118"/>
      <c r="CD333" s="118"/>
    </row>
    <row r="334" spans="1:82" ht="17.399999999999999" customHeight="1">
      <c r="A334" s="72">
        <f t="shared" si="174"/>
        <v>47.2</v>
      </c>
      <c r="B334" s="111">
        <f t="shared" si="191"/>
        <v>324</v>
      </c>
      <c r="C334" s="60"/>
      <c r="D334" s="74"/>
      <c r="E334" s="75"/>
      <c r="F334" s="74"/>
      <c r="G334" s="54">
        <f t="shared" si="199"/>
        <v>0</v>
      </c>
      <c r="H334" s="55">
        <f t="shared" si="199"/>
        <v>0</v>
      </c>
      <c r="I334" s="76">
        <f t="shared" si="200"/>
        <v>0</v>
      </c>
      <c r="J334" s="58">
        <f t="shared" si="201"/>
        <v>0</v>
      </c>
      <c r="K334" s="58">
        <f t="shared" si="202"/>
        <v>0</v>
      </c>
      <c r="L334" s="58">
        <f t="shared" si="203"/>
        <v>0</v>
      </c>
      <c r="M334" s="58" t="str">
        <f t="shared" ca="1" si="204"/>
        <v/>
      </c>
      <c r="N334" s="58" t="str">
        <f t="shared" ca="1" si="204"/>
        <v/>
      </c>
      <c r="O334" s="58">
        <f t="shared" si="205"/>
        <v>5.0000000000000001E-4</v>
      </c>
      <c r="P334" s="77"/>
      <c r="Q334" s="60"/>
      <c r="R334" s="77"/>
      <c r="S334" s="78">
        <f t="shared" si="192"/>
        <v>0</v>
      </c>
      <c r="T334" s="55">
        <f t="shared" si="192"/>
        <v>0</v>
      </c>
      <c r="U334" s="79">
        <f t="shared" si="175"/>
        <v>0</v>
      </c>
      <c r="V334" s="63">
        <f t="shared" si="176"/>
        <v>0</v>
      </c>
      <c r="W334" s="64">
        <f t="shared" ref="W334:W339" si="210">W333</f>
        <v>141</v>
      </c>
      <c r="X334" s="80">
        <f t="shared" si="190"/>
        <v>165</v>
      </c>
      <c r="Y334" s="75"/>
      <c r="Z334" s="60"/>
      <c r="AA334" s="75"/>
      <c r="AB334" s="75"/>
      <c r="AC334" s="75"/>
      <c r="AD334" s="75"/>
      <c r="AE334" s="81">
        <f t="shared" si="193"/>
        <v>0</v>
      </c>
      <c r="AF334" s="55">
        <f t="shared" si="194"/>
        <v>0</v>
      </c>
      <c r="AG334" s="76">
        <f t="shared" si="188"/>
        <v>0</v>
      </c>
      <c r="AH334" s="82">
        <f t="shared" si="189"/>
        <v>0</v>
      </c>
      <c r="AI334" s="83">
        <f t="shared" si="189"/>
        <v>0</v>
      </c>
      <c r="AJ334" s="83">
        <f t="shared" si="189"/>
        <v>0</v>
      </c>
      <c r="AK334" s="58">
        <f t="shared" si="187"/>
        <v>0</v>
      </c>
      <c r="AL334" s="82">
        <f t="shared" si="195"/>
        <v>0</v>
      </c>
      <c r="AM334" s="58">
        <f t="shared" si="196"/>
        <v>0</v>
      </c>
      <c r="AN334" s="74"/>
      <c r="AO334" s="84"/>
      <c r="AP334" s="74"/>
      <c r="AQ334" s="85"/>
      <c r="AR334" s="74"/>
      <c r="AS334" s="74"/>
      <c r="AT334" s="74"/>
      <c r="AU334" s="55" t="str">
        <f t="shared" si="206"/>
        <v/>
      </c>
      <c r="AV334" s="55" t="str">
        <f t="shared" ca="1" si="207"/>
        <v/>
      </c>
      <c r="AW334" s="55" t="str">
        <f t="shared" si="197"/>
        <v/>
      </c>
      <c r="AX334" s="55" t="str">
        <f t="shared" ca="1" si="198"/>
        <v/>
      </c>
      <c r="AY334" s="86"/>
      <c r="AZ334" s="86"/>
      <c r="BA334" s="55" t="str">
        <f t="shared" si="208"/>
        <v/>
      </c>
      <c r="BB334" s="86"/>
      <c r="BC334" s="86"/>
      <c r="BD334" s="55" t="str">
        <f t="shared" si="209"/>
        <v/>
      </c>
      <c r="BE334" s="74"/>
      <c r="BS334" s="118"/>
      <c r="BT334" s="118"/>
      <c r="BU334" s="118"/>
      <c r="BV334" s="118"/>
      <c r="BW334" s="118"/>
      <c r="BX334" s="118"/>
      <c r="BZ334" s="118"/>
      <c r="CB334" s="118"/>
      <c r="CC334" s="118"/>
      <c r="CD334" s="118"/>
    </row>
    <row r="335" spans="1:82" ht="17.399999999999999" customHeight="1">
      <c r="A335" s="87">
        <f t="shared" si="174"/>
        <v>47.3</v>
      </c>
      <c r="B335" s="111">
        <f t="shared" si="191"/>
        <v>325</v>
      </c>
      <c r="C335" s="60"/>
      <c r="D335" s="74"/>
      <c r="E335" s="75"/>
      <c r="F335" s="74"/>
      <c r="G335" s="54">
        <f t="shared" si="199"/>
        <v>0</v>
      </c>
      <c r="H335" s="55">
        <f t="shared" si="199"/>
        <v>0</v>
      </c>
      <c r="I335" s="76">
        <f t="shared" si="200"/>
        <v>0</v>
      </c>
      <c r="J335" s="58">
        <f t="shared" si="201"/>
        <v>0</v>
      </c>
      <c r="K335" s="58">
        <f t="shared" si="202"/>
        <v>0</v>
      </c>
      <c r="L335" s="58">
        <f t="shared" si="203"/>
        <v>0</v>
      </c>
      <c r="M335" s="58" t="str">
        <f t="shared" ca="1" si="204"/>
        <v/>
      </c>
      <c r="N335" s="58" t="str">
        <f t="shared" ca="1" si="204"/>
        <v/>
      </c>
      <c r="O335" s="58">
        <f t="shared" si="205"/>
        <v>5.0000000000000001E-4</v>
      </c>
      <c r="P335" s="77"/>
      <c r="Q335" s="60"/>
      <c r="R335" s="77"/>
      <c r="S335" s="78">
        <f t="shared" si="192"/>
        <v>0</v>
      </c>
      <c r="T335" s="55">
        <f t="shared" si="192"/>
        <v>0</v>
      </c>
      <c r="U335" s="79">
        <f t="shared" si="175"/>
        <v>0</v>
      </c>
      <c r="V335" s="63">
        <f t="shared" si="176"/>
        <v>0</v>
      </c>
      <c r="W335" s="64">
        <f t="shared" si="210"/>
        <v>141</v>
      </c>
      <c r="X335" s="80">
        <f t="shared" si="190"/>
        <v>165</v>
      </c>
      <c r="Y335" s="75"/>
      <c r="Z335" s="60"/>
      <c r="AA335" s="75"/>
      <c r="AB335" s="75"/>
      <c r="AC335" s="75"/>
      <c r="AD335" s="75"/>
      <c r="AE335" s="81">
        <f t="shared" si="193"/>
        <v>0</v>
      </c>
      <c r="AF335" s="55">
        <f t="shared" si="194"/>
        <v>0</v>
      </c>
      <c r="AG335" s="76">
        <f t="shared" si="188"/>
        <v>0</v>
      </c>
      <c r="AH335" s="82">
        <f t="shared" si="189"/>
        <v>0</v>
      </c>
      <c r="AI335" s="83">
        <f t="shared" si="189"/>
        <v>0</v>
      </c>
      <c r="AJ335" s="83">
        <f t="shared" si="189"/>
        <v>0</v>
      </c>
      <c r="AK335" s="58">
        <f t="shared" si="187"/>
        <v>0</v>
      </c>
      <c r="AL335" s="82">
        <f t="shared" si="195"/>
        <v>0</v>
      </c>
      <c r="AM335" s="58">
        <f t="shared" si="196"/>
        <v>0</v>
      </c>
      <c r="AN335" s="74"/>
      <c r="AO335" s="84"/>
      <c r="AP335" s="74"/>
      <c r="AQ335" s="85"/>
      <c r="AR335" s="74"/>
      <c r="AS335" s="74"/>
      <c r="AT335" s="74"/>
      <c r="AU335" s="55" t="str">
        <f t="shared" si="206"/>
        <v/>
      </c>
      <c r="AV335" s="55" t="str">
        <f t="shared" ca="1" si="207"/>
        <v/>
      </c>
      <c r="AW335" s="55" t="str">
        <f t="shared" si="197"/>
        <v/>
      </c>
      <c r="AX335" s="55" t="str">
        <f t="shared" ca="1" si="198"/>
        <v/>
      </c>
      <c r="AY335" s="86"/>
      <c r="AZ335" s="86"/>
      <c r="BA335" s="55" t="str">
        <f t="shared" si="208"/>
        <v/>
      </c>
      <c r="BB335" s="86"/>
      <c r="BC335" s="86"/>
      <c r="BD335" s="55" t="str">
        <f t="shared" si="209"/>
        <v/>
      </c>
      <c r="BE335" s="74"/>
      <c r="BS335" s="118"/>
      <c r="BT335" s="118"/>
      <c r="BU335" s="118"/>
      <c r="BV335" s="118"/>
      <c r="BW335" s="118"/>
      <c r="BX335" s="118"/>
      <c r="BZ335" s="118"/>
      <c r="CB335" s="118"/>
      <c r="CC335" s="118"/>
      <c r="CD335" s="118"/>
    </row>
    <row r="336" spans="1:82" ht="17.399999999999999" customHeight="1">
      <c r="A336" s="72">
        <f t="shared" si="174"/>
        <v>47.4</v>
      </c>
      <c r="B336" s="111">
        <f t="shared" si="191"/>
        <v>326</v>
      </c>
      <c r="C336" s="60"/>
      <c r="D336" s="74"/>
      <c r="E336" s="75"/>
      <c r="F336" s="74"/>
      <c r="G336" s="54">
        <f t="shared" si="199"/>
        <v>0</v>
      </c>
      <c r="H336" s="55">
        <f t="shared" si="199"/>
        <v>0</v>
      </c>
      <c r="I336" s="76">
        <f t="shared" si="200"/>
        <v>0</v>
      </c>
      <c r="J336" s="58">
        <f t="shared" si="201"/>
        <v>0</v>
      </c>
      <c r="K336" s="58">
        <f t="shared" si="202"/>
        <v>0</v>
      </c>
      <c r="L336" s="58">
        <f t="shared" si="203"/>
        <v>0</v>
      </c>
      <c r="M336" s="58" t="str">
        <f t="shared" ca="1" si="204"/>
        <v/>
      </c>
      <c r="N336" s="58" t="str">
        <f t="shared" ca="1" si="204"/>
        <v/>
      </c>
      <c r="O336" s="58">
        <f t="shared" si="205"/>
        <v>5.0000000000000001E-4</v>
      </c>
      <c r="P336" s="77"/>
      <c r="Q336" s="60"/>
      <c r="R336" s="77"/>
      <c r="S336" s="78">
        <f t="shared" si="192"/>
        <v>0</v>
      </c>
      <c r="T336" s="55">
        <f t="shared" si="192"/>
        <v>0</v>
      </c>
      <c r="U336" s="79">
        <f t="shared" si="175"/>
        <v>0</v>
      </c>
      <c r="V336" s="63">
        <f t="shared" si="176"/>
        <v>0</v>
      </c>
      <c r="W336" s="64">
        <f t="shared" si="210"/>
        <v>141</v>
      </c>
      <c r="X336" s="80">
        <f t="shared" si="190"/>
        <v>165</v>
      </c>
      <c r="Y336" s="75"/>
      <c r="Z336" s="60"/>
      <c r="AA336" s="75"/>
      <c r="AB336" s="75"/>
      <c r="AC336" s="75"/>
      <c r="AD336" s="75"/>
      <c r="AE336" s="81">
        <f t="shared" si="193"/>
        <v>0</v>
      </c>
      <c r="AF336" s="55">
        <f t="shared" si="194"/>
        <v>0</v>
      </c>
      <c r="AG336" s="76">
        <f t="shared" si="188"/>
        <v>0</v>
      </c>
      <c r="AH336" s="82">
        <f t="shared" si="189"/>
        <v>0</v>
      </c>
      <c r="AI336" s="83">
        <f t="shared" si="189"/>
        <v>0</v>
      </c>
      <c r="AJ336" s="83">
        <f t="shared" si="189"/>
        <v>0</v>
      </c>
      <c r="AK336" s="58">
        <f t="shared" si="187"/>
        <v>0</v>
      </c>
      <c r="AL336" s="82">
        <f t="shared" si="195"/>
        <v>0</v>
      </c>
      <c r="AM336" s="58">
        <f t="shared" si="196"/>
        <v>0</v>
      </c>
      <c r="AN336" s="74"/>
      <c r="AO336" s="84"/>
      <c r="AP336" s="74"/>
      <c r="AQ336" s="85"/>
      <c r="AR336" s="74"/>
      <c r="AS336" s="74"/>
      <c r="AT336" s="74"/>
      <c r="AU336" s="55" t="str">
        <f t="shared" si="206"/>
        <v/>
      </c>
      <c r="AV336" s="55" t="str">
        <f t="shared" ca="1" si="207"/>
        <v/>
      </c>
      <c r="AW336" s="55" t="str">
        <f t="shared" si="197"/>
        <v/>
      </c>
      <c r="AX336" s="55" t="str">
        <f t="shared" ca="1" si="198"/>
        <v/>
      </c>
      <c r="AY336" s="86"/>
      <c r="AZ336" s="86"/>
      <c r="BA336" s="55" t="str">
        <f t="shared" si="208"/>
        <v/>
      </c>
      <c r="BB336" s="86"/>
      <c r="BC336" s="86"/>
      <c r="BD336" s="55" t="str">
        <f t="shared" si="209"/>
        <v/>
      </c>
      <c r="BE336" s="74"/>
      <c r="BS336" s="118"/>
      <c r="BT336" s="118"/>
      <c r="BU336" s="118"/>
      <c r="BV336" s="118"/>
      <c r="BW336" s="118"/>
      <c r="BX336" s="118"/>
      <c r="BZ336" s="118"/>
      <c r="CB336" s="118"/>
      <c r="CC336" s="118"/>
      <c r="CD336" s="118"/>
    </row>
    <row r="337" spans="1:82" ht="17.399999999999999" customHeight="1">
      <c r="A337" s="87">
        <f t="shared" si="174"/>
        <v>47.5</v>
      </c>
      <c r="B337" s="111">
        <f t="shared" si="191"/>
        <v>327</v>
      </c>
      <c r="C337" s="60"/>
      <c r="D337" s="74"/>
      <c r="E337" s="75"/>
      <c r="F337" s="74"/>
      <c r="G337" s="54">
        <f t="shared" si="199"/>
        <v>0</v>
      </c>
      <c r="H337" s="55">
        <f t="shared" si="199"/>
        <v>0</v>
      </c>
      <c r="I337" s="76">
        <f t="shared" si="200"/>
        <v>0</v>
      </c>
      <c r="J337" s="58">
        <f t="shared" si="201"/>
        <v>0</v>
      </c>
      <c r="K337" s="58">
        <f t="shared" si="202"/>
        <v>0</v>
      </c>
      <c r="L337" s="58">
        <f t="shared" si="203"/>
        <v>0</v>
      </c>
      <c r="M337" s="58" t="str">
        <f t="shared" ca="1" si="204"/>
        <v/>
      </c>
      <c r="N337" s="58" t="str">
        <f t="shared" ca="1" si="204"/>
        <v/>
      </c>
      <c r="O337" s="58">
        <f t="shared" si="205"/>
        <v>5.0000000000000001E-4</v>
      </c>
      <c r="P337" s="77"/>
      <c r="Q337" s="60"/>
      <c r="R337" s="77"/>
      <c r="S337" s="78">
        <f t="shared" si="192"/>
        <v>0</v>
      </c>
      <c r="T337" s="55">
        <f t="shared" si="192"/>
        <v>0</v>
      </c>
      <c r="U337" s="79">
        <f t="shared" si="175"/>
        <v>0</v>
      </c>
      <c r="V337" s="63">
        <f t="shared" si="176"/>
        <v>0</v>
      </c>
      <c r="W337" s="64">
        <f t="shared" si="210"/>
        <v>141</v>
      </c>
      <c r="X337" s="80">
        <f t="shared" si="190"/>
        <v>165</v>
      </c>
      <c r="Y337" s="75"/>
      <c r="Z337" s="60"/>
      <c r="AA337" s="75"/>
      <c r="AB337" s="75"/>
      <c r="AC337" s="75"/>
      <c r="AD337" s="75"/>
      <c r="AE337" s="81">
        <f t="shared" si="193"/>
        <v>0</v>
      </c>
      <c r="AF337" s="55">
        <f t="shared" si="194"/>
        <v>0</v>
      </c>
      <c r="AG337" s="76">
        <f t="shared" si="188"/>
        <v>0</v>
      </c>
      <c r="AH337" s="82">
        <f t="shared" si="189"/>
        <v>0</v>
      </c>
      <c r="AI337" s="83">
        <f t="shared" si="189"/>
        <v>0</v>
      </c>
      <c r="AJ337" s="83">
        <f t="shared" si="189"/>
        <v>0</v>
      </c>
      <c r="AK337" s="58">
        <f t="shared" si="187"/>
        <v>0</v>
      </c>
      <c r="AL337" s="82">
        <f t="shared" si="195"/>
        <v>0</v>
      </c>
      <c r="AM337" s="58">
        <f t="shared" si="196"/>
        <v>0</v>
      </c>
      <c r="AN337" s="74"/>
      <c r="AO337" s="84"/>
      <c r="AP337" s="74"/>
      <c r="AQ337" s="85"/>
      <c r="AR337" s="74"/>
      <c r="AS337" s="74"/>
      <c r="AT337" s="74"/>
      <c r="AU337" s="55" t="str">
        <f t="shared" si="206"/>
        <v/>
      </c>
      <c r="AV337" s="55" t="str">
        <f t="shared" ca="1" si="207"/>
        <v/>
      </c>
      <c r="AW337" s="55" t="str">
        <f t="shared" si="197"/>
        <v/>
      </c>
      <c r="AX337" s="55" t="str">
        <f t="shared" ca="1" si="198"/>
        <v/>
      </c>
      <c r="AY337" s="86"/>
      <c r="AZ337" s="86"/>
      <c r="BA337" s="55" t="str">
        <f t="shared" si="208"/>
        <v/>
      </c>
      <c r="BB337" s="86"/>
      <c r="BC337" s="86"/>
      <c r="BD337" s="55" t="str">
        <f t="shared" si="209"/>
        <v/>
      </c>
      <c r="BE337" s="74"/>
      <c r="BS337" s="118"/>
      <c r="BT337" s="118"/>
      <c r="BU337" s="118"/>
      <c r="BV337" s="118"/>
      <c r="BW337" s="118"/>
      <c r="BX337" s="118"/>
      <c r="BZ337" s="118"/>
      <c r="CB337" s="118"/>
      <c r="CC337" s="118"/>
      <c r="CD337" s="118"/>
    </row>
    <row r="338" spans="1:82" ht="17.399999999999999" customHeight="1">
      <c r="A338" s="72">
        <f t="shared" ref="A338:A401" si="211">A331+1</f>
        <v>47.6</v>
      </c>
      <c r="B338" s="111">
        <f t="shared" si="191"/>
        <v>328</v>
      </c>
      <c r="C338" s="60"/>
      <c r="D338" s="74"/>
      <c r="E338" s="75"/>
      <c r="F338" s="74"/>
      <c r="G338" s="54">
        <f t="shared" si="199"/>
        <v>0</v>
      </c>
      <c r="H338" s="55">
        <f t="shared" si="199"/>
        <v>0</v>
      </c>
      <c r="I338" s="76">
        <f t="shared" si="200"/>
        <v>0</v>
      </c>
      <c r="J338" s="58">
        <f t="shared" si="201"/>
        <v>0</v>
      </c>
      <c r="K338" s="58">
        <f t="shared" si="202"/>
        <v>0</v>
      </c>
      <c r="L338" s="58">
        <f t="shared" si="203"/>
        <v>0</v>
      </c>
      <c r="M338" s="58" t="str">
        <f t="shared" ca="1" si="204"/>
        <v/>
      </c>
      <c r="N338" s="58" t="str">
        <f t="shared" ca="1" si="204"/>
        <v/>
      </c>
      <c r="O338" s="58">
        <f t="shared" si="205"/>
        <v>5.0000000000000001E-4</v>
      </c>
      <c r="P338" s="77"/>
      <c r="Q338" s="60"/>
      <c r="R338" s="77"/>
      <c r="S338" s="78">
        <f t="shared" si="192"/>
        <v>0</v>
      </c>
      <c r="T338" s="55">
        <f t="shared" si="192"/>
        <v>0</v>
      </c>
      <c r="U338" s="79">
        <f t="shared" ref="U338:U401" si="212">IF(P338="FULL FEED",(Q338*G338/1000),(Q338*2*G338/1000))</f>
        <v>0</v>
      </c>
      <c r="V338" s="63">
        <f t="shared" ref="V338:V401" si="213">IF(P338="FULL FEED",(R338*H338/1000),(R338*2*H338/1000))</f>
        <v>0</v>
      </c>
      <c r="W338" s="64">
        <f t="shared" si="210"/>
        <v>141</v>
      </c>
      <c r="X338" s="80">
        <f t="shared" si="190"/>
        <v>165</v>
      </c>
      <c r="Y338" s="75"/>
      <c r="Z338" s="60"/>
      <c r="AA338" s="75"/>
      <c r="AB338" s="75"/>
      <c r="AC338" s="75"/>
      <c r="AD338" s="75"/>
      <c r="AE338" s="81">
        <f t="shared" si="193"/>
        <v>0</v>
      </c>
      <c r="AF338" s="55">
        <f t="shared" si="194"/>
        <v>0</v>
      </c>
      <c r="AG338" s="76">
        <f t="shared" si="188"/>
        <v>0</v>
      </c>
      <c r="AH338" s="82">
        <f t="shared" si="189"/>
        <v>0</v>
      </c>
      <c r="AI338" s="83">
        <f t="shared" si="189"/>
        <v>0</v>
      </c>
      <c r="AJ338" s="83">
        <f t="shared" si="189"/>
        <v>0</v>
      </c>
      <c r="AK338" s="58">
        <f t="shared" si="187"/>
        <v>0</v>
      </c>
      <c r="AL338" s="82">
        <f t="shared" si="195"/>
        <v>0</v>
      </c>
      <c r="AM338" s="58">
        <f t="shared" si="196"/>
        <v>0</v>
      </c>
      <c r="AN338" s="74"/>
      <c r="AO338" s="84"/>
      <c r="AP338" s="74"/>
      <c r="AQ338" s="85"/>
      <c r="AR338" s="74"/>
      <c r="AS338" s="74"/>
      <c r="AT338" s="74"/>
      <c r="AU338" s="55" t="str">
        <f t="shared" si="206"/>
        <v/>
      </c>
      <c r="AV338" s="55" t="str">
        <f t="shared" ca="1" si="207"/>
        <v/>
      </c>
      <c r="AW338" s="55" t="str">
        <f t="shared" si="197"/>
        <v/>
      </c>
      <c r="AX338" s="55" t="str">
        <f t="shared" ca="1" si="198"/>
        <v/>
      </c>
      <c r="AY338" s="86"/>
      <c r="AZ338" s="86"/>
      <c r="BA338" s="55" t="str">
        <f t="shared" si="208"/>
        <v/>
      </c>
      <c r="BB338" s="86"/>
      <c r="BC338" s="86"/>
      <c r="BD338" s="55" t="str">
        <f t="shared" si="209"/>
        <v/>
      </c>
      <c r="BE338" s="74"/>
      <c r="BS338" s="118"/>
      <c r="BT338" s="118"/>
      <c r="BU338" s="118"/>
      <c r="BV338" s="118"/>
      <c r="BW338" s="118"/>
      <c r="BX338" s="118"/>
      <c r="BZ338" s="118"/>
      <c r="CB338" s="118"/>
      <c r="CC338" s="118"/>
      <c r="CD338" s="118"/>
    </row>
    <row r="339" spans="1:82" ht="17.399999999999999" customHeight="1" thickBot="1">
      <c r="A339" s="87">
        <f t="shared" si="211"/>
        <v>47.7</v>
      </c>
      <c r="B339" s="113">
        <f t="shared" si="191"/>
        <v>329</v>
      </c>
      <c r="C339" s="89"/>
      <c r="D339" s="90"/>
      <c r="E339" s="91"/>
      <c r="F339" s="90"/>
      <c r="G339" s="92">
        <f t="shared" si="199"/>
        <v>0</v>
      </c>
      <c r="H339" s="93">
        <f t="shared" si="199"/>
        <v>0</v>
      </c>
      <c r="I339" s="94">
        <f t="shared" si="200"/>
        <v>0</v>
      </c>
      <c r="J339" s="95">
        <f t="shared" si="201"/>
        <v>0</v>
      </c>
      <c r="K339" s="95">
        <f t="shared" si="202"/>
        <v>0</v>
      </c>
      <c r="L339" s="95">
        <f t="shared" si="203"/>
        <v>0</v>
      </c>
      <c r="M339" s="95" t="str">
        <f t="shared" ca="1" si="204"/>
        <v/>
      </c>
      <c r="N339" s="95" t="str">
        <f t="shared" ca="1" si="204"/>
        <v/>
      </c>
      <c r="O339" s="95">
        <f t="shared" si="205"/>
        <v>5.0000000000000001E-4</v>
      </c>
      <c r="P339" s="96"/>
      <c r="Q339" s="89"/>
      <c r="R339" s="96"/>
      <c r="S339" s="78">
        <f t="shared" si="192"/>
        <v>0</v>
      </c>
      <c r="T339" s="55">
        <f t="shared" si="192"/>
        <v>0</v>
      </c>
      <c r="U339" s="97">
        <f t="shared" si="212"/>
        <v>0</v>
      </c>
      <c r="V339" s="98">
        <f t="shared" si="213"/>
        <v>0</v>
      </c>
      <c r="W339" s="99">
        <f t="shared" si="210"/>
        <v>141</v>
      </c>
      <c r="X339" s="100">
        <f t="shared" si="190"/>
        <v>165</v>
      </c>
      <c r="Y339" s="91"/>
      <c r="Z339" s="60"/>
      <c r="AA339" s="75"/>
      <c r="AB339" s="75"/>
      <c r="AC339" s="75"/>
      <c r="AD339" s="75"/>
      <c r="AE339" s="101">
        <f t="shared" si="193"/>
        <v>0</v>
      </c>
      <c r="AF339" s="93">
        <f t="shared" si="194"/>
        <v>0</v>
      </c>
      <c r="AG339" s="94">
        <f t="shared" si="188"/>
        <v>0</v>
      </c>
      <c r="AH339" s="102">
        <f t="shared" si="189"/>
        <v>0</v>
      </c>
      <c r="AI339" s="103">
        <f t="shared" si="189"/>
        <v>0</v>
      </c>
      <c r="AJ339" s="103">
        <f t="shared" si="189"/>
        <v>0</v>
      </c>
      <c r="AK339" s="95">
        <f t="shared" si="187"/>
        <v>0</v>
      </c>
      <c r="AL339" s="102">
        <f t="shared" si="195"/>
        <v>0</v>
      </c>
      <c r="AM339" s="95">
        <f t="shared" si="196"/>
        <v>0</v>
      </c>
      <c r="AN339" s="90"/>
      <c r="AO339" s="104"/>
      <c r="AP339" s="90"/>
      <c r="AQ339" s="105"/>
      <c r="AR339" s="90"/>
      <c r="AS339" s="90"/>
      <c r="AT339" s="90"/>
      <c r="AU339" s="93" t="str">
        <f t="shared" si="206"/>
        <v/>
      </c>
      <c r="AV339" s="93" t="str">
        <f t="shared" ca="1" si="207"/>
        <v/>
      </c>
      <c r="AW339" s="93" t="str">
        <f t="shared" si="197"/>
        <v/>
      </c>
      <c r="AX339" s="93" t="str">
        <f t="shared" ca="1" si="198"/>
        <v/>
      </c>
      <c r="AY339" s="106"/>
      <c r="AZ339" s="106"/>
      <c r="BA339" s="93" t="str">
        <f t="shared" si="208"/>
        <v/>
      </c>
      <c r="BB339" s="106"/>
      <c r="BC339" s="106"/>
      <c r="BD339" s="93" t="str">
        <f t="shared" si="209"/>
        <v/>
      </c>
      <c r="BE339" s="90"/>
      <c r="BS339" s="118"/>
      <c r="BT339" s="118"/>
      <c r="BU339" s="118"/>
      <c r="BV339" s="118"/>
      <c r="BW339" s="118"/>
      <c r="BX339" s="118"/>
      <c r="BZ339" s="118"/>
      <c r="CB339" s="118"/>
      <c r="CC339" s="118"/>
      <c r="CD339" s="118"/>
    </row>
    <row r="340" spans="1:82" ht="17.399999999999999" customHeight="1" thickTop="1">
      <c r="A340" s="107">
        <f>A333+1</f>
        <v>48.1</v>
      </c>
      <c r="B340" s="108">
        <f>B339+1</f>
        <v>330</v>
      </c>
      <c r="C340" s="51"/>
      <c r="D340" s="52"/>
      <c r="E340" s="53"/>
      <c r="F340" s="52"/>
      <c r="G340" s="54">
        <f t="shared" si="199"/>
        <v>0</v>
      </c>
      <c r="H340" s="55">
        <f t="shared" si="199"/>
        <v>0</v>
      </c>
      <c r="I340" s="56">
        <f t="shared" si="200"/>
        <v>0</v>
      </c>
      <c r="J340" s="57">
        <f t="shared" si="201"/>
        <v>0</v>
      </c>
      <c r="K340" s="57">
        <f t="shared" si="202"/>
        <v>0</v>
      </c>
      <c r="L340" s="57">
        <f t="shared" si="203"/>
        <v>0</v>
      </c>
      <c r="M340" s="58" t="str">
        <f t="shared" ca="1" si="204"/>
        <v/>
      </c>
      <c r="N340" s="58" t="str">
        <f t="shared" ca="1" si="204"/>
        <v/>
      </c>
      <c r="O340" s="58">
        <f t="shared" si="205"/>
        <v>5.0000000000000001E-4</v>
      </c>
      <c r="P340" s="77"/>
      <c r="Q340" s="60"/>
      <c r="R340" s="77"/>
      <c r="S340" s="109">
        <f t="shared" si="192"/>
        <v>0</v>
      </c>
      <c r="T340" s="61">
        <f t="shared" si="192"/>
        <v>0</v>
      </c>
      <c r="U340" s="62">
        <f t="shared" si="212"/>
        <v>0</v>
      </c>
      <c r="V340" s="63">
        <f t="shared" si="213"/>
        <v>0</v>
      </c>
      <c r="W340" s="64">
        <v>142</v>
      </c>
      <c r="X340" s="80">
        <v>164</v>
      </c>
      <c r="Y340" s="53"/>
      <c r="Z340" s="51"/>
      <c r="AA340" s="53"/>
      <c r="AB340" s="53"/>
      <c r="AC340" s="53"/>
      <c r="AD340" s="53"/>
      <c r="AE340" s="66">
        <f t="shared" si="193"/>
        <v>0</v>
      </c>
      <c r="AF340" s="61">
        <f t="shared" si="194"/>
        <v>0</v>
      </c>
      <c r="AG340" s="56">
        <f t="shared" si="188"/>
        <v>0</v>
      </c>
      <c r="AH340" s="67">
        <f t="shared" si="189"/>
        <v>0</v>
      </c>
      <c r="AI340" s="68">
        <f t="shared" si="189"/>
        <v>0</v>
      </c>
      <c r="AJ340" s="68">
        <f t="shared" si="189"/>
        <v>0</v>
      </c>
      <c r="AK340" s="57">
        <f t="shared" si="187"/>
        <v>0</v>
      </c>
      <c r="AL340" s="67">
        <f t="shared" si="195"/>
        <v>0</v>
      </c>
      <c r="AM340" s="57">
        <f t="shared" si="196"/>
        <v>0</v>
      </c>
      <c r="AN340" s="52"/>
      <c r="AO340" s="69"/>
      <c r="AP340" s="52"/>
      <c r="AQ340" s="70"/>
      <c r="AR340" s="52"/>
      <c r="AS340" s="52"/>
      <c r="AT340" s="52"/>
      <c r="AU340" s="61" t="str">
        <f t="shared" si="206"/>
        <v/>
      </c>
      <c r="AV340" s="61" t="str">
        <f t="shared" ca="1" si="207"/>
        <v/>
      </c>
      <c r="AW340" s="61" t="str">
        <f t="shared" si="197"/>
        <v/>
      </c>
      <c r="AX340" s="61" t="str">
        <f t="shared" ca="1" si="198"/>
        <v/>
      </c>
      <c r="AY340" s="71"/>
      <c r="AZ340" s="71"/>
      <c r="BA340" s="61" t="str">
        <f t="shared" si="208"/>
        <v/>
      </c>
      <c r="BB340" s="71"/>
      <c r="BC340" s="71"/>
      <c r="BD340" s="61" t="str">
        <f t="shared" si="209"/>
        <v/>
      </c>
      <c r="BE340" s="52"/>
      <c r="BS340" s="118"/>
      <c r="BT340" s="118"/>
      <c r="BU340" s="118"/>
      <c r="BV340" s="118"/>
      <c r="BW340" s="118"/>
      <c r="BX340" s="118"/>
      <c r="BZ340" s="118"/>
      <c r="CB340" s="118"/>
      <c r="CC340" s="118"/>
      <c r="CD340" s="118"/>
    </row>
    <row r="341" spans="1:82" ht="17.399999999999999" customHeight="1">
      <c r="A341" s="87">
        <f t="shared" si="211"/>
        <v>48.2</v>
      </c>
      <c r="B341" s="111">
        <f t="shared" si="191"/>
        <v>331</v>
      </c>
      <c r="C341" s="60"/>
      <c r="D341" s="74"/>
      <c r="E341" s="75"/>
      <c r="F341" s="74"/>
      <c r="G341" s="54">
        <f t="shared" si="199"/>
        <v>0</v>
      </c>
      <c r="H341" s="55">
        <f t="shared" si="199"/>
        <v>0</v>
      </c>
      <c r="I341" s="76">
        <f t="shared" si="200"/>
        <v>0</v>
      </c>
      <c r="J341" s="58">
        <f t="shared" si="201"/>
        <v>0</v>
      </c>
      <c r="K341" s="58">
        <f t="shared" si="202"/>
        <v>0</v>
      </c>
      <c r="L341" s="58">
        <f t="shared" si="203"/>
        <v>0</v>
      </c>
      <c r="M341" s="58" t="str">
        <f t="shared" ca="1" si="204"/>
        <v/>
      </c>
      <c r="N341" s="58" t="str">
        <f t="shared" ca="1" si="204"/>
        <v/>
      </c>
      <c r="O341" s="58">
        <f t="shared" si="205"/>
        <v>5.0000000000000001E-4</v>
      </c>
      <c r="P341" s="77"/>
      <c r="Q341" s="60"/>
      <c r="R341" s="77"/>
      <c r="S341" s="78">
        <f t="shared" si="192"/>
        <v>0</v>
      </c>
      <c r="T341" s="55">
        <f t="shared" si="192"/>
        <v>0</v>
      </c>
      <c r="U341" s="79">
        <f t="shared" si="212"/>
        <v>0</v>
      </c>
      <c r="V341" s="63">
        <f t="shared" si="213"/>
        <v>0</v>
      </c>
      <c r="W341" s="64">
        <f t="shared" ref="W341:X353" si="214">W340</f>
        <v>142</v>
      </c>
      <c r="X341" s="80">
        <f t="shared" si="214"/>
        <v>164</v>
      </c>
      <c r="Y341" s="75"/>
      <c r="Z341" s="60"/>
      <c r="AA341" s="75"/>
      <c r="AB341" s="75"/>
      <c r="AC341" s="75"/>
      <c r="AD341" s="75"/>
      <c r="AE341" s="81">
        <f t="shared" si="193"/>
        <v>0</v>
      </c>
      <c r="AF341" s="55">
        <f t="shared" si="194"/>
        <v>0</v>
      </c>
      <c r="AG341" s="76">
        <f t="shared" si="188"/>
        <v>0</v>
      </c>
      <c r="AH341" s="82">
        <f t="shared" si="189"/>
        <v>0</v>
      </c>
      <c r="AI341" s="83">
        <f t="shared" si="189"/>
        <v>0</v>
      </c>
      <c r="AJ341" s="83">
        <f t="shared" si="189"/>
        <v>0</v>
      </c>
      <c r="AK341" s="58">
        <f t="shared" si="187"/>
        <v>0</v>
      </c>
      <c r="AL341" s="82">
        <f t="shared" si="195"/>
        <v>0</v>
      </c>
      <c r="AM341" s="58">
        <f t="shared" si="196"/>
        <v>0</v>
      </c>
      <c r="AN341" s="74"/>
      <c r="AO341" s="84"/>
      <c r="AP341" s="74"/>
      <c r="AQ341" s="85"/>
      <c r="AR341" s="74"/>
      <c r="AS341" s="74"/>
      <c r="AT341" s="74"/>
      <c r="AU341" s="55" t="str">
        <f t="shared" si="206"/>
        <v/>
      </c>
      <c r="AV341" s="55" t="str">
        <f t="shared" ca="1" si="207"/>
        <v/>
      </c>
      <c r="AW341" s="55" t="str">
        <f t="shared" si="197"/>
        <v/>
      </c>
      <c r="AX341" s="55" t="str">
        <f t="shared" ca="1" si="198"/>
        <v/>
      </c>
      <c r="AY341" s="86"/>
      <c r="AZ341" s="86"/>
      <c r="BA341" s="55" t="str">
        <f t="shared" si="208"/>
        <v/>
      </c>
      <c r="BB341" s="86"/>
      <c r="BC341" s="86"/>
      <c r="BD341" s="55" t="str">
        <f t="shared" si="209"/>
        <v/>
      </c>
      <c r="BE341" s="74"/>
      <c r="BS341" s="118"/>
      <c r="BT341" s="118"/>
      <c r="BU341" s="118"/>
      <c r="BV341" s="118"/>
      <c r="BW341" s="118"/>
      <c r="BX341" s="118"/>
      <c r="BZ341" s="118"/>
      <c r="CB341" s="118"/>
      <c r="CC341" s="118"/>
      <c r="CD341" s="118"/>
    </row>
    <row r="342" spans="1:82" ht="17.399999999999999" customHeight="1">
      <c r="A342" s="72">
        <f t="shared" si="211"/>
        <v>48.3</v>
      </c>
      <c r="B342" s="111">
        <f t="shared" si="191"/>
        <v>332</v>
      </c>
      <c r="C342" s="60"/>
      <c r="D342" s="74"/>
      <c r="E342" s="75"/>
      <c r="F342" s="74"/>
      <c r="G342" s="54">
        <f t="shared" si="199"/>
        <v>0</v>
      </c>
      <c r="H342" s="55">
        <f t="shared" si="199"/>
        <v>0</v>
      </c>
      <c r="I342" s="76">
        <f t="shared" si="200"/>
        <v>0</v>
      </c>
      <c r="J342" s="58">
        <f t="shared" si="201"/>
        <v>0</v>
      </c>
      <c r="K342" s="58">
        <f t="shared" si="202"/>
        <v>0</v>
      </c>
      <c r="L342" s="58">
        <f t="shared" si="203"/>
        <v>0</v>
      </c>
      <c r="M342" s="58" t="str">
        <f t="shared" ca="1" si="204"/>
        <v/>
      </c>
      <c r="N342" s="58" t="str">
        <f t="shared" ca="1" si="204"/>
        <v/>
      </c>
      <c r="O342" s="58">
        <f t="shared" si="205"/>
        <v>5.0000000000000001E-4</v>
      </c>
      <c r="P342" s="77"/>
      <c r="Q342" s="60"/>
      <c r="R342" s="77"/>
      <c r="S342" s="78">
        <f t="shared" si="192"/>
        <v>0</v>
      </c>
      <c r="T342" s="55">
        <f t="shared" si="192"/>
        <v>0</v>
      </c>
      <c r="U342" s="79">
        <f t="shared" si="212"/>
        <v>0</v>
      </c>
      <c r="V342" s="63">
        <f t="shared" si="213"/>
        <v>0</v>
      </c>
      <c r="W342" s="64">
        <f t="shared" si="214"/>
        <v>142</v>
      </c>
      <c r="X342" s="80">
        <f t="shared" si="214"/>
        <v>164</v>
      </c>
      <c r="Y342" s="75"/>
      <c r="Z342" s="60"/>
      <c r="AA342" s="75"/>
      <c r="AB342" s="75"/>
      <c r="AC342" s="75"/>
      <c r="AD342" s="75"/>
      <c r="AE342" s="81">
        <f t="shared" si="193"/>
        <v>0</v>
      </c>
      <c r="AF342" s="55">
        <f t="shared" si="194"/>
        <v>0</v>
      </c>
      <c r="AG342" s="76">
        <f t="shared" si="188"/>
        <v>0</v>
      </c>
      <c r="AH342" s="82">
        <f t="shared" si="189"/>
        <v>0</v>
      </c>
      <c r="AI342" s="83">
        <f t="shared" si="189"/>
        <v>0</v>
      </c>
      <c r="AJ342" s="83">
        <f t="shared" si="189"/>
        <v>0</v>
      </c>
      <c r="AK342" s="58">
        <f t="shared" si="187"/>
        <v>0</v>
      </c>
      <c r="AL342" s="82">
        <f t="shared" si="195"/>
        <v>0</v>
      </c>
      <c r="AM342" s="58">
        <f t="shared" si="196"/>
        <v>0</v>
      </c>
      <c r="AN342" s="74"/>
      <c r="AO342" s="84"/>
      <c r="AP342" s="74"/>
      <c r="AQ342" s="85"/>
      <c r="AR342" s="74"/>
      <c r="AS342" s="74"/>
      <c r="AT342" s="74"/>
      <c r="AU342" s="55" t="str">
        <f t="shared" si="206"/>
        <v/>
      </c>
      <c r="AV342" s="55" t="str">
        <f t="shared" ca="1" si="207"/>
        <v/>
      </c>
      <c r="AW342" s="55" t="str">
        <f t="shared" si="197"/>
        <v/>
      </c>
      <c r="AX342" s="55" t="str">
        <f t="shared" ca="1" si="198"/>
        <v/>
      </c>
      <c r="AY342" s="86"/>
      <c r="AZ342" s="86"/>
      <c r="BA342" s="55" t="str">
        <f t="shared" si="208"/>
        <v/>
      </c>
      <c r="BB342" s="86"/>
      <c r="BC342" s="86"/>
      <c r="BD342" s="55" t="str">
        <f t="shared" si="209"/>
        <v/>
      </c>
      <c r="BE342" s="74"/>
      <c r="BS342" s="118"/>
      <c r="BT342" s="118"/>
      <c r="BU342" s="118"/>
      <c r="BV342" s="118"/>
      <c r="BW342" s="118"/>
      <c r="BX342" s="118"/>
      <c r="BZ342" s="118"/>
      <c r="CB342" s="118"/>
      <c r="CC342" s="118"/>
      <c r="CD342" s="118"/>
    </row>
    <row r="343" spans="1:82" ht="17.399999999999999" customHeight="1">
      <c r="A343" s="87">
        <f t="shared" si="211"/>
        <v>48.4</v>
      </c>
      <c r="B343" s="111">
        <f t="shared" si="191"/>
        <v>333</v>
      </c>
      <c r="C343" s="60"/>
      <c r="D343" s="74"/>
      <c r="E343" s="75"/>
      <c r="F343" s="74"/>
      <c r="G343" s="54">
        <f t="shared" si="199"/>
        <v>0</v>
      </c>
      <c r="H343" s="55">
        <f t="shared" si="199"/>
        <v>0</v>
      </c>
      <c r="I343" s="76">
        <f t="shared" si="200"/>
        <v>0</v>
      </c>
      <c r="J343" s="58">
        <f t="shared" si="201"/>
        <v>0</v>
      </c>
      <c r="K343" s="58">
        <f t="shared" si="202"/>
        <v>0</v>
      </c>
      <c r="L343" s="58">
        <f t="shared" si="203"/>
        <v>0</v>
      </c>
      <c r="M343" s="58" t="str">
        <f t="shared" ca="1" si="204"/>
        <v/>
      </c>
      <c r="N343" s="58" t="str">
        <f t="shared" ca="1" si="204"/>
        <v/>
      </c>
      <c r="O343" s="58">
        <f t="shared" si="205"/>
        <v>5.0000000000000001E-4</v>
      </c>
      <c r="P343" s="77"/>
      <c r="Q343" s="60"/>
      <c r="R343" s="77"/>
      <c r="S343" s="78">
        <f t="shared" si="192"/>
        <v>0</v>
      </c>
      <c r="T343" s="55">
        <f t="shared" si="192"/>
        <v>0</v>
      </c>
      <c r="U343" s="79">
        <f t="shared" si="212"/>
        <v>0</v>
      </c>
      <c r="V343" s="63">
        <f t="shared" si="213"/>
        <v>0</v>
      </c>
      <c r="W343" s="64">
        <f t="shared" si="214"/>
        <v>142</v>
      </c>
      <c r="X343" s="80">
        <f t="shared" si="214"/>
        <v>164</v>
      </c>
      <c r="Y343" s="75"/>
      <c r="Z343" s="60"/>
      <c r="AA343" s="75"/>
      <c r="AB343" s="75"/>
      <c r="AC343" s="75"/>
      <c r="AD343" s="75"/>
      <c r="AE343" s="81">
        <f t="shared" si="193"/>
        <v>0</v>
      </c>
      <c r="AF343" s="55">
        <f t="shared" si="194"/>
        <v>0</v>
      </c>
      <c r="AG343" s="76">
        <f t="shared" si="188"/>
        <v>0</v>
      </c>
      <c r="AH343" s="82">
        <f t="shared" si="189"/>
        <v>0</v>
      </c>
      <c r="AI343" s="83">
        <f t="shared" si="189"/>
        <v>0</v>
      </c>
      <c r="AJ343" s="83">
        <f t="shared" si="189"/>
        <v>0</v>
      </c>
      <c r="AK343" s="58">
        <f t="shared" si="187"/>
        <v>0</v>
      </c>
      <c r="AL343" s="82">
        <f t="shared" si="195"/>
        <v>0</v>
      </c>
      <c r="AM343" s="58">
        <f t="shared" si="196"/>
        <v>0</v>
      </c>
      <c r="AN343" s="74"/>
      <c r="AO343" s="84"/>
      <c r="AP343" s="74"/>
      <c r="AQ343" s="85"/>
      <c r="AR343" s="74"/>
      <c r="AS343" s="74"/>
      <c r="AT343" s="74"/>
      <c r="AU343" s="55" t="str">
        <f t="shared" si="206"/>
        <v/>
      </c>
      <c r="AV343" s="55" t="str">
        <f t="shared" ca="1" si="207"/>
        <v/>
      </c>
      <c r="AW343" s="55" t="str">
        <f t="shared" si="197"/>
        <v/>
      </c>
      <c r="AX343" s="55" t="str">
        <f t="shared" ca="1" si="198"/>
        <v/>
      </c>
      <c r="AY343" s="86"/>
      <c r="AZ343" s="86"/>
      <c r="BA343" s="55" t="str">
        <f t="shared" si="208"/>
        <v/>
      </c>
      <c r="BB343" s="86"/>
      <c r="BC343" s="86"/>
      <c r="BD343" s="55" t="str">
        <f t="shared" si="209"/>
        <v/>
      </c>
      <c r="BE343" s="74"/>
      <c r="BS343" s="118"/>
      <c r="BT343" s="118"/>
      <c r="BU343" s="118"/>
      <c r="BV343" s="118"/>
      <c r="BW343" s="118"/>
      <c r="BX343" s="118"/>
      <c r="BZ343" s="118"/>
      <c r="CB343" s="118"/>
      <c r="CC343" s="118"/>
      <c r="CD343" s="118"/>
    </row>
    <row r="344" spans="1:82" ht="17.399999999999999" customHeight="1">
      <c r="A344" s="72">
        <f t="shared" si="211"/>
        <v>48.5</v>
      </c>
      <c r="B344" s="111">
        <f t="shared" si="191"/>
        <v>334</v>
      </c>
      <c r="C344" s="60"/>
      <c r="D344" s="74"/>
      <c r="E344" s="75"/>
      <c r="F344" s="74"/>
      <c r="G344" s="54">
        <f t="shared" si="199"/>
        <v>0</v>
      </c>
      <c r="H344" s="55">
        <f t="shared" si="199"/>
        <v>0</v>
      </c>
      <c r="I344" s="76">
        <f t="shared" si="200"/>
        <v>0</v>
      </c>
      <c r="J344" s="58">
        <f t="shared" si="201"/>
        <v>0</v>
      </c>
      <c r="K344" s="58">
        <f t="shared" si="202"/>
        <v>0</v>
      </c>
      <c r="L344" s="58">
        <f t="shared" si="203"/>
        <v>0</v>
      </c>
      <c r="M344" s="58" t="str">
        <f t="shared" ca="1" si="204"/>
        <v/>
      </c>
      <c r="N344" s="58" t="str">
        <f t="shared" ca="1" si="204"/>
        <v/>
      </c>
      <c r="O344" s="58">
        <f t="shared" si="205"/>
        <v>5.0000000000000001E-4</v>
      </c>
      <c r="P344" s="77"/>
      <c r="Q344" s="60"/>
      <c r="R344" s="77"/>
      <c r="S344" s="78">
        <f t="shared" si="192"/>
        <v>0</v>
      </c>
      <c r="T344" s="55">
        <f t="shared" si="192"/>
        <v>0</v>
      </c>
      <c r="U344" s="79">
        <f t="shared" si="212"/>
        <v>0</v>
      </c>
      <c r="V344" s="63">
        <f t="shared" si="213"/>
        <v>0</v>
      </c>
      <c r="W344" s="64">
        <f t="shared" si="214"/>
        <v>142</v>
      </c>
      <c r="X344" s="80">
        <f t="shared" si="214"/>
        <v>164</v>
      </c>
      <c r="Y344" s="75"/>
      <c r="Z344" s="60"/>
      <c r="AA344" s="75"/>
      <c r="AB344" s="75"/>
      <c r="AC344" s="75"/>
      <c r="AD344" s="75"/>
      <c r="AE344" s="81">
        <f t="shared" si="193"/>
        <v>0</v>
      </c>
      <c r="AF344" s="55">
        <f t="shared" si="194"/>
        <v>0</v>
      </c>
      <c r="AG344" s="76">
        <f t="shared" si="188"/>
        <v>0</v>
      </c>
      <c r="AH344" s="82">
        <f t="shared" si="189"/>
        <v>0</v>
      </c>
      <c r="AI344" s="83">
        <f t="shared" si="189"/>
        <v>0</v>
      </c>
      <c r="AJ344" s="83">
        <f t="shared" si="189"/>
        <v>0</v>
      </c>
      <c r="AK344" s="58">
        <f t="shared" si="187"/>
        <v>0</v>
      </c>
      <c r="AL344" s="82">
        <f t="shared" si="195"/>
        <v>0</v>
      </c>
      <c r="AM344" s="58">
        <f t="shared" si="196"/>
        <v>0</v>
      </c>
      <c r="AN344" s="74"/>
      <c r="AO344" s="84"/>
      <c r="AP344" s="74"/>
      <c r="AQ344" s="85"/>
      <c r="AR344" s="74"/>
      <c r="AS344" s="74"/>
      <c r="AT344" s="74"/>
      <c r="AU344" s="55" t="str">
        <f t="shared" si="206"/>
        <v/>
      </c>
      <c r="AV344" s="55" t="str">
        <f t="shared" ca="1" si="207"/>
        <v/>
      </c>
      <c r="AW344" s="55" t="str">
        <f t="shared" si="197"/>
        <v/>
      </c>
      <c r="AX344" s="55" t="str">
        <f t="shared" ca="1" si="198"/>
        <v/>
      </c>
      <c r="AY344" s="86"/>
      <c r="AZ344" s="86"/>
      <c r="BA344" s="55" t="str">
        <f t="shared" si="208"/>
        <v/>
      </c>
      <c r="BB344" s="86"/>
      <c r="BC344" s="86"/>
      <c r="BD344" s="55" t="str">
        <f t="shared" si="209"/>
        <v/>
      </c>
      <c r="BE344" s="74"/>
      <c r="BS344" s="118"/>
      <c r="BT344" s="118"/>
      <c r="BU344" s="118"/>
      <c r="BV344" s="118"/>
      <c r="BW344" s="118"/>
      <c r="BX344" s="118"/>
      <c r="BZ344" s="118"/>
      <c r="CB344" s="118"/>
      <c r="CC344" s="118"/>
      <c r="CD344" s="118"/>
    </row>
    <row r="345" spans="1:82" ht="17.399999999999999" customHeight="1">
      <c r="A345" s="87">
        <f t="shared" si="211"/>
        <v>48.6</v>
      </c>
      <c r="B345" s="111">
        <f t="shared" si="191"/>
        <v>335</v>
      </c>
      <c r="C345" s="60"/>
      <c r="D345" s="74"/>
      <c r="E345" s="75"/>
      <c r="F345" s="74"/>
      <c r="G345" s="54">
        <f t="shared" si="199"/>
        <v>0</v>
      </c>
      <c r="H345" s="55">
        <f t="shared" si="199"/>
        <v>0</v>
      </c>
      <c r="I345" s="76">
        <f t="shared" si="200"/>
        <v>0</v>
      </c>
      <c r="J345" s="58">
        <f t="shared" si="201"/>
        <v>0</v>
      </c>
      <c r="K345" s="58">
        <f t="shared" si="202"/>
        <v>0</v>
      </c>
      <c r="L345" s="58">
        <f t="shared" si="203"/>
        <v>0</v>
      </c>
      <c r="M345" s="58" t="str">
        <f t="shared" ca="1" si="204"/>
        <v/>
      </c>
      <c r="N345" s="58" t="str">
        <f t="shared" ca="1" si="204"/>
        <v/>
      </c>
      <c r="O345" s="58">
        <f t="shared" si="205"/>
        <v>5.0000000000000001E-4</v>
      </c>
      <c r="P345" s="77"/>
      <c r="Q345" s="60"/>
      <c r="R345" s="77"/>
      <c r="S345" s="78">
        <f t="shared" si="192"/>
        <v>0</v>
      </c>
      <c r="T345" s="55">
        <f t="shared" si="192"/>
        <v>0</v>
      </c>
      <c r="U345" s="79">
        <f t="shared" si="212"/>
        <v>0</v>
      </c>
      <c r="V345" s="63">
        <f t="shared" si="213"/>
        <v>0</v>
      </c>
      <c r="W345" s="64">
        <f t="shared" si="214"/>
        <v>142</v>
      </c>
      <c r="X345" s="80">
        <f t="shared" si="214"/>
        <v>164</v>
      </c>
      <c r="Y345" s="75"/>
      <c r="Z345" s="60"/>
      <c r="AA345" s="75"/>
      <c r="AB345" s="75"/>
      <c r="AC345" s="75"/>
      <c r="AD345" s="75"/>
      <c r="AE345" s="81">
        <f t="shared" si="193"/>
        <v>0</v>
      </c>
      <c r="AF345" s="55">
        <f t="shared" si="194"/>
        <v>0</v>
      </c>
      <c r="AG345" s="76">
        <f t="shared" si="188"/>
        <v>0</v>
      </c>
      <c r="AH345" s="82">
        <f t="shared" si="189"/>
        <v>0</v>
      </c>
      <c r="AI345" s="83">
        <f t="shared" si="189"/>
        <v>0</v>
      </c>
      <c r="AJ345" s="83">
        <f t="shared" si="189"/>
        <v>0</v>
      </c>
      <c r="AK345" s="58">
        <f t="shared" si="187"/>
        <v>0</v>
      </c>
      <c r="AL345" s="82">
        <f t="shared" si="195"/>
        <v>0</v>
      </c>
      <c r="AM345" s="58">
        <f t="shared" si="196"/>
        <v>0</v>
      </c>
      <c r="AN345" s="74"/>
      <c r="AO345" s="84"/>
      <c r="AP345" s="74"/>
      <c r="AQ345" s="85"/>
      <c r="AR345" s="74"/>
      <c r="AS345" s="74"/>
      <c r="AT345" s="74"/>
      <c r="AU345" s="55" t="str">
        <f t="shared" si="206"/>
        <v/>
      </c>
      <c r="AV345" s="55" t="str">
        <f t="shared" ca="1" si="207"/>
        <v/>
      </c>
      <c r="AW345" s="55" t="str">
        <f t="shared" si="197"/>
        <v/>
      </c>
      <c r="AX345" s="55" t="str">
        <f t="shared" ca="1" si="198"/>
        <v/>
      </c>
      <c r="AY345" s="86"/>
      <c r="AZ345" s="86"/>
      <c r="BA345" s="55" t="str">
        <f t="shared" si="208"/>
        <v/>
      </c>
      <c r="BB345" s="86"/>
      <c r="BC345" s="86"/>
      <c r="BD345" s="55" t="str">
        <f t="shared" si="209"/>
        <v/>
      </c>
      <c r="BE345" s="74"/>
      <c r="BS345" s="118"/>
      <c r="BT345" s="118"/>
      <c r="BU345" s="118"/>
      <c r="BV345" s="118"/>
      <c r="BW345" s="118"/>
      <c r="BX345" s="118"/>
      <c r="BZ345" s="118"/>
      <c r="CB345" s="118"/>
      <c r="CC345" s="118"/>
      <c r="CD345" s="118"/>
    </row>
    <row r="346" spans="1:82" ht="17.399999999999999" customHeight="1" thickBot="1">
      <c r="A346" s="72">
        <f t="shared" si="211"/>
        <v>48.7</v>
      </c>
      <c r="B346" s="113">
        <f t="shared" si="191"/>
        <v>336</v>
      </c>
      <c r="C346" s="89"/>
      <c r="D346" s="90"/>
      <c r="E346" s="91"/>
      <c r="F346" s="90"/>
      <c r="G346" s="92">
        <f t="shared" si="199"/>
        <v>0</v>
      </c>
      <c r="H346" s="93">
        <f t="shared" si="199"/>
        <v>0</v>
      </c>
      <c r="I346" s="94">
        <f t="shared" si="200"/>
        <v>0</v>
      </c>
      <c r="J346" s="95">
        <f t="shared" si="201"/>
        <v>0</v>
      </c>
      <c r="K346" s="95">
        <f t="shared" si="202"/>
        <v>0</v>
      </c>
      <c r="L346" s="95">
        <f t="shared" si="203"/>
        <v>0</v>
      </c>
      <c r="M346" s="95" t="str">
        <f t="shared" ca="1" si="204"/>
        <v/>
      </c>
      <c r="N346" s="95" t="str">
        <f t="shared" ca="1" si="204"/>
        <v/>
      </c>
      <c r="O346" s="95">
        <f t="shared" si="205"/>
        <v>5.0000000000000001E-4</v>
      </c>
      <c r="P346" s="96"/>
      <c r="Q346" s="89"/>
      <c r="R346" s="96"/>
      <c r="S346" s="78">
        <f t="shared" si="192"/>
        <v>0</v>
      </c>
      <c r="T346" s="55">
        <f t="shared" si="192"/>
        <v>0</v>
      </c>
      <c r="U346" s="97">
        <f t="shared" si="212"/>
        <v>0</v>
      </c>
      <c r="V346" s="98">
        <f t="shared" si="213"/>
        <v>0</v>
      </c>
      <c r="W346" s="99">
        <f t="shared" si="214"/>
        <v>142</v>
      </c>
      <c r="X346" s="100">
        <f t="shared" si="214"/>
        <v>164</v>
      </c>
      <c r="Y346" s="91"/>
      <c r="Z346" s="60"/>
      <c r="AA346" s="75"/>
      <c r="AB346" s="75"/>
      <c r="AC346" s="75"/>
      <c r="AD346" s="75"/>
      <c r="AE346" s="101">
        <f t="shared" si="193"/>
        <v>0</v>
      </c>
      <c r="AF346" s="93">
        <f t="shared" si="194"/>
        <v>0</v>
      </c>
      <c r="AG346" s="94">
        <f t="shared" si="188"/>
        <v>0</v>
      </c>
      <c r="AH346" s="102">
        <f t="shared" si="189"/>
        <v>0</v>
      </c>
      <c r="AI346" s="103">
        <f t="shared" si="189"/>
        <v>0</v>
      </c>
      <c r="AJ346" s="103">
        <f t="shared" si="189"/>
        <v>0</v>
      </c>
      <c r="AK346" s="95">
        <f t="shared" si="187"/>
        <v>0</v>
      </c>
      <c r="AL346" s="102">
        <f t="shared" si="195"/>
        <v>0</v>
      </c>
      <c r="AM346" s="95">
        <f t="shared" si="196"/>
        <v>0</v>
      </c>
      <c r="AN346" s="90"/>
      <c r="AO346" s="104"/>
      <c r="AP346" s="90"/>
      <c r="AQ346" s="105"/>
      <c r="AR346" s="90"/>
      <c r="AS346" s="90"/>
      <c r="AT346" s="90"/>
      <c r="AU346" s="93" t="str">
        <f t="shared" si="206"/>
        <v/>
      </c>
      <c r="AV346" s="93" t="str">
        <f t="shared" ca="1" si="207"/>
        <v/>
      </c>
      <c r="AW346" s="93" t="str">
        <f t="shared" si="197"/>
        <v/>
      </c>
      <c r="AX346" s="93" t="str">
        <f t="shared" ca="1" si="198"/>
        <v/>
      </c>
      <c r="AY346" s="106"/>
      <c r="AZ346" s="106"/>
      <c r="BA346" s="93" t="str">
        <f t="shared" si="208"/>
        <v/>
      </c>
      <c r="BB346" s="106"/>
      <c r="BC346" s="106"/>
      <c r="BD346" s="93" t="str">
        <f t="shared" si="209"/>
        <v/>
      </c>
      <c r="BE346" s="90"/>
      <c r="BS346" s="118"/>
      <c r="BT346" s="118"/>
      <c r="BU346" s="118"/>
      <c r="BV346" s="118"/>
      <c r="BW346" s="118"/>
      <c r="BX346" s="118"/>
      <c r="BZ346" s="118"/>
      <c r="CB346" s="118"/>
      <c r="CC346" s="118"/>
      <c r="CD346" s="118"/>
    </row>
    <row r="347" spans="1:82" ht="17.399999999999999" customHeight="1" thickTop="1">
      <c r="A347" s="49">
        <f>A340+1</f>
        <v>49.1</v>
      </c>
      <c r="B347" s="108">
        <f>B346+1</f>
        <v>337</v>
      </c>
      <c r="C347" s="51"/>
      <c r="D347" s="52"/>
      <c r="E347" s="53"/>
      <c r="F347" s="52"/>
      <c r="G347" s="54">
        <f t="shared" si="199"/>
        <v>0</v>
      </c>
      <c r="H347" s="55">
        <f t="shared" si="199"/>
        <v>0</v>
      </c>
      <c r="I347" s="56">
        <f t="shared" si="200"/>
        <v>0</v>
      </c>
      <c r="J347" s="57">
        <f t="shared" si="201"/>
        <v>0</v>
      </c>
      <c r="K347" s="57">
        <f t="shared" si="202"/>
        <v>0</v>
      </c>
      <c r="L347" s="57">
        <f t="shared" si="203"/>
        <v>0</v>
      </c>
      <c r="M347" s="58" t="str">
        <f t="shared" ca="1" si="204"/>
        <v/>
      </c>
      <c r="N347" s="58" t="str">
        <f t="shared" ca="1" si="204"/>
        <v/>
      </c>
      <c r="O347" s="58">
        <f t="shared" si="205"/>
        <v>5.0000000000000001E-4</v>
      </c>
      <c r="P347" s="77"/>
      <c r="Q347" s="60"/>
      <c r="R347" s="77"/>
      <c r="S347" s="109">
        <f t="shared" si="192"/>
        <v>0</v>
      </c>
      <c r="T347" s="61">
        <f t="shared" si="192"/>
        <v>0</v>
      </c>
      <c r="U347" s="62">
        <f t="shared" si="212"/>
        <v>0</v>
      </c>
      <c r="V347" s="63">
        <f t="shared" si="213"/>
        <v>0</v>
      </c>
      <c r="W347" s="64">
        <v>143</v>
      </c>
      <c r="X347" s="80">
        <f t="shared" si="214"/>
        <v>164</v>
      </c>
      <c r="Y347" s="53"/>
      <c r="Z347" s="51"/>
      <c r="AA347" s="53"/>
      <c r="AB347" s="53"/>
      <c r="AC347" s="53"/>
      <c r="AD347" s="53"/>
      <c r="AE347" s="66">
        <f t="shared" si="193"/>
        <v>0</v>
      </c>
      <c r="AF347" s="61">
        <f t="shared" si="194"/>
        <v>0</v>
      </c>
      <c r="AG347" s="56">
        <f t="shared" si="188"/>
        <v>0</v>
      </c>
      <c r="AH347" s="67">
        <f t="shared" si="189"/>
        <v>0</v>
      </c>
      <c r="AI347" s="68">
        <f t="shared" si="189"/>
        <v>0</v>
      </c>
      <c r="AJ347" s="68">
        <f t="shared" si="189"/>
        <v>0</v>
      </c>
      <c r="AK347" s="57">
        <f t="shared" si="187"/>
        <v>0</v>
      </c>
      <c r="AL347" s="67">
        <f t="shared" si="195"/>
        <v>0</v>
      </c>
      <c r="AM347" s="57">
        <f t="shared" si="196"/>
        <v>0</v>
      </c>
      <c r="AN347" s="52"/>
      <c r="AO347" s="69"/>
      <c r="AP347" s="52"/>
      <c r="AQ347" s="70"/>
      <c r="AR347" s="52"/>
      <c r="AS347" s="52"/>
      <c r="AT347" s="52"/>
      <c r="AU347" s="61" t="str">
        <f t="shared" si="206"/>
        <v/>
      </c>
      <c r="AV347" s="61" t="str">
        <f t="shared" ca="1" si="207"/>
        <v/>
      </c>
      <c r="AW347" s="61" t="str">
        <f t="shared" si="197"/>
        <v/>
      </c>
      <c r="AX347" s="61" t="str">
        <f t="shared" ca="1" si="198"/>
        <v/>
      </c>
      <c r="AY347" s="71"/>
      <c r="AZ347" s="71"/>
      <c r="BA347" s="61" t="str">
        <f t="shared" si="208"/>
        <v/>
      </c>
      <c r="BB347" s="71"/>
      <c r="BC347" s="71"/>
      <c r="BD347" s="61" t="str">
        <f t="shared" si="209"/>
        <v/>
      </c>
      <c r="BE347" s="52"/>
      <c r="BS347" s="118"/>
      <c r="BT347" s="118"/>
      <c r="BU347" s="118"/>
      <c r="BV347" s="118"/>
      <c r="BW347" s="118"/>
      <c r="BX347" s="118"/>
      <c r="BZ347" s="118"/>
      <c r="CB347" s="118"/>
      <c r="CC347" s="118"/>
      <c r="CD347" s="118"/>
    </row>
    <row r="348" spans="1:82" ht="17.399999999999999" customHeight="1">
      <c r="A348" s="72">
        <f t="shared" si="211"/>
        <v>49.2</v>
      </c>
      <c r="B348" s="111">
        <f t="shared" si="191"/>
        <v>338</v>
      </c>
      <c r="C348" s="60"/>
      <c r="D348" s="74"/>
      <c r="E348" s="75"/>
      <c r="F348" s="74"/>
      <c r="G348" s="54">
        <f t="shared" ref="G348:H363" si="215">G347-E348-C348</f>
        <v>0</v>
      </c>
      <c r="H348" s="55">
        <f t="shared" si="215"/>
        <v>0</v>
      </c>
      <c r="I348" s="76">
        <f t="shared" si="200"/>
        <v>0</v>
      </c>
      <c r="J348" s="58">
        <f t="shared" si="201"/>
        <v>0</v>
      </c>
      <c r="K348" s="58">
        <f t="shared" si="202"/>
        <v>0</v>
      </c>
      <c r="L348" s="58">
        <f t="shared" si="203"/>
        <v>0</v>
      </c>
      <c r="M348" s="58" t="str">
        <f t="shared" ca="1" si="204"/>
        <v/>
      </c>
      <c r="N348" s="58" t="str">
        <f t="shared" ca="1" si="204"/>
        <v/>
      </c>
      <c r="O348" s="58">
        <f t="shared" si="205"/>
        <v>5.0000000000000001E-4</v>
      </c>
      <c r="P348" s="77"/>
      <c r="Q348" s="60"/>
      <c r="R348" s="77"/>
      <c r="S348" s="78">
        <f t="shared" si="192"/>
        <v>0</v>
      </c>
      <c r="T348" s="55">
        <f t="shared" si="192"/>
        <v>0</v>
      </c>
      <c r="U348" s="79">
        <f t="shared" si="212"/>
        <v>0</v>
      </c>
      <c r="V348" s="63">
        <f t="shared" si="213"/>
        <v>0</v>
      </c>
      <c r="W348" s="64">
        <f t="shared" ref="W348:W353" si="216">W347</f>
        <v>143</v>
      </c>
      <c r="X348" s="80">
        <f t="shared" si="214"/>
        <v>164</v>
      </c>
      <c r="Y348" s="75"/>
      <c r="Z348" s="60"/>
      <c r="AA348" s="75"/>
      <c r="AB348" s="75"/>
      <c r="AC348" s="75"/>
      <c r="AD348" s="75"/>
      <c r="AE348" s="81">
        <f t="shared" si="193"/>
        <v>0</v>
      </c>
      <c r="AF348" s="55">
        <f t="shared" si="194"/>
        <v>0</v>
      </c>
      <c r="AG348" s="76">
        <f t="shared" si="188"/>
        <v>0</v>
      </c>
      <c r="AH348" s="82">
        <f t="shared" si="189"/>
        <v>0</v>
      </c>
      <c r="AI348" s="83">
        <f t="shared" si="189"/>
        <v>0</v>
      </c>
      <c r="AJ348" s="83">
        <f t="shared" si="189"/>
        <v>0</v>
      </c>
      <c r="AK348" s="58">
        <f t="shared" si="187"/>
        <v>0</v>
      </c>
      <c r="AL348" s="82">
        <f t="shared" si="195"/>
        <v>0</v>
      </c>
      <c r="AM348" s="58">
        <f t="shared" si="196"/>
        <v>0</v>
      </c>
      <c r="AN348" s="74"/>
      <c r="AO348" s="84"/>
      <c r="AP348" s="74"/>
      <c r="AQ348" s="85"/>
      <c r="AR348" s="74"/>
      <c r="AS348" s="74"/>
      <c r="AT348" s="74"/>
      <c r="AU348" s="55" t="str">
        <f t="shared" si="206"/>
        <v/>
      </c>
      <c r="AV348" s="55" t="str">
        <f t="shared" ca="1" si="207"/>
        <v/>
      </c>
      <c r="AW348" s="55" t="str">
        <f t="shared" si="197"/>
        <v/>
      </c>
      <c r="AX348" s="55" t="str">
        <f t="shared" ca="1" si="198"/>
        <v/>
      </c>
      <c r="AY348" s="86"/>
      <c r="AZ348" s="86"/>
      <c r="BA348" s="55" t="str">
        <f t="shared" si="208"/>
        <v/>
      </c>
      <c r="BB348" s="86"/>
      <c r="BC348" s="86"/>
      <c r="BD348" s="55" t="str">
        <f t="shared" si="209"/>
        <v/>
      </c>
      <c r="BE348" s="74"/>
      <c r="BS348" s="118"/>
      <c r="BT348" s="118"/>
      <c r="BU348" s="118"/>
      <c r="BV348" s="118"/>
      <c r="BW348" s="118"/>
      <c r="BX348" s="118"/>
      <c r="BZ348" s="118"/>
      <c r="CB348" s="118"/>
      <c r="CC348" s="118"/>
      <c r="CD348" s="118"/>
    </row>
    <row r="349" spans="1:82" ht="17.399999999999999" customHeight="1">
      <c r="A349" s="87">
        <f t="shared" si="211"/>
        <v>49.3</v>
      </c>
      <c r="B349" s="111">
        <f t="shared" si="191"/>
        <v>339</v>
      </c>
      <c r="C349" s="60"/>
      <c r="D349" s="74"/>
      <c r="E349" s="75"/>
      <c r="F349" s="74"/>
      <c r="G349" s="54">
        <f t="shared" si="215"/>
        <v>0</v>
      </c>
      <c r="H349" s="55">
        <f t="shared" si="215"/>
        <v>0</v>
      </c>
      <c r="I349" s="76">
        <f t="shared" si="200"/>
        <v>0</v>
      </c>
      <c r="J349" s="58">
        <f t="shared" si="201"/>
        <v>0</v>
      </c>
      <c r="K349" s="58">
        <f t="shared" si="202"/>
        <v>0</v>
      </c>
      <c r="L349" s="58">
        <f t="shared" si="203"/>
        <v>0</v>
      </c>
      <c r="M349" s="58" t="str">
        <f t="shared" ca="1" si="204"/>
        <v/>
      </c>
      <c r="N349" s="58" t="str">
        <f t="shared" ca="1" si="204"/>
        <v/>
      </c>
      <c r="O349" s="58">
        <f t="shared" si="205"/>
        <v>5.0000000000000001E-4</v>
      </c>
      <c r="P349" s="77"/>
      <c r="Q349" s="60"/>
      <c r="R349" s="77"/>
      <c r="S349" s="78">
        <f t="shared" si="192"/>
        <v>0</v>
      </c>
      <c r="T349" s="55">
        <f t="shared" si="192"/>
        <v>0</v>
      </c>
      <c r="U349" s="79">
        <f t="shared" si="212"/>
        <v>0</v>
      </c>
      <c r="V349" s="63">
        <f t="shared" si="213"/>
        <v>0</v>
      </c>
      <c r="W349" s="64">
        <f t="shared" si="216"/>
        <v>143</v>
      </c>
      <c r="X349" s="80">
        <f t="shared" si="214"/>
        <v>164</v>
      </c>
      <c r="Y349" s="75"/>
      <c r="Z349" s="60"/>
      <c r="AA349" s="75"/>
      <c r="AB349" s="75"/>
      <c r="AC349" s="75"/>
      <c r="AD349" s="75"/>
      <c r="AE349" s="81">
        <f t="shared" si="193"/>
        <v>0</v>
      </c>
      <c r="AF349" s="55">
        <f t="shared" si="194"/>
        <v>0</v>
      </c>
      <c r="AG349" s="76">
        <f t="shared" si="188"/>
        <v>0</v>
      </c>
      <c r="AH349" s="82">
        <f t="shared" si="189"/>
        <v>0</v>
      </c>
      <c r="AI349" s="83">
        <f t="shared" si="189"/>
        <v>0</v>
      </c>
      <c r="AJ349" s="83">
        <f t="shared" si="189"/>
        <v>0</v>
      </c>
      <c r="AK349" s="58">
        <f t="shared" si="187"/>
        <v>0</v>
      </c>
      <c r="AL349" s="82">
        <f t="shared" si="195"/>
        <v>0</v>
      </c>
      <c r="AM349" s="58">
        <f t="shared" si="196"/>
        <v>0</v>
      </c>
      <c r="AN349" s="74"/>
      <c r="AO349" s="84"/>
      <c r="AP349" s="74"/>
      <c r="AQ349" s="85"/>
      <c r="AR349" s="74"/>
      <c r="AS349" s="74"/>
      <c r="AT349" s="74"/>
      <c r="AU349" s="55" t="str">
        <f t="shared" si="206"/>
        <v/>
      </c>
      <c r="AV349" s="55" t="str">
        <f t="shared" ca="1" si="207"/>
        <v/>
      </c>
      <c r="AW349" s="55" t="str">
        <f t="shared" si="197"/>
        <v/>
      </c>
      <c r="AX349" s="55" t="str">
        <f t="shared" ca="1" si="198"/>
        <v/>
      </c>
      <c r="AY349" s="86"/>
      <c r="AZ349" s="86"/>
      <c r="BA349" s="55" t="str">
        <f t="shared" si="208"/>
        <v/>
      </c>
      <c r="BB349" s="86"/>
      <c r="BC349" s="86"/>
      <c r="BD349" s="55" t="str">
        <f t="shared" si="209"/>
        <v/>
      </c>
      <c r="BE349" s="74"/>
      <c r="BS349" s="118"/>
      <c r="BT349" s="118"/>
      <c r="BU349" s="118"/>
      <c r="BV349" s="118"/>
      <c r="BW349" s="118"/>
      <c r="BX349" s="118"/>
      <c r="BZ349" s="118"/>
      <c r="CB349" s="118"/>
      <c r="CC349" s="118"/>
      <c r="CD349" s="118"/>
    </row>
    <row r="350" spans="1:82" ht="17.399999999999999" customHeight="1">
      <c r="A350" s="72">
        <f t="shared" si="211"/>
        <v>49.4</v>
      </c>
      <c r="B350" s="111">
        <f t="shared" si="191"/>
        <v>340</v>
      </c>
      <c r="C350" s="60"/>
      <c r="D350" s="74"/>
      <c r="E350" s="75"/>
      <c r="F350" s="74"/>
      <c r="G350" s="54">
        <f t="shared" si="215"/>
        <v>0</v>
      </c>
      <c r="H350" s="55">
        <f t="shared" si="215"/>
        <v>0</v>
      </c>
      <c r="I350" s="76">
        <f t="shared" si="200"/>
        <v>0</v>
      </c>
      <c r="J350" s="58">
        <f t="shared" si="201"/>
        <v>0</v>
      </c>
      <c r="K350" s="58">
        <f t="shared" si="202"/>
        <v>0</v>
      </c>
      <c r="L350" s="58">
        <f t="shared" si="203"/>
        <v>0</v>
      </c>
      <c r="M350" s="58" t="str">
        <f t="shared" ca="1" si="204"/>
        <v/>
      </c>
      <c r="N350" s="58" t="str">
        <f t="shared" ca="1" si="204"/>
        <v/>
      </c>
      <c r="O350" s="58">
        <f t="shared" si="205"/>
        <v>5.0000000000000001E-4</v>
      </c>
      <c r="P350" s="77"/>
      <c r="Q350" s="60"/>
      <c r="R350" s="77"/>
      <c r="S350" s="78">
        <f t="shared" si="192"/>
        <v>0</v>
      </c>
      <c r="T350" s="55">
        <f t="shared" si="192"/>
        <v>0</v>
      </c>
      <c r="U350" s="79">
        <f t="shared" si="212"/>
        <v>0</v>
      </c>
      <c r="V350" s="63">
        <f t="shared" si="213"/>
        <v>0</v>
      </c>
      <c r="W350" s="64">
        <f t="shared" si="216"/>
        <v>143</v>
      </c>
      <c r="X350" s="80">
        <f t="shared" si="214"/>
        <v>164</v>
      </c>
      <c r="Y350" s="75"/>
      <c r="Z350" s="60"/>
      <c r="AA350" s="75"/>
      <c r="AB350" s="75"/>
      <c r="AC350" s="75"/>
      <c r="AD350" s="75"/>
      <c r="AE350" s="81">
        <f t="shared" si="193"/>
        <v>0</v>
      </c>
      <c r="AF350" s="55">
        <f t="shared" si="194"/>
        <v>0</v>
      </c>
      <c r="AG350" s="76">
        <f t="shared" si="188"/>
        <v>0</v>
      </c>
      <c r="AH350" s="82">
        <f t="shared" si="189"/>
        <v>0</v>
      </c>
      <c r="AI350" s="83">
        <f t="shared" si="189"/>
        <v>0</v>
      </c>
      <c r="AJ350" s="83">
        <f t="shared" si="189"/>
        <v>0</v>
      </c>
      <c r="AK350" s="58">
        <f t="shared" si="187"/>
        <v>0</v>
      </c>
      <c r="AL350" s="82">
        <f t="shared" si="195"/>
        <v>0</v>
      </c>
      <c r="AM350" s="58">
        <f t="shared" si="196"/>
        <v>0</v>
      </c>
      <c r="AN350" s="74"/>
      <c r="AO350" s="84"/>
      <c r="AP350" s="74"/>
      <c r="AQ350" s="85"/>
      <c r="AR350" s="74"/>
      <c r="AS350" s="74"/>
      <c r="AT350" s="74"/>
      <c r="AU350" s="55" t="str">
        <f t="shared" si="206"/>
        <v/>
      </c>
      <c r="AV350" s="55" t="str">
        <f t="shared" ca="1" si="207"/>
        <v/>
      </c>
      <c r="AW350" s="55" t="str">
        <f t="shared" si="197"/>
        <v/>
      </c>
      <c r="AX350" s="55" t="str">
        <f t="shared" ca="1" si="198"/>
        <v/>
      </c>
      <c r="AY350" s="86"/>
      <c r="AZ350" s="86"/>
      <c r="BA350" s="55" t="str">
        <f t="shared" si="208"/>
        <v/>
      </c>
      <c r="BB350" s="86"/>
      <c r="BC350" s="86"/>
      <c r="BD350" s="55" t="str">
        <f t="shared" si="209"/>
        <v/>
      </c>
      <c r="BE350" s="74"/>
      <c r="BS350" s="118"/>
      <c r="BT350" s="118"/>
      <c r="BU350" s="118"/>
      <c r="BV350" s="118"/>
      <c r="BW350" s="118"/>
      <c r="BX350" s="118"/>
      <c r="BZ350" s="118"/>
      <c r="CB350" s="118"/>
      <c r="CC350" s="118"/>
      <c r="CD350" s="118"/>
    </row>
    <row r="351" spans="1:82" ht="17.399999999999999" customHeight="1">
      <c r="A351" s="87">
        <f t="shared" si="211"/>
        <v>49.5</v>
      </c>
      <c r="B351" s="111">
        <f t="shared" si="191"/>
        <v>341</v>
      </c>
      <c r="C351" s="60"/>
      <c r="D351" s="74"/>
      <c r="E351" s="75"/>
      <c r="F351" s="74"/>
      <c r="G351" s="54">
        <f t="shared" si="215"/>
        <v>0</v>
      </c>
      <c r="H351" s="55">
        <f t="shared" si="215"/>
        <v>0</v>
      </c>
      <c r="I351" s="76">
        <f t="shared" si="200"/>
        <v>0</v>
      </c>
      <c r="J351" s="58">
        <f t="shared" si="201"/>
        <v>0</v>
      </c>
      <c r="K351" s="58">
        <f t="shared" si="202"/>
        <v>0</v>
      </c>
      <c r="L351" s="58">
        <f t="shared" si="203"/>
        <v>0</v>
      </c>
      <c r="M351" s="58" t="str">
        <f t="shared" ca="1" si="204"/>
        <v/>
      </c>
      <c r="N351" s="58" t="str">
        <f t="shared" ca="1" si="204"/>
        <v/>
      </c>
      <c r="O351" s="58">
        <f t="shared" si="205"/>
        <v>5.0000000000000001E-4</v>
      </c>
      <c r="P351" s="77"/>
      <c r="Q351" s="60"/>
      <c r="R351" s="77"/>
      <c r="S351" s="78">
        <f t="shared" si="192"/>
        <v>0</v>
      </c>
      <c r="T351" s="55">
        <f t="shared" si="192"/>
        <v>0</v>
      </c>
      <c r="U351" s="79">
        <f t="shared" si="212"/>
        <v>0</v>
      </c>
      <c r="V351" s="63">
        <f t="shared" si="213"/>
        <v>0</v>
      </c>
      <c r="W351" s="64">
        <f t="shared" si="216"/>
        <v>143</v>
      </c>
      <c r="X351" s="80">
        <f t="shared" si="214"/>
        <v>164</v>
      </c>
      <c r="Y351" s="75"/>
      <c r="Z351" s="60"/>
      <c r="AA351" s="75"/>
      <c r="AB351" s="75"/>
      <c r="AC351" s="75"/>
      <c r="AD351" s="75"/>
      <c r="AE351" s="81">
        <f t="shared" si="193"/>
        <v>0</v>
      </c>
      <c r="AF351" s="55">
        <f t="shared" si="194"/>
        <v>0</v>
      </c>
      <c r="AG351" s="76">
        <f t="shared" si="188"/>
        <v>0</v>
      </c>
      <c r="AH351" s="82">
        <f t="shared" si="189"/>
        <v>0</v>
      </c>
      <c r="AI351" s="83">
        <f t="shared" si="189"/>
        <v>0</v>
      </c>
      <c r="AJ351" s="83">
        <f t="shared" si="189"/>
        <v>0</v>
      </c>
      <c r="AK351" s="58">
        <f t="shared" si="187"/>
        <v>0</v>
      </c>
      <c r="AL351" s="82">
        <f t="shared" si="195"/>
        <v>0</v>
      </c>
      <c r="AM351" s="58">
        <f t="shared" si="196"/>
        <v>0</v>
      </c>
      <c r="AN351" s="74"/>
      <c r="AO351" s="84"/>
      <c r="AP351" s="74"/>
      <c r="AQ351" s="85"/>
      <c r="AR351" s="74"/>
      <c r="AS351" s="74"/>
      <c r="AT351" s="74"/>
      <c r="AU351" s="55" t="str">
        <f t="shared" si="206"/>
        <v/>
      </c>
      <c r="AV351" s="55" t="str">
        <f t="shared" ca="1" si="207"/>
        <v/>
      </c>
      <c r="AW351" s="55" t="str">
        <f t="shared" si="197"/>
        <v/>
      </c>
      <c r="AX351" s="55" t="str">
        <f t="shared" ca="1" si="198"/>
        <v/>
      </c>
      <c r="AY351" s="86"/>
      <c r="AZ351" s="86"/>
      <c r="BA351" s="55" t="str">
        <f t="shared" si="208"/>
        <v/>
      </c>
      <c r="BB351" s="86"/>
      <c r="BC351" s="86"/>
      <c r="BD351" s="55" t="str">
        <f t="shared" si="209"/>
        <v/>
      </c>
      <c r="BE351" s="74"/>
      <c r="BS351" s="118"/>
      <c r="BT351" s="118"/>
      <c r="BU351" s="118"/>
      <c r="BV351" s="118"/>
      <c r="BW351" s="118"/>
      <c r="BX351" s="118"/>
      <c r="BZ351" s="118"/>
      <c r="CB351" s="118"/>
      <c r="CC351" s="118"/>
      <c r="CD351" s="118"/>
    </row>
    <row r="352" spans="1:82" ht="17.399999999999999" customHeight="1">
      <c r="A352" s="72">
        <f t="shared" si="211"/>
        <v>49.6</v>
      </c>
      <c r="B352" s="111">
        <f t="shared" si="191"/>
        <v>342</v>
      </c>
      <c r="C352" s="60"/>
      <c r="D352" s="74"/>
      <c r="E352" s="75"/>
      <c r="F352" s="74"/>
      <c r="G352" s="54">
        <f t="shared" si="215"/>
        <v>0</v>
      </c>
      <c r="H352" s="55">
        <f t="shared" si="215"/>
        <v>0</v>
      </c>
      <c r="I352" s="76">
        <f t="shared" si="200"/>
        <v>0</v>
      </c>
      <c r="J352" s="58">
        <f t="shared" si="201"/>
        <v>0</v>
      </c>
      <c r="K352" s="58">
        <f t="shared" si="202"/>
        <v>0</v>
      </c>
      <c r="L352" s="58">
        <f t="shared" si="203"/>
        <v>0</v>
      </c>
      <c r="M352" s="58" t="str">
        <f t="shared" ca="1" si="204"/>
        <v/>
      </c>
      <c r="N352" s="58" t="str">
        <f t="shared" ca="1" si="204"/>
        <v/>
      </c>
      <c r="O352" s="58">
        <f t="shared" si="205"/>
        <v>5.0000000000000001E-4</v>
      </c>
      <c r="P352" s="77"/>
      <c r="Q352" s="60"/>
      <c r="R352" s="77"/>
      <c r="S352" s="78">
        <f t="shared" si="192"/>
        <v>0</v>
      </c>
      <c r="T352" s="55">
        <f t="shared" si="192"/>
        <v>0</v>
      </c>
      <c r="U352" s="79">
        <f t="shared" si="212"/>
        <v>0</v>
      </c>
      <c r="V352" s="63">
        <f t="shared" si="213"/>
        <v>0</v>
      </c>
      <c r="W352" s="64">
        <f t="shared" si="216"/>
        <v>143</v>
      </c>
      <c r="X352" s="80">
        <f t="shared" si="214"/>
        <v>164</v>
      </c>
      <c r="Y352" s="75"/>
      <c r="Z352" s="60"/>
      <c r="AA352" s="75"/>
      <c r="AB352" s="75"/>
      <c r="AC352" s="75"/>
      <c r="AD352" s="75"/>
      <c r="AE352" s="81">
        <f t="shared" si="193"/>
        <v>0</v>
      </c>
      <c r="AF352" s="55">
        <f t="shared" si="194"/>
        <v>0</v>
      </c>
      <c r="AG352" s="76">
        <f t="shared" si="188"/>
        <v>0</v>
      </c>
      <c r="AH352" s="82">
        <f t="shared" si="189"/>
        <v>0</v>
      </c>
      <c r="AI352" s="83">
        <f t="shared" si="189"/>
        <v>0</v>
      </c>
      <c r="AJ352" s="83">
        <f t="shared" si="189"/>
        <v>0</v>
      </c>
      <c r="AK352" s="58">
        <f t="shared" si="187"/>
        <v>0</v>
      </c>
      <c r="AL352" s="82">
        <f t="shared" si="195"/>
        <v>0</v>
      </c>
      <c r="AM352" s="58">
        <f t="shared" si="196"/>
        <v>0</v>
      </c>
      <c r="AN352" s="74"/>
      <c r="AO352" s="84"/>
      <c r="AP352" s="74"/>
      <c r="AQ352" s="85"/>
      <c r="AR352" s="74"/>
      <c r="AS352" s="74"/>
      <c r="AT352" s="74"/>
      <c r="AU352" s="55" t="str">
        <f t="shared" si="206"/>
        <v/>
      </c>
      <c r="AV352" s="55" t="str">
        <f t="shared" ca="1" si="207"/>
        <v/>
      </c>
      <c r="AW352" s="55" t="str">
        <f t="shared" si="197"/>
        <v/>
      </c>
      <c r="AX352" s="55" t="str">
        <f t="shared" ca="1" si="198"/>
        <v/>
      </c>
      <c r="AY352" s="86"/>
      <c r="AZ352" s="86"/>
      <c r="BA352" s="55" t="str">
        <f t="shared" si="208"/>
        <v/>
      </c>
      <c r="BB352" s="86"/>
      <c r="BC352" s="86"/>
      <c r="BD352" s="55" t="str">
        <f t="shared" si="209"/>
        <v/>
      </c>
      <c r="BE352" s="74"/>
      <c r="BS352" s="118"/>
      <c r="BT352" s="118"/>
      <c r="BU352" s="118"/>
      <c r="BV352" s="118"/>
      <c r="BW352" s="118"/>
      <c r="BX352" s="118"/>
      <c r="BZ352" s="118"/>
      <c r="CB352" s="118"/>
      <c r="CC352" s="118"/>
      <c r="CD352" s="118"/>
    </row>
    <row r="353" spans="1:82" ht="17.399999999999999" customHeight="1" thickBot="1">
      <c r="A353" s="87">
        <f t="shared" si="211"/>
        <v>49.7</v>
      </c>
      <c r="B353" s="113">
        <f t="shared" si="191"/>
        <v>343</v>
      </c>
      <c r="C353" s="89"/>
      <c r="D353" s="90"/>
      <c r="E353" s="91"/>
      <c r="F353" s="90"/>
      <c r="G353" s="92">
        <f t="shared" si="215"/>
        <v>0</v>
      </c>
      <c r="H353" s="93">
        <f t="shared" si="215"/>
        <v>0</v>
      </c>
      <c r="I353" s="94">
        <f t="shared" si="200"/>
        <v>0</v>
      </c>
      <c r="J353" s="95">
        <f t="shared" si="201"/>
        <v>0</v>
      </c>
      <c r="K353" s="95">
        <f t="shared" si="202"/>
        <v>0</v>
      </c>
      <c r="L353" s="95">
        <f t="shared" si="203"/>
        <v>0</v>
      </c>
      <c r="M353" s="95" t="str">
        <f t="shared" ca="1" si="204"/>
        <v/>
      </c>
      <c r="N353" s="95" t="str">
        <f t="shared" ca="1" si="204"/>
        <v/>
      </c>
      <c r="O353" s="95">
        <f t="shared" si="205"/>
        <v>5.0000000000000001E-4</v>
      </c>
      <c r="P353" s="96"/>
      <c r="Q353" s="89"/>
      <c r="R353" s="96"/>
      <c r="S353" s="78">
        <f t="shared" si="192"/>
        <v>0</v>
      </c>
      <c r="T353" s="55">
        <f t="shared" si="192"/>
        <v>0</v>
      </c>
      <c r="U353" s="97">
        <f t="shared" si="212"/>
        <v>0</v>
      </c>
      <c r="V353" s="98">
        <f t="shared" si="213"/>
        <v>0</v>
      </c>
      <c r="W353" s="99">
        <f t="shared" si="216"/>
        <v>143</v>
      </c>
      <c r="X353" s="100">
        <f t="shared" si="214"/>
        <v>164</v>
      </c>
      <c r="Y353" s="91"/>
      <c r="Z353" s="60"/>
      <c r="AA353" s="75"/>
      <c r="AB353" s="75"/>
      <c r="AC353" s="75"/>
      <c r="AD353" s="75"/>
      <c r="AE353" s="101">
        <f t="shared" si="193"/>
        <v>0</v>
      </c>
      <c r="AF353" s="93">
        <f t="shared" si="194"/>
        <v>0</v>
      </c>
      <c r="AG353" s="94">
        <f t="shared" si="188"/>
        <v>0</v>
      </c>
      <c r="AH353" s="102">
        <f t="shared" si="189"/>
        <v>0</v>
      </c>
      <c r="AI353" s="103">
        <f t="shared" si="189"/>
        <v>0</v>
      </c>
      <c r="AJ353" s="103">
        <f t="shared" si="189"/>
        <v>0</v>
      </c>
      <c r="AK353" s="95">
        <f t="shared" si="187"/>
        <v>0</v>
      </c>
      <c r="AL353" s="102">
        <f t="shared" si="195"/>
        <v>0</v>
      </c>
      <c r="AM353" s="95">
        <f t="shared" si="196"/>
        <v>0</v>
      </c>
      <c r="AN353" s="90"/>
      <c r="AO353" s="104"/>
      <c r="AP353" s="90"/>
      <c r="AQ353" s="105"/>
      <c r="AR353" s="90"/>
      <c r="AS353" s="90"/>
      <c r="AT353" s="90"/>
      <c r="AU353" s="93" t="str">
        <f t="shared" si="206"/>
        <v/>
      </c>
      <c r="AV353" s="93" t="str">
        <f t="shared" ca="1" si="207"/>
        <v/>
      </c>
      <c r="AW353" s="93" t="str">
        <f t="shared" si="197"/>
        <v/>
      </c>
      <c r="AX353" s="93" t="str">
        <f t="shared" ca="1" si="198"/>
        <v/>
      </c>
      <c r="AY353" s="106"/>
      <c r="AZ353" s="106"/>
      <c r="BA353" s="93" t="str">
        <f t="shared" si="208"/>
        <v/>
      </c>
      <c r="BB353" s="106"/>
      <c r="BC353" s="106"/>
      <c r="BD353" s="93" t="str">
        <f t="shared" si="209"/>
        <v/>
      </c>
      <c r="BE353" s="90"/>
      <c r="BS353" s="118"/>
      <c r="BT353" s="118"/>
      <c r="BU353" s="118"/>
      <c r="BV353" s="118"/>
      <c r="BW353" s="118"/>
      <c r="BX353" s="118"/>
      <c r="BZ353" s="118"/>
      <c r="CB353" s="118"/>
      <c r="CC353" s="118"/>
      <c r="CD353" s="118"/>
    </row>
    <row r="354" spans="1:82" ht="17.399999999999999" customHeight="1" thickTop="1">
      <c r="A354" s="107">
        <f>A347+1</f>
        <v>50.1</v>
      </c>
      <c r="B354" s="108">
        <f>B353+1</f>
        <v>344</v>
      </c>
      <c r="C354" s="51"/>
      <c r="D354" s="52"/>
      <c r="E354" s="53"/>
      <c r="F354" s="52"/>
      <c r="G354" s="54">
        <f t="shared" si="215"/>
        <v>0</v>
      </c>
      <c r="H354" s="55">
        <f t="shared" si="215"/>
        <v>0</v>
      </c>
      <c r="I354" s="56">
        <f t="shared" si="200"/>
        <v>0</v>
      </c>
      <c r="J354" s="57">
        <f t="shared" si="201"/>
        <v>0</v>
      </c>
      <c r="K354" s="57">
        <f t="shared" si="202"/>
        <v>0</v>
      </c>
      <c r="L354" s="57">
        <f t="shared" si="203"/>
        <v>0</v>
      </c>
      <c r="M354" s="58" t="str">
        <f t="shared" ca="1" si="204"/>
        <v/>
      </c>
      <c r="N354" s="58" t="str">
        <f t="shared" ca="1" si="204"/>
        <v/>
      </c>
      <c r="O354" s="58">
        <f t="shared" si="205"/>
        <v>5.0000000000000001E-4</v>
      </c>
      <c r="P354" s="77"/>
      <c r="Q354" s="60"/>
      <c r="R354" s="77"/>
      <c r="S354" s="109">
        <f t="shared" si="192"/>
        <v>0</v>
      </c>
      <c r="T354" s="61">
        <f t="shared" si="192"/>
        <v>0</v>
      </c>
      <c r="U354" s="62">
        <f t="shared" si="212"/>
        <v>0</v>
      </c>
      <c r="V354" s="63">
        <f t="shared" si="213"/>
        <v>0</v>
      </c>
      <c r="W354" s="64">
        <v>144</v>
      </c>
      <c r="X354" s="80">
        <v>163</v>
      </c>
      <c r="Y354" s="53"/>
      <c r="Z354" s="51"/>
      <c r="AA354" s="53"/>
      <c r="AB354" s="53"/>
      <c r="AC354" s="53"/>
      <c r="AD354" s="53"/>
      <c r="AE354" s="66">
        <f t="shared" si="193"/>
        <v>0</v>
      </c>
      <c r="AF354" s="61">
        <f t="shared" si="194"/>
        <v>0</v>
      </c>
      <c r="AG354" s="56">
        <f t="shared" si="188"/>
        <v>0</v>
      </c>
      <c r="AH354" s="67">
        <f t="shared" si="189"/>
        <v>0</v>
      </c>
      <c r="AI354" s="68">
        <f t="shared" si="189"/>
        <v>0</v>
      </c>
      <c r="AJ354" s="68">
        <f t="shared" si="189"/>
        <v>0</v>
      </c>
      <c r="AK354" s="57">
        <f t="shared" si="187"/>
        <v>0</v>
      </c>
      <c r="AL354" s="67">
        <f t="shared" si="195"/>
        <v>0</v>
      </c>
      <c r="AM354" s="57">
        <f t="shared" si="196"/>
        <v>0</v>
      </c>
      <c r="AN354" s="52"/>
      <c r="AO354" s="69"/>
      <c r="AP354" s="52"/>
      <c r="AQ354" s="70"/>
      <c r="AR354" s="52"/>
      <c r="AS354" s="52"/>
      <c r="AT354" s="52"/>
      <c r="AU354" s="61" t="str">
        <f t="shared" si="206"/>
        <v/>
      </c>
      <c r="AV354" s="61" t="str">
        <f t="shared" ca="1" si="207"/>
        <v/>
      </c>
      <c r="AW354" s="61" t="str">
        <f t="shared" si="197"/>
        <v/>
      </c>
      <c r="AX354" s="61" t="str">
        <f t="shared" ca="1" si="198"/>
        <v/>
      </c>
      <c r="AY354" s="71"/>
      <c r="AZ354" s="71"/>
      <c r="BA354" s="61" t="str">
        <f t="shared" si="208"/>
        <v/>
      </c>
      <c r="BB354" s="71"/>
      <c r="BC354" s="71"/>
      <c r="BD354" s="61" t="str">
        <f t="shared" si="209"/>
        <v/>
      </c>
      <c r="BE354" s="52"/>
      <c r="BS354" s="118"/>
      <c r="BT354" s="118"/>
      <c r="BU354" s="118"/>
      <c r="BV354" s="118"/>
      <c r="BW354" s="118"/>
      <c r="BX354" s="118"/>
      <c r="BZ354" s="118"/>
      <c r="CB354" s="118"/>
      <c r="CC354" s="118"/>
      <c r="CD354" s="118"/>
    </row>
    <row r="355" spans="1:82" ht="17.399999999999999" customHeight="1">
      <c r="A355" s="87">
        <f t="shared" si="211"/>
        <v>50.2</v>
      </c>
      <c r="B355" s="111">
        <f t="shared" si="191"/>
        <v>345</v>
      </c>
      <c r="C355" s="60"/>
      <c r="D355" s="74"/>
      <c r="E355" s="75"/>
      <c r="F355" s="74"/>
      <c r="G355" s="54">
        <f t="shared" si="215"/>
        <v>0</v>
      </c>
      <c r="H355" s="55">
        <f t="shared" si="215"/>
        <v>0</v>
      </c>
      <c r="I355" s="76">
        <f t="shared" si="200"/>
        <v>0</v>
      </c>
      <c r="J355" s="58">
        <f t="shared" si="201"/>
        <v>0</v>
      </c>
      <c r="K355" s="58">
        <f t="shared" si="202"/>
        <v>0</v>
      </c>
      <c r="L355" s="58">
        <f t="shared" si="203"/>
        <v>0</v>
      </c>
      <c r="M355" s="58" t="str">
        <f t="shared" ca="1" si="204"/>
        <v/>
      </c>
      <c r="N355" s="58" t="str">
        <f t="shared" ca="1" si="204"/>
        <v/>
      </c>
      <c r="O355" s="58">
        <f t="shared" si="205"/>
        <v>5.0000000000000001E-4</v>
      </c>
      <c r="P355" s="77"/>
      <c r="Q355" s="60"/>
      <c r="R355" s="77"/>
      <c r="S355" s="78">
        <f t="shared" si="192"/>
        <v>0</v>
      </c>
      <c r="T355" s="55">
        <f t="shared" si="192"/>
        <v>0</v>
      </c>
      <c r="U355" s="79">
        <f t="shared" si="212"/>
        <v>0</v>
      </c>
      <c r="V355" s="63">
        <f t="shared" si="213"/>
        <v>0</v>
      </c>
      <c r="W355" s="64">
        <f t="shared" ref="W355:X367" si="217">W354</f>
        <v>144</v>
      </c>
      <c r="X355" s="80">
        <f t="shared" si="217"/>
        <v>163</v>
      </c>
      <c r="Y355" s="75"/>
      <c r="Z355" s="60"/>
      <c r="AA355" s="75"/>
      <c r="AB355" s="75"/>
      <c r="AC355" s="75"/>
      <c r="AD355" s="75"/>
      <c r="AE355" s="81">
        <f t="shared" si="193"/>
        <v>0</v>
      </c>
      <c r="AF355" s="55">
        <f t="shared" si="194"/>
        <v>0</v>
      </c>
      <c r="AG355" s="76">
        <f t="shared" si="188"/>
        <v>0</v>
      </c>
      <c r="AH355" s="82">
        <f t="shared" si="189"/>
        <v>0</v>
      </c>
      <c r="AI355" s="83">
        <f t="shared" si="189"/>
        <v>0</v>
      </c>
      <c r="AJ355" s="83">
        <f t="shared" si="189"/>
        <v>0</v>
      </c>
      <c r="AK355" s="58">
        <f t="shared" si="187"/>
        <v>0</v>
      </c>
      <c r="AL355" s="82">
        <f t="shared" si="195"/>
        <v>0</v>
      </c>
      <c r="AM355" s="58">
        <f t="shared" si="196"/>
        <v>0</v>
      </c>
      <c r="AN355" s="74"/>
      <c r="AO355" s="84"/>
      <c r="AP355" s="74"/>
      <c r="AQ355" s="85"/>
      <c r="AR355" s="74"/>
      <c r="AS355" s="74"/>
      <c r="AT355" s="74"/>
      <c r="AU355" s="55" t="str">
        <f t="shared" si="206"/>
        <v/>
      </c>
      <c r="AV355" s="55" t="str">
        <f t="shared" ca="1" si="207"/>
        <v/>
      </c>
      <c r="AW355" s="55" t="str">
        <f t="shared" si="197"/>
        <v/>
      </c>
      <c r="AX355" s="55" t="str">
        <f t="shared" ca="1" si="198"/>
        <v/>
      </c>
      <c r="AY355" s="86"/>
      <c r="AZ355" s="86"/>
      <c r="BA355" s="55" t="str">
        <f t="shared" si="208"/>
        <v/>
      </c>
      <c r="BB355" s="86"/>
      <c r="BC355" s="86"/>
      <c r="BD355" s="55" t="str">
        <f t="shared" si="209"/>
        <v/>
      </c>
      <c r="BE355" s="74"/>
      <c r="BS355" s="118"/>
      <c r="BT355" s="118"/>
      <c r="BU355" s="118"/>
      <c r="BV355" s="118"/>
      <c r="BW355" s="118"/>
      <c r="BX355" s="118"/>
      <c r="BZ355" s="118"/>
      <c r="CB355" s="118"/>
      <c r="CC355" s="118"/>
      <c r="CD355" s="118"/>
    </row>
    <row r="356" spans="1:82" ht="17.399999999999999" customHeight="1">
      <c r="A356" s="72">
        <f t="shared" si="211"/>
        <v>50.3</v>
      </c>
      <c r="B356" s="111">
        <f t="shared" si="191"/>
        <v>346</v>
      </c>
      <c r="C356" s="60"/>
      <c r="D356" s="74"/>
      <c r="E356" s="75"/>
      <c r="F356" s="74"/>
      <c r="G356" s="54">
        <f t="shared" si="215"/>
        <v>0</v>
      </c>
      <c r="H356" s="55">
        <f t="shared" si="215"/>
        <v>0</v>
      </c>
      <c r="I356" s="76">
        <f t="shared" si="200"/>
        <v>0</v>
      </c>
      <c r="J356" s="58">
        <f t="shared" si="201"/>
        <v>0</v>
      </c>
      <c r="K356" s="58">
        <f t="shared" si="202"/>
        <v>0</v>
      </c>
      <c r="L356" s="58">
        <f t="shared" si="203"/>
        <v>0</v>
      </c>
      <c r="M356" s="58" t="str">
        <f t="shared" ca="1" si="204"/>
        <v/>
      </c>
      <c r="N356" s="58" t="str">
        <f t="shared" ca="1" si="204"/>
        <v/>
      </c>
      <c r="O356" s="58">
        <f t="shared" si="205"/>
        <v>5.0000000000000001E-4</v>
      </c>
      <c r="P356" s="77"/>
      <c r="Q356" s="60"/>
      <c r="R356" s="77"/>
      <c r="S356" s="78">
        <f t="shared" si="192"/>
        <v>0</v>
      </c>
      <c r="T356" s="55">
        <f t="shared" si="192"/>
        <v>0</v>
      </c>
      <c r="U356" s="79">
        <f t="shared" si="212"/>
        <v>0</v>
      </c>
      <c r="V356" s="63">
        <f t="shared" si="213"/>
        <v>0</v>
      </c>
      <c r="W356" s="64">
        <f t="shared" si="217"/>
        <v>144</v>
      </c>
      <c r="X356" s="80">
        <f t="shared" si="217"/>
        <v>163</v>
      </c>
      <c r="Y356" s="75"/>
      <c r="Z356" s="60"/>
      <c r="AA356" s="75"/>
      <c r="AB356" s="75"/>
      <c r="AC356" s="75"/>
      <c r="AD356" s="75"/>
      <c r="AE356" s="81">
        <f t="shared" si="193"/>
        <v>0</v>
      </c>
      <c r="AF356" s="55">
        <f t="shared" si="194"/>
        <v>0</v>
      </c>
      <c r="AG356" s="76">
        <f t="shared" si="188"/>
        <v>0</v>
      </c>
      <c r="AH356" s="82">
        <f t="shared" si="189"/>
        <v>0</v>
      </c>
      <c r="AI356" s="83">
        <f t="shared" si="189"/>
        <v>0</v>
      </c>
      <c r="AJ356" s="83">
        <f t="shared" si="189"/>
        <v>0</v>
      </c>
      <c r="AK356" s="58">
        <f t="shared" si="187"/>
        <v>0</v>
      </c>
      <c r="AL356" s="82">
        <f t="shared" si="195"/>
        <v>0</v>
      </c>
      <c r="AM356" s="58">
        <f t="shared" si="196"/>
        <v>0</v>
      </c>
      <c r="AN356" s="74"/>
      <c r="AO356" s="84"/>
      <c r="AP356" s="74"/>
      <c r="AQ356" s="85"/>
      <c r="AR356" s="74"/>
      <c r="AS356" s="74"/>
      <c r="AT356" s="74"/>
      <c r="AU356" s="55" t="str">
        <f t="shared" si="206"/>
        <v/>
      </c>
      <c r="AV356" s="55" t="str">
        <f t="shared" ca="1" si="207"/>
        <v/>
      </c>
      <c r="AW356" s="55" t="str">
        <f t="shared" si="197"/>
        <v/>
      </c>
      <c r="AX356" s="55" t="str">
        <f t="shared" ca="1" si="198"/>
        <v/>
      </c>
      <c r="AY356" s="86"/>
      <c r="AZ356" s="86"/>
      <c r="BA356" s="55" t="str">
        <f t="shared" si="208"/>
        <v/>
      </c>
      <c r="BB356" s="86"/>
      <c r="BC356" s="86"/>
      <c r="BD356" s="55" t="str">
        <f t="shared" si="209"/>
        <v/>
      </c>
      <c r="BE356" s="74"/>
      <c r="BS356" s="118"/>
      <c r="BT356" s="118"/>
      <c r="BU356" s="118"/>
      <c r="BV356" s="118"/>
      <c r="BW356" s="118"/>
      <c r="BX356" s="118"/>
      <c r="BZ356" s="118"/>
      <c r="CB356" s="118"/>
      <c r="CC356" s="118"/>
      <c r="CD356" s="118"/>
    </row>
    <row r="357" spans="1:82" ht="17.399999999999999" customHeight="1">
      <c r="A357" s="87">
        <f t="shared" si="211"/>
        <v>50.4</v>
      </c>
      <c r="B357" s="111">
        <f t="shared" si="191"/>
        <v>347</v>
      </c>
      <c r="C357" s="60"/>
      <c r="D357" s="74"/>
      <c r="E357" s="75"/>
      <c r="F357" s="74"/>
      <c r="G357" s="54">
        <f t="shared" si="215"/>
        <v>0</v>
      </c>
      <c r="H357" s="55">
        <f t="shared" si="215"/>
        <v>0</v>
      </c>
      <c r="I357" s="76">
        <f t="shared" si="200"/>
        <v>0</v>
      </c>
      <c r="J357" s="58">
        <f t="shared" si="201"/>
        <v>0</v>
      </c>
      <c r="K357" s="58">
        <f t="shared" si="202"/>
        <v>0</v>
      </c>
      <c r="L357" s="58">
        <f t="shared" si="203"/>
        <v>0</v>
      </c>
      <c r="M357" s="58" t="str">
        <f t="shared" ca="1" si="204"/>
        <v/>
      </c>
      <c r="N357" s="58" t="str">
        <f t="shared" ca="1" si="204"/>
        <v/>
      </c>
      <c r="O357" s="58">
        <f t="shared" si="205"/>
        <v>5.0000000000000001E-4</v>
      </c>
      <c r="P357" s="77"/>
      <c r="Q357" s="60"/>
      <c r="R357" s="77"/>
      <c r="S357" s="78">
        <f t="shared" si="192"/>
        <v>0</v>
      </c>
      <c r="T357" s="55">
        <f t="shared" si="192"/>
        <v>0</v>
      </c>
      <c r="U357" s="79">
        <f t="shared" si="212"/>
        <v>0</v>
      </c>
      <c r="V357" s="63">
        <f t="shared" si="213"/>
        <v>0</v>
      </c>
      <c r="W357" s="64">
        <f t="shared" si="217"/>
        <v>144</v>
      </c>
      <c r="X357" s="80">
        <f t="shared" si="217"/>
        <v>163</v>
      </c>
      <c r="Y357" s="75"/>
      <c r="Z357" s="60"/>
      <c r="AA357" s="75"/>
      <c r="AB357" s="75"/>
      <c r="AC357" s="75"/>
      <c r="AD357" s="75"/>
      <c r="AE357" s="81">
        <f t="shared" si="193"/>
        <v>0</v>
      </c>
      <c r="AF357" s="55">
        <f t="shared" si="194"/>
        <v>0</v>
      </c>
      <c r="AG357" s="76">
        <f t="shared" si="188"/>
        <v>0</v>
      </c>
      <c r="AH357" s="82">
        <f t="shared" si="189"/>
        <v>0</v>
      </c>
      <c r="AI357" s="83">
        <f t="shared" si="189"/>
        <v>0</v>
      </c>
      <c r="AJ357" s="83">
        <f t="shared" si="189"/>
        <v>0</v>
      </c>
      <c r="AK357" s="58">
        <f t="shared" si="187"/>
        <v>0</v>
      </c>
      <c r="AL357" s="82">
        <f t="shared" si="195"/>
        <v>0</v>
      </c>
      <c r="AM357" s="58">
        <f t="shared" si="196"/>
        <v>0</v>
      </c>
      <c r="AN357" s="74"/>
      <c r="AO357" s="84"/>
      <c r="AP357" s="74"/>
      <c r="AQ357" s="85"/>
      <c r="AR357" s="74"/>
      <c r="AS357" s="74"/>
      <c r="AT357" s="74"/>
      <c r="AU357" s="55" t="str">
        <f t="shared" si="206"/>
        <v/>
      </c>
      <c r="AV357" s="55" t="str">
        <f t="shared" ca="1" si="207"/>
        <v/>
      </c>
      <c r="AW357" s="55" t="str">
        <f t="shared" si="197"/>
        <v/>
      </c>
      <c r="AX357" s="55" t="str">
        <f t="shared" ca="1" si="198"/>
        <v/>
      </c>
      <c r="AY357" s="86"/>
      <c r="AZ357" s="86"/>
      <c r="BA357" s="55" t="str">
        <f t="shared" si="208"/>
        <v/>
      </c>
      <c r="BB357" s="86"/>
      <c r="BC357" s="86"/>
      <c r="BD357" s="55" t="str">
        <f t="shared" si="209"/>
        <v/>
      </c>
      <c r="BE357" s="74"/>
      <c r="BS357" s="118"/>
      <c r="BT357" s="118"/>
      <c r="BU357" s="118"/>
      <c r="BV357" s="118"/>
      <c r="BW357" s="118"/>
      <c r="BX357" s="118"/>
      <c r="BZ357" s="118"/>
      <c r="CB357" s="118"/>
      <c r="CC357" s="118"/>
      <c r="CD357" s="118"/>
    </row>
    <row r="358" spans="1:82" ht="17.399999999999999" customHeight="1">
      <c r="A358" s="72">
        <f t="shared" si="211"/>
        <v>50.5</v>
      </c>
      <c r="B358" s="111">
        <f t="shared" si="191"/>
        <v>348</v>
      </c>
      <c r="C358" s="60"/>
      <c r="D358" s="74"/>
      <c r="E358" s="75"/>
      <c r="F358" s="74"/>
      <c r="G358" s="54">
        <f t="shared" si="215"/>
        <v>0</v>
      </c>
      <c r="H358" s="55">
        <f t="shared" si="215"/>
        <v>0</v>
      </c>
      <c r="I358" s="76">
        <f t="shared" si="200"/>
        <v>0</v>
      </c>
      <c r="J358" s="58">
        <f t="shared" si="201"/>
        <v>0</v>
      </c>
      <c r="K358" s="58">
        <f t="shared" si="202"/>
        <v>0</v>
      </c>
      <c r="L358" s="58">
        <f t="shared" si="203"/>
        <v>0</v>
      </c>
      <c r="M358" s="58" t="str">
        <f t="shared" ca="1" si="204"/>
        <v/>
      </c>
      <c r="N358" s="58" t="str">
        <f t="shared" ca="1" si="204"/>
        <v/>
      </c>
      <c r="O358" s="58">
        <f t="shared" si="205"/>
        <v>5.0000000000000001E-4</v>
      </c>
      <c r="P358" s="77"/>
      <c r="Q358" s="60"/>
      <c r="R358" s="77"/>
      <c r="S358" s="78">
        <f t="shared" si="192"/>
        <v>0</v>
      </c>
      <c r="T358" s="55">
        <f t="shared" si="192"/>
        <v>0</v>
      </c>
      <c r="U358" s="79">
        <f t="shared" si="212"/>
        <v>0</v>
      </c>
      <c r="V358" s="63">
        <f t="shared" si="213"/>
        <v>0</v>
      </c>
      <c r="W358" s="64">
        <f t="shared" si="217"/>
        <v>144</v>
      </c>
      <c r="X358" s="80">
        <f t="shared" si="217"/>
        <v>163</v>
      </c>
      <c r="Y358" s="75"/>
      <c r="Z358" s="60"/>
      <c r="AA358" s="75"/>
      <c r="AB358" s="75"/>
      <c r="AC358" s="75"/>
      <c r="AD358" s="75"/>
      <c r="AE358" s="81">
        <f t="shared" si="193"/>
        <v>0</v>
      </c>
      <c r="AF358" s="55">
        <f t="shared" si="194"/>
        <v>0</v>
      </c>
      <c r="AG358" s="76">
        <f t="shared" si="188"/>
        <v>0</v>
      </c>
      <c r="AH358" s="82">
        <f t="shared" si="189"/>
        <v>0</v>
      </c>
      <c r="AI358" s="83">
        <f t="shared" si="189"/>
        <v>0</v>
      </c>
      <c r="AJ358" s="83">
        <f t="shared" si="189"/>
        <v>0</v>
      </c>
      <c r="AK358" s="58">
        <f t="shared" si="187"/>
        <v>0</v>
      </c>
      <c r="AL358" s="82">
        <f t="shared" si="195"/>
        <v>0</v>
      </c>
      <c r="AM358" s="58">
        <f t="shared" si="196"/>
        <v>0</v>
      </c>
      <c r="AN358" s="74"/>
      <c r="AO358" s="84"/>
      <c r="AP358" s="74"/>
      <c r="AQ358" s="85"/>
      <c r="AR358" s="74"/>
      <c r="AS358" s="74"/>
      <c r="AT358" s="74"/>
      <c r="AU358" s="55" t="str">
        <f t="shared" si="206"/>
        <v/>
      </c>
      <c r="AV358" s="55" t="str">
        <f t="shared" ca="1" si="207"/>
        <v/>
      </c>
      <c r="AW358" s="55" t="str">
        <f t="shared" si="197"/>
        <v/>
      </c>
      <c r="AX358" s="55" t="str">
        <f t="shared" ca="1" si="198"/>
        <v/>
      </c>
      <c r="AY358" s="86"/>
      <c r="AZ358" s="86"/>
      <c r="BA358" s="55" t="str">
        <f t="shared" si="208"/>
        <v/>
      </c>
      <c r="BB358" s="86"/>
      <c r="BC358" s="86"/>
      <c r="BD358" s="55" t="str">
        <f t="shared" si="209"/>
        <v/>
      </c>
      <c r="BE358" s="74"/>
      <c r="BS358" s="118"/>
      <c r="BT358" s="118"/>
      <c r="BU358" s="118"/>
      <c r="BV358" s="118"/>
      <c r="BW358" s="118"/>
      <c r="BX358" s="118"/>
      <c r="BZ358" s="118"/>
      <c r="CB358" s="118"/>
      <c r="CC358" s="118"/>
      <c r="CD358" s="118"/>
    </row>
    <row r="359" spans="1:82" ht="17.399999999999999" customHeight="1">
      <c r="A359" s="87">
        <f t="shared" si="211"/>
        <v>50.6</v>
      </c>
      <c r="B359" s="111">
        <f t="shared" si="191"/>
        <v>349</v>
      </c>
      <c r="C359" s="60"/>
      <c r="D359" s="74"/>
      <c r="E359" s="75"/>
      <c r="F359" s="74"/>
      <c r="G359" s="54">
        <f t="shared" si="215"/>
        <v>0</v>
      </c>
      <c r="H359" s="55">
        <f t="shared" si="215"/>
        <v>0</v>
      </c>
      <c r="I359" s="76">
        <f t="shared" si="200"/>
        <v>0</v>
      </c>
      <c r="J359" s="58">
        <f t="shared" si="201"/>
        <v>0</v>
      </c>
      <c r="K359" s="58">
        <f t="shared" si="202"/>
        <v>0</v>
      </c>
      <c r="L359" s="58">
        <f t="shared" si="203"/>
        <v>0</v>
      </c>
      <c r="M359" s="58" t="str">
        <f t="shared" ca="1" si="204"/>
        <v/>
      </c>
      <c r="N359" s="58" t="str">
        <f t="shared" ca="1" si="204"/>
        <v/>
      </c>
      <c r="O359" s="58">
        <f t="shared" si="205"/>
        <v>5.0000000000000001E-4</v>
      </c>
      <c r="P359" s="77"/>
      <c r="Q359" s="60"/>
      <c r="R359" s="77"/>
      <c r="S359" s="78">
        <f t="shared" si="192"/>
        <v>0</v>
      </c>
      <c r="T359" s="55">
        <f t="shared" si="192"/>
        <v>0</v>
      </c>
      <c r="U359" s="79">
        <f t="shared" si="212"/>
        <v>0</v>
      </c>
      <c r="V359" s="63">
        <f t="shared" si="213"/>
        <v>0</v>
      </c>
      <c r="W359" s="64">
        <f t="shared" si="217"/>
        <v>144</v>
      </c>
      <c r="X359" s="80">
        <f t="shared" si="217"/>
        <v>163</v>
      </c>
      <c r="Y359" s="75"/>
      <c r="Z359" s="60"/>
      <c r="AA359" s="75"/>
      <c r="AB359" s="75"/>
      <c r="AC359" s="75"/>
      <c r="AD359" s="75"/>
      <c r="AE359" s="81">
        <f t="shared" si="193"/>
        <v>0</v>
      </c>
      <c r="AF359" s="55">
        <f t="shared" si="194"/>
        <v>0</v>
      </c>
      <c r="AG359" s="76">
        <f t="shared" si="188"/>
        <v>0</v>
      </c>
      <c r="AH359" s="82">
        <f t="shared" si="189"/>
        <v>0</v>
      </c>
      <c r="AI359" s="83">
        <f t="shared" si="189"/>
        <v>0</v>
      </c>
      <c r="AJ359" s="83">
        <f t="shared" si="189"/>
        <v>0</v>
      </c>
      <c r="AK359" s="58">
        <f t="shared" si="187"/>
        <v>0</v>
      </c>
      <c r="AL359" s="82">
        <f t="shared" si="195"/>
        <v>0</v>
      </c>
      <c r="AM359" s="58">
        <f t="shared" si="196"/>
        <v>0</v>
      </c>
      <c r="AN359" s="74"/>
      <c r="AO359" s="84"/>
      <c r="AP359" s="74"/>
      <c r="AQ359" s="85"/>
      <c r="AR359" s="74"/>
      <c r="AS359" s="74"/>
      <c r="AT359" s="74"/>
      <c r="AU359" s="55" t="str">
        <f t="shared" si="206"/>
        <v/>
      </c>
      <c r="AV359" s="55" t="str">
        <f t="shared" ca="1" si="207"/>
        <v/>
      </c>
      <c r="AW359" s="55" t="str">
        <f t="shared" si="197"/>
        <v/>
      </c>
      <c r="AX359" s="55" t="str">
        <f t="shared" ca="1" si="198"/>
        <v/>
      </c>
      <c r="AY359" s="86"/>
      <c r="AZ359" s="86"/>
      <c r="BA359" s="55" t="str">
        <f t="shared" si="208"/>
        <v/>
      </c>
      <c r="BB359" s="86"/>
      <c r="BC359" s="86"/>
      <c r="BD359" s="55" t="str">
        <f t="shared" si="209"/>
        <v/>
      </c>
      <c r="BE359" s="74"/>
      <c r="BS359" s="118"/>
      <c r="BT359" s="118"/>
      <c r="BU359" s="118"/>
      <c r="BV359" s="118"/>
      <c r="BW359" s="118"/>
      <c r="BX359" s="118"/>
      <c r="BZ359" s="118"/>
      <c r="CB359" s="118"/>
      <c r="CC359" s="118"/>
      <c r="CD359" s="118"/>
    </row>
    <row r="360" spans="1:82" ht="17.399999999999999" customHeight="1" thickBot="1">
      <c r="A360" s="72">
        <f t="shared" si="211"/>
        <v>50.7</v>
      </c>
      <c r="B360" s="113">
        <f t="shared" si="191"/>
        <v>350</v>
      </c>
      <c r="C360" s="89"/>
      <c r="D360" s="90"/>
      <c r="E360" s="91"/>
      <c r="F360" s="90"/>
      <c r="G360" s="92">
        <f t="shared" si="215"/>
        <v>0</v>
      </c>
      <c r="H360" s="93">
        <f t="shared" si="215"/>
        <v>0</v>
      </c>
      <c r="I360" s="94">
        <f t="shared" si="200"/>
        <v>0</v>
      </c>
      <c r="J360" s="95">
        <f t="shared" si="201"/>
        <v>0</v>
      </c>
      <c r="K360" s="95">
        <f t="shared" si="202"/>
        <v>0</v>
      </c>
      <c r="L360" s="95">
        <f t="shared" si="203"/>
        <v>0</v>
      </c>
      <c r="M360" s="95" t="str">
        <f t="shared" ca="1" si="204"/>
        <v/>
      </c>
      <c r="N360" s="95" t="str">
        <f t="shared" ca="1" si="204"/>
        <v/>
      </c>
      <c r="O360" s="95">
        <f t="shared" si="205"/>
        <v>5.0000000000000001E-4</v>
      </c>
      <c r="P360" s="96"/>
      <c r="Q360" s="89"/>
      <c r="R360" s="96"/>
      <c r="S360" s="78">
        <f t="shared" si="192"/>
        <v>0</v>
      </c>
      <c r="T360" s="55">
        <f t="shared" si="192"/>
        <v>0</v>
      </c>
      <c r="U360" s="97">
        <f t="shared" si="212"/>
        <v>0</v>
      </c>
      <c r="V360" s="98">
        <f t="shared" si="213"/>
        <v>0</v>
      </c>
      <c r="W360" s="99">
        <f t="shared" si="217"/>
        <v>144</v>
      </c>
      <c r="X360" s="100">
        <f t="shared" si="217"/>
        <v>163</v>
      </c>
      <c r="Y360" s="91"/>
      <c r="Z360" s="60"/>
      <c r="AA360" s="75"/>
      <c r="AB360" s="75"/>
      <c r="AC360" s="75"/>
      <c r="AD360" s="75"/>
      <c r="AE360" s="101">
        <f t="shared" si="193"/>
        <v>0</v>
      </c>
      <c r="AF360" s="93">
        <f t="shared" si="194"/>
        <v>0</v>
      </c>
      <c r="AG360" s="94">
        <f t="shared" si="188"/>
        <v>0</v>
      </c>
      <c r="AH360" s="102">
        <f t="shared" si="189"/>
        <v>0</v>
      </c>
      <c r="AI360" s="103">
        <f t="shared" si="189"/>
        <v>0</v>
      </c>
      <c r="AJ360" s="103">
        <f t="shared" si="189"/>
        <v>0</v>
      </c>
      <c r="AK360" s="95">
        <f t="shared" si="187"/>
        <v>0</v>
      </c>
      <c r="AL360" s="102">
        <f t="shared" si="195"/>
        <v>0</v>
      </c>
      <c r="AM360" s="95">
        <f t="shared" si="196"/>
        <v>0</v>
      </c>
      <c r="AN360" s="90"/>
      <c r="AO360" s="104"/>
      <c r="AP360" s="90"/>
      <c r="AQ360" s="105"/>
      <c r="AR360" s="90"/>
      <c r="AS360" s="90"/>
      <c r="AT360" s="90"/>
      <c r="AU360" s="93" t="str">
        <f t="shared" si="206"/>
        <v/>
      </c>
      <c r="AV360" s="93" t="str">
        <f t="shared" ca="1" si="207"/>
        <v/>
      </c>
      <c r="AW360" s="93" t="str">
        <f t="shared" si="197"/>
        <v/>
      </c>
      <c r="AX360" s="93" t="str">
        <f t="shared" ca="1" si="198"/>
        <v/>
      </c>
      <c r="AY360" s="106"/>
      <c r="AZ360" s="106"/>
      <c r="BA360" s="93" t="str">
        <f t="shared" si="208"/>
        <v/>
      </c>
      <c r="BB360" s="106"/>
      <c r="BC360" s="106"/>
      <c r="BD360" s="93" t="str">
        <f t="shared" si="209"/>
        <v/>
      </c>
      <c r="BE360" s="90"/>
      <c r="BS360" s="118"/>
      <c r="BT360" s="118"/>
      <c r="BU360" s="118"/>
      <c r="BV360" s="118"/>
      <c r="BW360" s="118"/>
      <c r="BX360" s="118"/>
      <c r="BZ360" s="118"/>
      <c r="CB360" s="118"/>
      <c r="CC360" s="118"/>
      <c r="CD360" s="118"/>
    </row>
    <row r="361" spans="1:82" ht="17.399999999999999" customHeight="1" thickTop="1">
      <c r="A361" s="49">
        <f>A354+1</f>
        <v>51.1</v>
      </c>
      <c r="B361" s="108">
        <f>B360+1</f>
        <v>351</v>
      </c>
      <c r="C361" s="51"/>
      <c r="D361" s="52"/>
      <c r="E361" s="53"/>
      <c r="F361" s="52"/>
      <c r="G361" s="54">
        <f t="shared" si="215"/>
        <v>0</v>
      </c>
      <c r="H361" s="55">
        <f t="shared" si="215"/>
        <v>0</v>
      </c>
      <c r="I361" s="56">
        <f t="shared" si="200"/>
        <v>0</v>
      </c>
      <c r="J361" s="57">
        <f t="shared" si="201"/>
        <v>0</v>
      </c>
      <c r="K361" s="57">
        <f t="shared" si="202"/>
        <v>0</v>
      </c>
      <c r="L361" s="57">
        <f t="shared" si="203"/>
        <v>0</v>
      </c>
      <c r="M361" s="58" t="str">
        <f t="shared" ca="1" si="204"/>
        <v/>
      </c>
      <c r="N361" s="58" t="str">
        <f t="shared" ca="1" si="204"/>
        <v/>
      </c>
      <c r="O361" s="58">
        <f t="shared" si="205"/>
        <v>5.0000000000000001E-4</v>
      </c>
      <c r="P361" s="77"/>
      <c r="Q361" s="60"/>
      <c r="R361" s="77"/>
      <c r="S361" s="109">
        <f t="shared" si="192"/>
        <v>0</v>
      </c>
      <c r="T361" s="61">
        <f t="shared" si="192"/>
        <v>0</v>
      </c>
      <c r="U361" s="62">
        <f t="shared" si="212"/>
        <v>0</v>
      </c>
      <c r="V361" s="63">
        <f t="shared" si="213"/>
        <v>0</v>
      </c>
      <c r="W361" s="64">
        <v>145</v>
      </c>
      <c r="X361" s="80">
        <f t="shared" si="217"/>
        <v>163</v>
      </c>
      <c r="Y361" s="53"/>
      <c r="Z361" s="51"/>
      <c r="AA361" s="53"/>
      <c r="AB361" s="53"/>
      <c r="AC361" s="53"/>
      <c r="AD361" s="53"/>
      <c r="AE361" s="66">
        <f t="shared" si="193"/>
        <v>0</v>
      </c>
      <c r="AF361" s="61">
        <f t="shared" si="194"/>
        <v>0</v>
      </c>
      <c r="AG361" s="56">
        <f t="shared" si="188"/>
        <v>0</v>
      </c>
      <c r="AH361" s="67">
        <f t="shared" si="189"/>
        <v>0</v>
      </c>
      <c r="AI361" s="68">
        <f t="shared" si="189"/>
        <v>0</v>
      </c>
      <c r="AJ361" s="68">
        <f t="shared" si="189"/>
        <v>0</v>
      </c>
      <c r="AK361" s="57">
        <f t="shared" si="187"/>
        <v>0</v>
      </c>
      <c r="AL361" s="67">
        <f t="shared" si="195"/>
        <v>0</v>
      </c>
      <c r="AM361" s="57">
        <f t="shared" si="196"/>
        <v>0</v>
      </c>
      <c r="AN361" s="52"/>
      <c r="AO361" s="69"/>
      <c r="AP361" s="52"/>
      <c r="AQ361" s="70"/>
      <c r="AR361" s="52"/>
      <c r="AS361" s="52"/>
      <c r="AT361" s="52"/>
      <c r="AU361" s="61" t="str">
        <f t="shared" si="206"/>
        <v/>
      </c>
      <c r="AV361" s="61" t="str">
        <f t="shared" ca="1" si="207"/>
        <v/>
      </c>
      <c r="AW361" s="61" t="str">
        <f t="shared" si="197"/>
        <v/>
      </c>
      <c r="AX361" s="61" t="str">
        <f t="shared" ca="1" si="198"/>
        <v/>
      </c>
      <c r="AY361" s="71"/>
      <c r="AZ361" s="71"/>
      <c r="BA361" s="61" t="str">
        <f t="shared" si="208"/>
        <v/>
      </c>
      <c r="BB361" s="71"/>
      <c r="BC361" s="71"/>
      <c r="BD361" s="61" t="str">
        <f t="shared" si="209"/>
        <v/>
      </c>
      <c r="BE361" s="52"/>
      <c r="BS361" s="118"/>
      <c r="BT361" s="118"/>
      <c r="BU361" s="118"/>
      <c r="BV361" s="118"/>
      <c r="BW361" s="118"/>
      <c r="BX361" s="118"/>
      <c r="BZ361" s="118"/>
      <c r="CB361" s="118"/>
      <c r="CC361" s="118"/>
      <c r="CD361" s="118"/>
    </row>
    <row r="362" spans="1:82" ht="17.399999999999999" customHeight="1">
      <c r="A362" s="72">
        <f t="shared" si="211"/>
        <v>51.2</v>
      </c>
      <c r="B362" s="111">
        <f t="shared" si="191"/>
        <v>352</v>
      </c>
      <c r="C362" s="60"/>
      <c r="D362" s="74"/>
      <c r="E362" s="75"/>
      <c r="F362" s="74"/>
      <c r="G362" s="54">
        <f t="shared" si="215"/>
        <v>0</v>
      </c>
      <c r="H362" s="55">
        <f t="shared" si="215"/>
        <v>0</v>
      </c>
      <c r="I362" s="76">
        <f t="shared" si="200"/>
        <v>0</v>
      </c>
      <c r="J362" s="58">
        <f t="shared" si="201"/>
        <v>0</v>
      </c>
      <c r="K362" s="58">
        <f t="shared" si="202"/>
        <v>0</v>
      </c>
      <c r="L362" s="58">
        <f t="shared" si="203"/>
        <v>0</v>
      </c>
      <c r="M362" s="58" t="str">
        <f t="shared" ca="1" si="204"/>
        <v/>
      </c>
      <c r="N362" s="58" t="str">
        <f t="shared" ca="1" si="204"/>
        <v/>
      </c>
      <c r="O362" s="58">
        <f t="shared" si="205"/>
        <v>5.0000000000000001E-4</v>
      </c>
      <c r="P362" s="77"/>
      <c r="Q362" s="60"/>
      <c r="R362" s="77"/>
      <c r="S362" s="78">
        <f t="shared" si="192"/>
        <v>0</v>
      </c>
      <c r="T362" s="55">
        <f t="shared" si="192"/>
        <v>0</v>
      </c>
      <c r="U362" s="79">
        <f t="shared" si="212"/>
        <v>0</v>
      </c>
      <c r="V362" s="63">
        <f t="shared" si="213"/>
        <v>0</v>
      </c>
      <c r="W362" s="64">
        <f t="shared" ref="W362:X377" si="218">W361</f>
        <v>145</v>
      </c>
      <c r="X362" s="80">
        <f t="shared" si="217"/>
        <v>163</v>
      </c>
      <c r="Y362" s="75"/>
      <c r="Z362" s="60"/>
      <c r="AA362" s="75"/>
      <c r="AB362" s="75"/>
      <c r="AC362" s="75"/>
      <c r="AD362" s="75"/>
      <c r="AE362" s="81">
        <f t="shared" si="193"/>
        <v>0</v>
      </c>
      <c r="AF362" s="55">
        <f t="shared" si="194"/>
        <v>0</v>
      </c>
      <c r="AG362" s="76">
        <f t="shared" si="188"/>
        <v>0</v>
      </c>
      <c r="AH362" s="82">
        <f t="shared" si="189"/>
        <v>0</v>
      </c>
      <c r="AI362" s="83">
        <f t="shared" si="189"/>
        <v>0</v>
      </c>
      <c r="AJ362" s="83">
        <f t="shared" si="189"/>
        <v>0</v>
      </c>
      <c r="AK362" s="58">
        <f t="shared" si="187"/>
        <v>0</v>
      </c>
      <c r="AL362" s="82">
        <f t="shared" si="195"/>
        <v>0</v>
      </c>
      <c r="AM362" s="58">
        <f t="shared" si="196"/>
        <v>0</v>
      </c>
      <c r="AN362" s="74"/>
      <c r="AO362" s="84"/>
      <c r="AP362" s="74"/>
      <c r="AQ362" s="85"/>
      <c r="AR362" s="74"/>
      <c r="AS362" s="74"/>
      <c r="AT362" s="74"/>
      <c r="AU362" s="55" t="str">
        <f t="shared" si="206"/>
        <v/>
      </c>
      <c r="AV362" s="55" t="str">
        <f t="shared" ca="1" si="207"/>
        <v/>
      </c>
      <c r="AW362" s="55" t="str">
        <f t="shared" si="197"/>
        <v/>
      </c>
      <c r="AX362" s="55" t="str">
        <f t="shared" ca="1" si="198"/>
        <v/>
      </c>
      <c r="AY362" s="86"/>
      <c r="AZ362" s="86"/>
      <c r="BA362" s="55" t="str">
        <f t="shared" si="208"/>
        <v/>
      </c>
      <c r="BB362" s="86"/>
      <c r="BC362" s="86"/>
      <c r="BD362" s="55" t="str">
        <f t="shared" si="209"/>
        <v/>
      </c>
      <c r="BE362" s="74"/>
      <c r="BS362" s="118"/>
      <c r="BT362" s="118"/>
      <c r="BU362" s="118"/>
      <c r="BV362" s="118"/>
      <c r="BW362" s="118"/>
      <c r="BX362" s="118"/>
      <c r="BZ362" s="118"/>
      <c r="CB362" s="118"/>
      <c r="CC362" s="118"/>
      <c r="CD362" s="118"/>
    </row>
    <row r="363" spans="1:82" ht="17.399999999999999" customHeight="1">
      <c r="A363" s="87">
        <f t="shared" si="211"/>
        <v>51.3</v>
      </c>
      <c r="B363" s="111">
        <f t="shared" si="191"/>
        <v>353</v>
      </c>
      <c r="C363" s="60"/>
      <c r="D363" s="74"/>
      <c r="E363" s="75"/>
      <c r="F363" s="74"/>
      <c r="G363" s="54">
        <f t="shared" si="215"/>
        <v>0</v>
      </c>
      <c r="H363" s="55">
        <f t="shared" si="215"/>
        <v>0</v>
      </c>
      <c r="I363" s="76">
        <f t="shared" si="200"/>
        <v>0</v>
      </c>
      <c r="J363" s="58">
        <f t="shared" si="201"/>
        <v>0</v>
      </c>
      <c r="K363" s="58">
        <f t="shared" si="202"/>
        <v>0</v>
      </c>
      <c r="L363" s="58">
        <f t="shared" si="203"/>
        <v>0</v>
      </c>
      <c r="M363" s="58" t="str">
        <f t="shared" ca="1" si="204"/>
        <v/>
      </c>
      <c r="N363" s="58" t="str">
        <f t="shared" ca="1" si="204"/>
        <v/>
      </c>
      <c r="O363" s="58">
        <f t="shared" si="205"/>
        <v>5.0000000000000001E-4</v>
      </c>
      <c r="P363" s="77"/>
      <c r="Q363" s="60"/>
      <c r="R363" s="77"/>
      <c r="S363" s="78">
        <f t="shared" si="192"/>
        <v>0</v>
      </c>
      <c r="T363" s="55">
        <f t="shared" si="192"/>
        <v>0</v>
      </c>
      <c r="U363" s="79">
        <f t="shared" si="212"/>
        <v>0</v>
      </c>
      <c r="V363" s="63">
        <f t="shared" si="213"/>
        <v>0</v>
      </c>
      <c r="W363" s="64">
        <f t="shared" si="218"/>
        <v>145</v>
      </c>
      <c r="X363" s="80">
        <f t="shared" si="217"/>
        <v>163</v>
      </c>
      <c r="Y363" s="75"/>
      <c r="Z363" s="60"/>
      <c r="AA363" s="75"/>
      <c r="AB363" s="75"/>
      <c r="AC363" s="75"/>
      <c r="AD363" s="75"/>
      <c r="AE363" s="81">
        <f t="shared" si="193"/>
        <v>0</v>
      </c>
      <c r="AF363" s="55">
        <f t="shared" si="194"/>
        <v>0</v>
      </c>
      <c r="AG363" s="76">
        <f t="shared" si="188"/>
        <v>0</v>
      </c>
      <c r="AH363" s="82">
        <f t="shared" si="189"/>
        <v>0</v>
      </c>
      <c r="AI363" s="83">
        <f t="shared" si="189"/>
        <v>0</v>
      </c>
      <c r="AJ363" s="83">
        <f t="shared" si="189"/>
        <v>0</v>
      </c>
      <c r="AK363" s="58">
        <f t="shared" si="187"/>
        <v>0</v>
      </c>
      <c r="AL363" s="82">
        <f t="shared" si="195"/>
        <v>0</v>
      </c>
      <c r="AM363" s="58">
        <f t="shared" si="196"/>
        <v>0</v>
      </c>
      <c r="AN363" s="74"/>
      <c r="AO363" s="84"/>
      <c r="AP363" s="74"/>
      <c r="AQ363" s="85"/>
      <c r="AR363" s="74"/>
      <c r="AS363" s="74"/>
      <c r="AT363" s="74"/>
      <c r="AU363" s="55" t="str">
        <f t="shared" si="206"/>
        <v/>
      </c>
      <c r="AV363" s="55" t="str">
        <f t="shared" ca="1" si="207"/>
        <v/>
      </c>
      <c r="AW363" s="55" t="str">
        <f t="shared" si="197"/>
        <v/>
      </c>
      <c r="AX363" s="55" t="str">
        <f t="shared" ca="1" si="198"/>
        <v/>
      </c>
      <c r="AY363" s="86"/>
      <c r="AZ363" s="86"/>
      <c r="BA363" s="55" t="str">
        <f t="shared" si="208"/>
        <v/>
      </c>
      <c r="BB363" s="86"/>
      <c r="BC363" s="86"/>
      <c r="BD363" s="55" t="str">
        <f t="shared" si="209"/>
        <v/>
      </c>
      <c r="BE363" s="74"/>
      <c r="BS363" s="118"/>
      <c r="BT363" s="118"/>
      <c r="BU363" s="118"/>
      <c r="BV363" s="118"/>
      <c r="BW363" s="118"/>
      <c r="BX363" s="118"/>
      <c r="BZ363" s="118"/>
      <c r="CB363" s="118"/>
      <c r="CC363" s="118"/>
      <c r="CD363" s="118"/>
    </row>
    <row r="364" spans="1:82" ht="17.399999999999999" customHeight="1">
      <c r="A364" s="72">
        <f t="shared" si="211"/>
        <v>51.4</v>
      </c>
      <c r="B364" s="111">
        <f t="shared" si="191"/>
        <v>354</v>
      </c>
      <c r="C364" s="60"/>
      <c r="D364" s="74"/>
      <c r="E364" s="75"/>
      <c r="F364" s="74"/>
      <c r="G364" s="54">
        <f t="shared" ref="G364:H379" si="219">G363-E364-C364</f>
        <v>0</v>
      </c>
      <c r="H364" s="55">
        <f t="shared" si="219"/>
        <v>0</v>
      </c>
      <c r="I364" s="76">
        <f t="shared" si="200"/>
        <v>0</v>
      </c>
      <c r="J364" s="58">
        <f t="shared" si="201"/>
        <v>0</v>
      </c>
      <c r="K364" s="58">
        <f t="shared" si="202"/>
        <v>0</v>
      </c>
      <c r="L364" s="58">
        <f t="shared" si="203"/>
        <v>0</v>
      </c>
      <c r="M364" s="58" t="str">
        <f t="shared" ca="1" si="204"/>
        <v/>
      </c>
      <c r="N364" s="58" t="str">
        <f t="shared" ca="1" si="204"/>
        <v/>
      </c>
      <c r="O364" s="58">
        <f t="shared" si="205"/>
        <v>5.0000000000000001E-4</v>
      </c>
      <c r="P364" s="77"/>
      <c r="Q364" s="60"/>
      <c r="R364" s="77"/>
      <c r="S364" s="78">
        <f t="shared" si="192"/>
        <v>0</v>
      </c>
      <c r="T364" s="55">
        <f t="shared" si="192"/>
        <v>0</v>
      </c>
      <c r="U364" s="79">
        <f t="shared" si="212"/>
        <v>0</v>
      </c>
      <c r="V364" s="63">
        <f t="shared" si="213"/>
        <v>0</v>
      </c>
      <c r="W364" s="64">
        <f t="shared" si="218"/>
        <v>145</v>
      </c>
      <c r="X364" s="80">
        <f t="shared" si="217"/>
        <v>163</v>
      </c>
      <c r="Y364" s="75"/>
      <c r="Z364" s="60"/>
      <c r="AA364" s="75"/>
      <c r="AB364" s="75"/>
      <c r="AC364" s="75"/>
      <c r="AD364" s="75"/>
      <c r="AE364" s="81">
        <f t="shared" si="193"/>
        <v>0</v>
      </c>
      <c r="AF364" s="55">
        <f t="shared" si="194"/>
        <v>0</v>
      </c>
      <c r="AG364" s="76">
        <f t="shared" si="188"/>
        <v>0</v>
      </c>
      <c r="AH364" s="82">
        <f t="shared" si="189"/>
        <v>0</v>
      </c>
      <c r="AI364" s="83">
        <f t="shared" si="189"/>
        <v>0</v>
      </c>
      <c r="AJ364" s="83">
        <f t="shared" si="189"/>
        <v>0</v>
      </c>
      <c r="AK364" s="58">
        <f t="shared" si="187"/>
        <v>0</v>
      </c>
      <c r="AL364" s="82">
        <f t="shared" si="195"/>
        <v>0</v>
      </c>
      <c r="AM364" s="58">
        <f t="shared" si="196"/>
        <v>0</v>
      </c>
      <c r="AN364" s="74"/>
      <c r="AO364" s="84"/>
      <c r="AP364" s="74"/>
      <c r="AQ364" s="85"/>
      <c r="AR364" s="74"/>
      <c r="AS364" s="74"/>
      <c r="AT364" s="74"/>
      <c r="AU364" s="55" t="str">
        <f t="shared" si="206"/>
        <v/>
      </c>
      <c r="AV364" s="55" t="str">
        <f t="shared" ca="1" si="207"/>
        <v/>
      </c>
      <c r="AW364" s="55" t="str">
        <f t="shared" si="197"/>
        <v/>
      </c>
      <c r="AX364" s="55" t="str">
        <f t="shared" ca="1" si="198"/>
        <v/>
      </c>
      <c r="AY364" s="86"/>
      <c r="AZ364" s="86"/>
      <c r="BA364" s="55" t="str">
        <f t="shared" si="208"/>
        <v/>
      </c>
      <c r="BB364" s="86"/>
      <c r="BC364" s="86"/>
      <c r="BD364" s="55" t="str">
        <f t="shared" si="209"/>
        <v/>
      </c>
      <c r="BE364" s="74"/>
      <c r="BS364" s="118"/>
      <c r="BT364" s="118"/>
      <c r="BU364" s="118"/>
      <c r="BV364" s="118"/>
      <c r="BW364" s="118"/>
      <c r="BX364" s="118"/>
      <c r="BZ364" s="118"/>
      <c r="CB364" s="118"/>
      <c r="CC364" s="118"/>
      <c r="CD364" s="118"/>
    </row>
    <row r="365" spans="1:82" ht="17.399999999999999" customHeight="1">
      <c r="A365" s="87">
        <f t="shared" si="211"/>
        <v>51.5</v>
      </c>
      <c r="B365" s="111">
        <f t="shared" si="191"/>
        <v>355</v>
      </c>
      <c r="C365" s="60"/>
      <c r="D365" s="74"/>
      <c r="E365" s="75"/>
      <c r="F365" s="74"/>
      <c r="G365" s="54">
        <f t="shared" si="219"/>
        <v>0</v>
      </c>
      <c r="H365" s="55">
        <f t="shared" si="219"/>
        <v>0</v>
      </c>
      <c r="I365" s="76">
        <f t="shared" si="200"/>
        <v>0</v>
      </c>
      <c r="J365" s="58">
        <f t="shared" si="201"/>
        <v>0</v>
      </c>
      <c r="K365" s="58">
        <f t="shared" si="202"/>
        <v>0</v>
      </c>
      <c r="L365" s="58">
        <f t="shared" si="203"/>
        <v>0</v>
      </c>
      <c r="M365" s="58" t="str">
        <f t="shared" ca="1" si="204"/>
        <v/>
      </c>
      <c r="N365" s="58" t="str">
        <f t="shared" ca="1" si="204"/>
        <v/>
      </c>
      <c r="O365" s="58">
        <f t="shared" si="205"/>
        <v>5.0000000000000001E-4</v>
      </c>
      <c r="P365" s="77"/>
      <c r="Q365" s="60"/>
      <c r="R365" s="77"/>
      <c r="S365" s="78">
        <f t="shared" si="192"/>
        <v>0</v>
      </c>
      <c r="T365" s="55">
        <f t="shared" si="192"/>
        <v>0</v>
      </c>
      <c r="U365" s="79">
        <f t="shared" si="212"/>
        <v>0</v>
      </c>
      <c r="V365" s="63">
        <f t="shared" si="213"/>
        <v>0</v>
      </c>
      <c r="W365" s="64">
        <f t="shared" si="218"/>
        <v>145</v>
      </c>
      <c r="X365" s="80">
        <f t="shared" si="217"/>
        <v>163</v>
      </c>
      <c r="Y365" s="75"/>
      <c r="Z365" s="60"/>
      <c r="AA365" s="75"/>
      <c r="AB365" s="75"/>
      <c r="AC365" s="75"/>
      <c r="AD365" s="75"/>
      <c r="AE365" s="81">
        <f t="shared" si="193"/>
        <v>0</v>
      </c>
      <c r="AF365" s="55">
        <f t="shared" si="194"/>
        <v>0</v>
      </c>
      <c r="AG365" s="76">
        <f t="shared" si="188"/>
        <v>0</v>
      </c>
      <c r="AH365" s="82">
        <f t="shared" si="189"/>
        <v>0</v>
      </c>
      <c r="AI365" s="83">
        <f t="shared" si="189"/>
        <v>0</v>
      </c>
      <c r="AJ365" s="83">
        <f t="shared" si="189"/>
        <v>0</v>
      </c>
      <c r="AK365" s="58">
        <f t="shared" si="187"/>
        <v>0</v>
      </c>
      <c r="AL365" s="82">
        <f t="shared" si="195"/>
        <v>0</v>
      </c>
      <c r="AM365" s="58">
        <f t="shared" si="196"/>
        <v>0</v>
      </c>
      <c r="AN365" s="74"/>
      <c r="AO365" s="84"/>
      <c r="AP365" s="74"/>
      <c r="AQ365" s="85"/>
      <c r="AR365" s="74"/>
      <c r="AS365" s="74"/>
      <c r="AT365" s="74"/>
      <c r="AU365" s="55" t="str">
        <f t="shared" si="206"/>
        <v/>
      </c>
      <c r="AV365" s="55" t="str">
        <f t="shared" ca="1" si="207"/>
        <v/>
      </c>
      <c r="AW365" s="55" t="str">
        <f t="shared" si="197"/>
        <v/>
      </c>
      <c r="AX365" s="55" t="str">
        <f t="shared" ca="1" si="198"/>
        <v/>
      </c>
      <c r="AY365" s="86"/>
      <c r="AZ365" s="86"/>
      <c r="BA365" s="55" t="str">
        <f t="shared" si="208"/>
        <v/>
      </c>
      <c r="BB365" s="86"/>
      <c r="BC365" s="86"/>
      <c r="BD365" s="55" t="str">
        <f t="shared" si="209"/>
        <v/>
      </c>
      <c r="BE365" s="74"/>
      <c r="BS365" s="118"/>
      <c r="BT365" s="118"/>
      <c r="BU365" s="118"/>
      <c r="BV365" s="118"/>
      <c r="BW365" s="118"/>
      <c r="BX365" s="118"/>
      <c r="BZ365" s="118"/>
      <c r="CB365" s="118"/>
      <c r="CC365" s="118"/>
      <c r="CD365" s="118"/>
    </row>
    <row r="366" spans="1:82" ht="17.399999999999999" customHeight="1">
      <c r="A366" s="72">
        <f t="shared" si="211"/>
        <v>51.6</v>
      </c>
      <c r="B366" s="111">
        <f t="shared" si="191"/>
        <v>356</v>
      </c>
      <c r="C366" s="60"/>
      <c r="D366" s="74"/>
      <c r="E366" s="75"/>
      <c r="F366" s="74"/>
      <c r="G366" s="54">
        <f t="shared" si="219"/>
        <v>0</v>
      </c>
      <c r="H366" s="55">
        <f t="shared" si="219"/>
        <v>0</v>
      </c>
      <c r="I366" s="76">
        <f t="shared" si="200"/>
        <v>0</v>
      </c>
      <c r="J366" s="58">
        <f t="shared" si="201"/>
        <v>0</v>
      </c>
      <c r="K366" s="58">
        <f t="shared" si="202"/>
        <v>0</v>
      </c>
      <c r="L366" s="58">
        <f t="shared" si="203"/>
        <v>0</v>
      </c>
      <c r="M366" s="58" t="str">
        <f t="shared" ca="1" si="204"/>
        <v/>
      </c>
      <c r="N366" s="58" t="str">
        <f t="shared" ca="1" si="204"/>
        <v/>
      </c>
      <c r="O366" s="58">
        <f t="shared" si="205"/>
        <v>5.0000000000000001E-4</v>
      </c>
      <c r="P366" s="77"/>
      <c r="Q366" s="60"/>
      <c r="R366" s="77"/>
      <c r="S366" s="78">
        <f t="shared" si="192"/>
        <v>0</v>
      </c>
      <c r="T366" s="55">
        <f t="shared" si="192"/>
        <v>0</v>
      </c>
      <c r="U366" s="79">
        <f t="shared" si="212"/>
        <v>0</v>
      </c>
      <c r="V366" s="63">
        <f t="shared" si="213"/>
        <v>0</v>
      </c>
      <c r="W366" s="64">
        <f t="shared" si="218"/>
        <v>145</v>
      </c>
      <c r="X366" s="80">
        <f t="shared" si="217"/>
        <v>163</v>
      </c>
      <c r="Y366" s="75"/>
      <c r="Z366" s="60"/>
      <c r="AA366" s="75"/>
      <c r="AB366" s="75"/>
      <c r="AC366" s="75"/>
      <c r="AD366" s="75"/>
      <c r="AE366" s="81">
        <f t="shared" si="193"/>
        <v>0</v>
      </c>
      <c r="AF366" s="55">
        <f t="shared" si="194"/>
        <v>0</v>
      </c>
      <c r="AG366" s="76">
        <f t="shared" si="188"/>
        <v>0</v>
      </c>
      <c r="AH366" s="82">
        <f t="shared" si="189"/>
        <v>0</v>
      </c>
      <c r="AI366" s="83">
        <f t="shared" si="189"/>
        <v>0</v>
      </c>
      <c r="AJ366" s="83">
        <f t="shared" si="189"/>
        <v>0</v>
      </c>
      <c r="AK366" s="58">
        <f t="shared" si="187"/>
        <v>0</v>
      </c>
      <c r="AL366" s="82">
        <f t="shared" si="195"/>
        <v>0</v>
      </c>
      <c r="AM366" s="58">
        <f t="shared" si="196"/>
        <v>0</v>
      </c>
      <c r="AN366" s="74"/>
      <c r="AO366" s="84"/>
      <c r="AP366" s="74"/>
      <c r="AQ366" s="85"/>
      <c r="AR366" s="74"/>
      <c r="AS366" s="74"/>
      <c r="AT366" s="74"/>
      <c r="AU366" s="55" t="str">
        <f t="shared" si="206"/>
        <v/>
      </c>
      <c r="AV366" s="55" t="str">
        <f t="shared" ca="1" si="207"/>
        <v/>
      </c>
      <c r="AW366" s="55" t="str">
        <f t="shared" si="197"/>
        <v/>
      </c>
      <c r="AX366" s="55" t="str">
        <f t="shared" ca="1" si="198"/>
        <v/>
      </c>
      <c r="AY366" s="86"/>
      <c r="AZ366" s="86"/>
      <c r="BA366" s="55" t="str">
        <f t="shared" si="208"/>
        <v/>
      </c>
      <c r="BB366" s="86"/>
      <c r="BC366" s="86"/>
      <c r="BD366" s="55" t="str">
        <f t="shared" si="209"/>
        <v/>
      </c>
      <c r="BE366" s="74"/>
      <c r="BS366" s="118"/>
      <c r="BT366" s="118"/>
      <c r="BU366" s="118"/>
      <c r="BV366" s="118"/>
      <c r="BW366" s="118"/>
      <c r="BX366" s="118"/>
      <c r="BZ366" s="118"/>
      <c r="CB366" s="118"/>
      <c r="CC366" s="118"/>
      <c r="CD366" s="118"/>
    </row>
    <row r="367" spans="1:82" ht="17.399999999999999" customHeight="1" thickBot="1">
      <c r="A367" s="87">
        <f t="shared" si="211"/>
        <v>51.7</v>
      </c>
      <c r="B367" s="113">
        <f t="shared" si="191"/>
        <v>357</v>
      </c>
      <c r="C367" s="89"/>
      <c r="D367" s="90"/>
      <c r="E367" s="91"/>
      <c r="F367" s="90"/>
      <c r="G367" s="92">
        <f t="shared" si="219"/>
        <v>0</v>
      </c>
      <c r="H367" s="93">
        <f t="shared" si="219"/>
        <v>0</v>
      </c>
      <c r="I367" s="94">
        <f t="shared" si="200"/>
        <v>0</v>
      </c>
      <c r="J367" s="95">
        <f t="shared" si="201"/>
        <v>0</v>
      </c>
      <c r="K367" s="95">
        <f t="shared" si="202"/>
        <v>0</v>
      </c>
      <c r="L367" s="95">
        <f t="shared" si="203"/>
        <v>0</v>
      </c>
      <c r="M367" s="95" t="str">
        <f t="shared" ca="1" si="204"/>
        <v/>
      </c>
      <c r="N367" s="95" t="str">
        <f t="shared" ca="1" si="204"/>
        <v/>
      </c>
      <c r="O367" s="95">
        <f t="shared" si="205"/>
        <v>5.0000000000000001E-4</v>
      </c>
      <c r="P367" s="96"/>
      <c r="Q367" s="89"/>
      <c r="R367" s="96"/>
      <c r="S367" s="78">
        <f t="shared" si="192"/>
        <v>0</v>
      </c>
      <c r="T367" s="55">
        <f t="shared" si="192"/>
        <v>0</v>
      </c>
      <c r="U367" s="97">
        <f t="shared" si="212"/>
        <v>0</v>
      </c>
      <c r="V367" s="98">
        <f t="shared" si="213"/>
        <v>0</v>
      </c>
      <c r="W367" s="99">
        <f t="shared" si="218"/>
        <v>145</v>
      </c>
      <c r="X367" s="100">
        <f t="shared" si="217"/>
        <v>163</v>
      </c>
      <c r="Y367" s="91"/>
      <c r="Z367" s="60"/>
      <c r="AA367" s="75"/>
      <c r="AB367" s="75"/>
      <c r="AC367" s="75"/>
      <c r="AD367" s="75"/>
      <c r="AE367" s="101">
        <f t="shared" si="193"/>
        <v>0</v>
      </c>
      <c r="AF367" s="93">
        <f t="shared" si="194"/>
        <v>0</v>
      </c>
      <c r="AG367" s="94">
        <f t="shared" si="188"/>
        <v>0</v>
      </c>
      <c r="AH367" s="102">
        <f t="shared" si="189"/>
        <v>0</v>
      </c>
      <c r="AI367" s="103">
        <f t="shared" si="189"/>
        <v>0</v>
      </c>
      <c r="AJ367" s="103">
        <f t="shared" si="189"/>
        <v>0</v>
      </c>
      <c r="AK367" s="95">
        <f t="shared" si="187"/>
        <v>0</v>
      </c>
      <c r="AL367" s="102">
        <f t="shared" si="195"/>
        <v>0</v>
      </c>
      <c r="AM367" s="95">
        <f t="shared" si="196"/>
        <v>0</v>
      </c>
      <c r="AN367" s="90"/>
      <c r="AO367" s="104"/>
      <c r="AP367" s="90"/>
      <c r="AQ367" s="105"/>
      <c r="AR367" s="90"/>
      <c r="AS367" s="90"/>
      <c r="AT367" s="90"/>
      <c r="AU367" s="93" t="str">
        <f t="shared" si="206"/>
        <v/>
      </c>
      <c r="AV367" s="93" t="str">
        <f t="shared" ca="1" si="207"/>
        <v/>
      </c>
      <c r="AW367" s="93" t="str">
        <f t="shared" si="197"/>
        <v/>
      </c>
      <c r="AX367" s="93" t="str">
        <f t="shared" ca="1" si="198"/>
        <v/>
      </c>
      <c r="AY367" s="106"/>
      <c r="AZ367" s="106"/>
      <c r="BA367" s="93" t="str">
        <f t="shared" si="208"/>
        <v/>
      </c>
      <c r="BB367" s="106"/>
      <c r="BC367" s="106"/>
      <c r="BD367" s="93" t="str">
        <f t="shared" si="209"/>
        <v/>
      </c>
      <c r="BE367" s="90"/>
      <c r="BS367" s="118"/>
      <c r="BT367" s="118"/>
      <c r="BU367" s="118"/>
      <c r="BV367" s="118"/>
      <c r="BW367" s="118"/>
      <c r="BX367" s="118"/>
      <c r="BZ367" s="118"/>
      <c r="CB367" s="118"/>
      <c r="CC367" s="118"/>
      <c r="CD367" s="118"/>
    </row>
    <row r="368" spans="1:82" ht="17.399999999999999" customHeight="1" thickTop="1">
      <c r="A368" s="107">
        <f>A361+1</f>
        <v>52.1</v>
      </c>
      <c r="B368" s="108">
        <f>B367+1</f>
        <v>358</v>
      </c>
      <c r="C368" s="51"/>
      <c r="D368" s="52"/>
      <c r="E368" s="53"/>
      <c r="F368" s="52"/>
      <c r="G368" s="54">
        <f t="shared" si="219"/>
        <v>0</v>
      </c>
      <c r="H368" s="55">
        <f t="shared" si="219"/>
        <v>0</v>
      </c>
      <c r="I368" s="56">
        <f t="shared" si="200"/>
        <v>0</v>
      </c>
      <c r="J368" s="57">
        <f t="shared" si="201"/>
        <v>0</v>
      </c>
      <c r="K368" s="57">
        <f t="shared" si="202"/>
        <v>0</v>
      </c>
      <c r="L368" s="57">
        <f t="shared" si="203"/>
        <v>0</v>
      </c>
      <c r="M368" s="58" t="str">
        <f t="shared" ca="1" si="204"/>
        <v/>
      </c>
      <c r="N368" s="58" t="str">
        <f t="shared" ca="1" si="204"/>
        <v/>
      </c>
      <c r="O368" s="58">
        <f t="shared" si="205"/>
        <v>5.0000000000000001E-4</v>
      </c>
      <c r="P368" s="77"/>
      <c r="Q368" s="60"/>
      <c r="R368" s="77"/>
      <c r="S368" s="109">
        <f t="shared" si="192"/>
        <v>0</v>
      </c>
      <c r="T368" s="61">
        <f t="shared" si="192"/>
        <v>0</v>
      </c>
      <c r="U368" s="62">
        <f t="shared" si="212"/>
        <v>0</v>
      </c>
      <c r="V368" s="63">
        <f t="shared" si="213"/>
        <v>0</v>
      </c>
      <c r="W368" s="64">
        <f t="shared" si="218"/>
        <v>145</v>
      </c>
      <c r="X368" s="80">
        <v>162</v>
      </c>
      <c r="Y368" s="53"/>
      <c r="Z368" s="51"/>
      <c r="AA368" s="53"/>
      <c r="AB368" s="53"/>
      <c r="AC368" s="53"/>
      <c r="AD368" s="53"/>
      <c r="AE368" s="66">
        <f t="shared" si="193"/>
        <v>0</v>
      </c>
      <c r="AF368" s="61">
        <f t="shared" si="194"/>
        <v>0</v>
      </c>
      <c r="AG368" s="56">
        <f t="shared" si="188"/>
        <v>0</v>
      </c>
      <c r="AH368" s="67">
        <f t="shared" si="189"/>
        <v>0</v>
      </c>
      <c r="AI368" s="68">
        <f t="shared" si="189"/>
        <v>0</v>
      </c>
      <c r="AJ368" s="68">
        <f t="shared" si="189"/>
        <v>0</v>
      </c>
      <c r="AK368" s="57">
        <f t="shared" si="187"/>
        <v>0</v>
      </c>
      <c r="AL368" s="67">
        <f t="shared" si="195"/>
        <v>0</v>
      </c>
      <c r="AM368" s="57">
        <f t="shared" si="196"/>
        <v>0</v>
      </c>
      <c r="AN368" s="52"/>
      <c r="AO368" s="69"/>
      <c r="AP368" s="52"/>
      <c r="AQ368" s="70"/>
      <c r="AR368" s="52"/>
      <c r="AS368" s="52"/>
      <c r="AT368" s="52"/>
      <c r="AU368" s="61" t="str">
        <f t="shared" si="206"/>
        <v/>
      </c>
      <c r="AV368" s="61" t="str">
        <f t="shared" ca="1" si="207"/>
        <v/>
      </c>
      <c r="AW368" s="61" t="str">
        <f t="shared" si="197"/>
        <v/>
      </c>
      <c r="AX368" s="61" t="str">
        <f t="shared" ca="1" si="198"/>
        <v/>
      </c>
      <c r="AY368" s="71"/>
      <c r="AZ368" s="71"/>
      <c r="BA368" s="61" t="str">
        <f t="shared" si="208"/>
        <v/>
      </c>
      <c r="BB368" s="71"/>
      <c r="BC368" s="71"/>
      <c r="BD368" s="61" t="str">
        <f t="shared" si="209"/>
        <v/>
      </c>
      <c r="BE368" s="52"/>
      <c r="BS368" s="118"/>
      <c r="BT368" s="118"/>
      <c r="BU368" s="118"/>
      <c r="BV368" s="118"/>
      <c r="BW368" s="118"/>
      <c r="BX368" s="118"/>
      <c r="BZ368" s="118"/>
      <c r="CB368" s="118"/>
      <c r="CC368" s="118"/>
      <c r="CD368" s="118"/>
    </row>
    <row r="369" spans="1:82" ht="17.399999999999999" customHeight="1">
      <c r="A369" s="87">
        <f t="shared" si="211"/>
        <v>52.2</v>
      </c>
      <c r="B369" s="111">
        <f t="shared" si="191"/>
        <v>359</v>
      </c>
      <c r="C369" s="60"/>
      <c r="D369" s="74"/>
      <c r="E369" s="75"/>
      <c r="F369" s="74"/>
      <c r="G369" s="54">
        <f t="shared" si="219"/>
        <v>0</v>
      </c>
      <c r="H369" s="55">
        <f t="shared" si="219"/>
        <v>0</v>
      </c>
      <c r="I369" s="76">
        <f t="shared" si="200"/>
        <v>0</v>
      </c>
      <c r="J369" s="58">
        <f t="shared" si="201"/>
        <v>0</v>
      </c>
      <c r="K369" s="58">
        <f t="shared" si="202"/>
        <v>0</v>
      </c>
      <c r="L369" s="58">
        <f t="shared" si="203"/>
        <v>0</v>
      </c>
      <c r="M369" s="58" t="str">
        <f t="shared" ca="1" si="204"/>
        <v/>
      </c>
      <c r="N369" s="58" t="str">
        <f t="shared" ca="1" si="204"/>
        <v/>
      </c>
      <c r="O369" s="58">
        <f t="shared" si="205"/>
        <v>5.0000000000000001E-4</v>
      </c>
      <c r="P369" s="77"/>
      <c r="Q369" s="60"/>
      <c r="R369" s="77"/>
      <c r="S369" s="78">
        <f t="shared" si="192"/>
        <v>0</v>
      </c>
      <c r="T369" s="55">
        <f t="shared" si="192"/>
        <v>0</v>
      </c>
      <c r="U369" s="79">
        <f t="shared" si="212"/>
        <v>0</v>
      </c>
      <c r="V369" s="63">
        <f t="shared" si="213"/>
        <v>0</v>
      </c>
      <c r="W369" s="64">
        <f t="shared" si="218"/>
        <v>145</v>
      </c>
      <c r="X369" s="80">
        <f t="shared" si="218"/>
        <v>162</v>
      </c>
      <c r="Y369" s="75"/>
      <c r="Z369" s="60"/>
      <c r="AA369" s="75"/>
      <c r="AB369" s="75"/>
      <c r="AC369" s="75"/>
      <c r="AD369" s="75"/>
      <c r="AE369" s="81">
        <f t="shared" si="193"/>
        <v>0</v>
      </c>
      <c r="AF369" s="55">
        <f t="shared" si="194"/>
        <v>0</v>
      </c>
      <c r="AG369" s="76">
        <f t="shared" si="188"/>
        <v>0</v>
      </c>
      <c r="AH369" s="82">
        <f t="shared" si="189"/>
        <v>0</v>
      </c>
      <c r="AI369" s="83">
        <f t="shared" si="189"/>
        <v>0</v>
      </c>
      <c r="AJ369" s="83">
        <f t="shared" si="189"/>
        <v>0</v>
      </c>
      <c r="AK369" s="58">
        <f t="shared" si="187"/>
        <v>0</v>
      </c>
      <c r="AL369" s="82">
        <f t="shared" si="195"/>
        <v>0</v>
      </c>
      <c r="AM369" s="58">
        <f t="shared" si="196"/>
        <v>0</v>
      </c>
      <c r="AN369" s="74"/>
      <c r="AO369" s="84"/>
      <c r="AP369" s="74"/>
      <c r="AQ369" s="85"/>
      <c r="AR369" s="74"/>
      <c r="AS369" s="74"/>
      <c r="AT369" s="74"/>
      <c r="AU369" s="55" t="str">
        <f t="shared" si="206"/>
        <v/>
      </c>
      <c r="AV369" s="55" t="str">
        <f t="shared" ca="1" si="207"/>
        <v/>
      </c>
      <c r="AW369" s="55" t="str">
        <f t="shared" si="197"/>
        <v/>
      </c>
      <c r="AX369" s="55" t="str">
        <f t="shared" ca="1" si="198"/>
        <v/>
      </c>
      <c r="AY369" s="86"/>
      <c r="AZ369" s="86"/>
      <c r="BA369" s="55" t="str">
        <f t="shared" si="208"/>
        <v/>
      </c>
      <c r="BB369" s="86"/>
      <c r="BC369" s="86"/>
      <c r="BD369" s="55" t="str">
        <f t="shared" si="209"/>
        <v/>
      </c>
      <c r="BE369" s="74"/>
      <c r="BS369" s="118"/>
      <c r="BT369" s="118"/>
      <c r="BU369" s="118"/>
      <c r="BV369" s="118"/>
      <c r="BW369" s="118"/>
      <c r="BX369" s="118"/>
      <c r="BZ369" s="118"/>
      <c r="CB369" s="118"/>
      <c r="CC369" s="118"/>
      <c r="CD369" s="118"/>
    </row>
    <row r="370" spans="1:82" ht="17.399999999999999" customHeight="1">
      <c r="A370" s="72">
        <f t="shared" si="211"/>
        <v>52.3</v>
      </c>
      <c r="B370" s="111">
        <f t="shared" si="191"/>
        <v>360</v>
      </c>
      <c r="C370" s="60"/>
      <c r="D370" s="74"/>
      <c r="E370" s="75"/>
      <c r="F370" s="74"/>
      <c r="G370" s="54">
        <f t="shared" si="219"/>
        <v>0</v>
      </c>
      <c r="H370" s="55">
        <f t="shared" si="219"/>
        <v>0</v>
      </c>
      <c r="I370" s="76">
        <f t="shared" si="200"/>
        <v>0</v>
      </c>
      <c r="J370" s="58">
        <f t="shared" si="201"/>
        <v>0</v>
      </c>
      <c r="K370" s="58">
        <f t="shared" si="202"/>
        <v>0</v>
      </c>
      <c r="L370" s="58">
        <f t="shared" si="203"/>
        <v>0</v>
      </c>
      <c r="M370" s="58" t="str">
        <f t="shared" ca="1" si="204"/>
        <v/>
      </c>
      <c r="N370" s="58" t="str">
        <f t="shared" ca="1" si="204"/>
        <v/>
      </c>
      <c r="O370" s="58">
        <f t="shared" si="205"/>
        <v>5.0000000000000001E-4</v>
      </c>
      <c r="P370" s="77"/>
      <c r="Q370" s="60"/>
      <c r="R370" s="77"/>
      <c r="S370" s="78">
        <f t="shared" si="192"/>
        <v>0</v>
      </c>
      <c r="T370" s="55">
        <f t="shared" si="192"/>
        <v>0</v>
      </c>
      <c r="U370" s="79">
        <f t="shared" si="212"/>
        <v>0</v>
      </c>
      <c r="V370" s="63">
        <f t="shared" si="213"/>
        <v>0</v>
      </c>
      <c r="W370" s="64">
        <f t="shared" si="218"/>
        <v>145</v>
      </c>
      <c r="X370" s="80">
        <f t="shared" si="218"/>
        <v>162</v>
      </c>
      <c r="Y370" s="75"/>
      <c r="Z370" s="60"/>
      <c r="AA370" s="75"/>
      <c r="AB370" s="75"/>
      <c r="AC370" s="75"/>
      <c r="AD370" s="75"/>
      <c r="AE370" s="81">
        <f t="shared" si="193"/>
        <v>0</v>
      </c>
      <c r="AF370" s="55">
        <f t="shared" si="194"/>
        <v>0</v>
      </c>
      <c r="AG370" s="76">
        <f t="shared" si="188"/>
        <v>0</v>
      </c>
      <c r="AH370" s="82">
        <f t="shared" si="189"/>
        <v>0</v>
      </c>
      <c r="AI370" s="83">
        <f t="shared" si="189"/>
        <v>0</v>
      </c>
      <c r="AJ370" s="83">
        <f t="shared" si="189"/>
        <v>0</v>
      </c>
      <c r="AK370" s="58">
        <f t="shared" si="187"/>
        <v>0</v>
      </c>
      <c r="AL370" s="82">
        <f t="shared" si="195"/>
        <v>0</v>
      </c>
      <c r="AM370" s="58">
        <f t="shared" si="196"/>
        <v>0</v>
      </c>
      <c r="AN370" s="74"/>
      <c r="AO370" s="84"/>
      <c r="AP370" s="74"/>
      <c r="AQ370" s="85"/>
      <c r="AR370" s="74"/>
      <c r="AS370" s="74"/>
      <c r="AT370" s="74"/>
      <c r="AU370" s="55" t="str">
        <f t="shared" si="206"/>
        <v/>
      </c>
      <c r="AV370" s="55" t="str">
        <f t="shared" ca="1" si="207"/>
        <v/>
      </c>
      <c r="AW370" s="55" t="str">
        <f t="shared" si="197"/>
        <v/>
      </c>
      <c r="AX370" s="55" t="str">
        <f t="shared" ca="1" si="198"/>
        <v/>
      </c>
      <c r="AY370" s="86"/>
      <c r="AZ370" s="86"/>
      <c r="BA370" s="55" t="str">
        <f t="shared" si="208"/>
        <v/>
      </c>
      <c r="BB370" s="86"/>
      <c r="BC370" s="86"/>
      <c r="BD370" s="55" t="str">
        <f t="shared" si="209"/>
        <v/>
      </c>
      <c r="BE370" s="74"/>
      <c r="BS370" s="118"/>
      <c r="BT370" s="118"/>
      <c r="BU370" s="118"/>
      <c r="BV370" s="118"/>
      <c r="BW370" s="118"/>
      <c r="BX370" s="118"/>
      <c r="BZ370" s="118"/>
      <c r="CB370" s="118"/>
      <c r="CC370" s="118"/>
      <c r="CD370" s="118"/>
    </row>
    <row r="371" spans="1:82" ht="17.399999999999999" customHeight="1">
      <c r="A371" s="87">
        <f t="shared" si="211"/>
        <v>52.4</v>
      </c>
      <c r="B371" s="111">
        <f t="shared" si="191"/>
        <v>361</v>
      </c>
      <c r="C371" s="60"/>
      <c r="D371" s="74"/>
      <c r="E371" s="75"/>
      <c r="F371" s="74"/>
      <c r="G371" s="54">
        <f t="shared" si="219"/>
        <v>0</v>
      </c>
      <c r="H371" s="55">
        <f t="shared" si="219"/>
        <v>0</v>
      </c>
      <c r="I371" s="76">
        <f t="shared" si="200"/>
        <v>0</v>
      </c>
      <c r="J371" s="58">
        <f t="shared" si="201"/>
        <v>0</v>
      </c>
      <c r="K371" s="58">
        <f t="shared" si="202"/>
        <v>0</v>
      </c>
      <c r="L371" s="58">
        <f t="shared" si="203"/>
        <v>0</v>
      </c>
      <c r="M371" s="58" t="str">
        <f t="shared" ca="1" si="204"/>
        <v/>
      </c>
      <c r="N371" s="58" t="str">
        <f t="shared" ca="1" si="204"/>
        <v/>
      </c>
      <c r="O371" s="58">
        <f t="shared" si="205"/>
        <v>5.0000000000000001E-4</v>
      </c>
      <c r="P371" s="77"/>
      <c r="Q371" s="60"/>
      <c r="R371" s="77"/>
      <c r="S371" s="78">
        <f t="shared" si="192"/>
        <v>0</v>
      </c>
      <c r="T371" s="55">
        <f t="shared" si="192"/>
        <v>0</v>
      </c>
      <c r="U371" s="79">
        <f t="shared" si="212"/>
        <v>0</v>
      </c>
      <c r="V371" s="63">
        <f t="shared" si="213"/>
        <v>0</v>
      </c>
      <c r="W371" s="64">
        <f t="shared" si="218"/>
        <v>145</v>
      </c>
      <c r="X371" s="80">
        <f t="shared" si="218"/>
        <v>162</v>
      </c>
      <c r="Y371" s="75"/>
      <c r="Z371" s="60"/>
      <c r="AA371" s="75"/>
      <c r="AB371" s="75"/>
      <c r="AC371" s="75"/>
      <c r="AD371" s="75"/>
      <c r="AE371" s="81">
        <f t="shared" si="193"/>
        <v>0</v>
      </c>
      <c r="AF371" s="55">
        <f t="shared" si="194"/>
        <v>0</v>
      </c>
      <c r="AG371" s="76">
        <f t="shared" si="188"/>
        <v>0</v>
      </c>
      <c r="AH371" s="82">
        <f t="shared" si="189"/>
        <v>0</v>
      </c>
      <c r="AI371" s="83">
        <f t="shared" si="189"/>
        <v>0</v>
      </c>
      <c r="AJ371" s="83">
        <f t="shared" si="189"/>
        <v>0</v>
      </c>
      <c r="AK371" s="58">
        <f t="shared" si="187"/>
        <v>0</v>
      </c>
      <c r="AL371" s="82">
        <f t="shared" si="195"/>
        <v>0</v>
      </c>
      <c r="AM371" s="58">
        <f t="shared" si="196"/>
        <v>0</v>
      </c>
      <c r="AN371" s="74"/>
      <c r="AO371" s="84"/>
      <c r="AP371" s="74"/>
      <c r="AQ371" s="85"/>
      <c r="AR371" s="74"/>
      <c r="AS371" s="74"/>
      <c r="AT371" s="74"/>
      <c r="AU371" s="55" t="str">
        <f t="shared" si="206"/>
        <v/>
      </c>
      <c r="AV371" s="55" t="str">
        <f t="shared" ca="1" si="207"/>
        <v/>
      </c>
      <c r="AW371" s="55" t="str">
        <f t="shared" si="197"/>
        <v/>
      </c>
      <c r="AX371" s="55" t="str">
        <f t="shared" ca="1" si="198"/>
        <v/>
      </c>
      <c r="AY371" s="86"/>
      <c r="AZ371" s="86"/>
      <c r="BA371" s="55" t="str">
        <f t="shared" si="208"/>
        <v/>
      </c>
      <c r="BB371" s="86"/>
      <c r="BC371" s="86"/>
      <c r="BD371" s="55" t="str">
        <f t="shared" si="209"/>
        <v/>
      </c>
      <c r="BE371" s="74"/>
      <c r="BS371" s="118"/>
      <c r="BT371" s="118"/>
      <c r="BU371" s="118"/>
      <c r="BV371" s="118"/>
      <c r="BW371" s="118"/>
      <c r="BX371" s="118"/>
      <c r="BZ371" s="118"/>
      <c r="CB371" s="118"/>
      <c r="CC371" s="118"/>
      <c r="CD371" s="118"/>
    </row>
    <row r="372" spans="1:82" ht="17.399999999999999" customHeight="1">
      <c r="A372" s="72">
        <f t="shared" si="211"/>
        <v>52.5</v>
      </c>
      <c r="B372" s="111">
        <f t="shared" si="191"/>
        <v>362</v>
      </c>
      <c r="C372" s="60"/>
      <c r="D372" s="74"/>
      <c r="E372" s="75"/>
      <c r="F372" s="74"/>
      <c r="G372" s="54">
        <f t="shared" si="219"/>
        <v>0</v>
      </c>
      <c r="H372" s="55">
        <f t="shared" si="219"/>
        <v>0</v>
      </c>
      <c r="I372" s="76">
        <f t="shared" si="200"/>
        <v>0</v>
      </c>
      <c r="J372" s="58">
        <f t="shared" si="201"/>
        <v>0</v>
      </c>
      <c r="K372" s="58">
        <f t="shared" si="202"/>
        <v>0</v>
      </c>
      <c r="L372" s="58">
        <f t="shared" si="203"/>
        <v>0</v>
      </c>
      <c r="M372" s="58" t="str">
        <f t="shared" ca="1" si="204"/>
        <v/>
      </c>
      <c r="N372" s="58" t="str">
        <f t="shared" ca="1" si="204"/>
        <v/>
      </c>
      <c r="O372" s="58">
        <f t="shared" si="205"/>
        <v>5.0000000000000001E-4</v>
      </c>
      <c r="P372" s="77"/>
      <c r="Q372" s="60"/>
      <c r="R372" s="77"/>
      <c r="S372" s="78">
        <f t="shared" si="192"/>
        <v>0</v>
      </c>
      <c r="T372" s="55">
        <f t="shared" si="192"/>
        <v>0</v>
      </c>
      <c r="U372" s="79">
        <f t="shared" si="212"/>
        <v>0</v>
      </c>
      <c r="V372" s="63">
        <f t="shared" si="213"/>
        <v>0</v>
      </c>
      <c r="W372" s="64">
        <f t="shared" si="218"/>
        <v>145</v>
      </c>
      <c r="X372" s="80">
        <f t="shared" si="218"/>
        <v>162</v>
      </c>
      <c r="Y372" s="75"/>
      <c r="Z372" s="60"/>
      <c r="AA372" s="75"/>
      <c r="AB372" s="75"/>
      <c r="AC372" s="75"/>
      <c r="AD372" s="75"/>
      <c r="AE372" s="81">
        <f t="shared" si="193"/>
        <v>0</v>
      </c>
      <c r="AF372" s="55">
        <f t="shared" si="194"/>
        <v>0</v>
      </c>
      <c r="AG372" s="76">
        <f t="shared" si="188"/>
        <v>0</v>
      </c>
      <c r="AH372" s="82">
        <f t="shared" si="189"/>
        <v>0</v>
      </c>
      <c r="AI372" s="83">
        <f t="shared" si="189"/>
        <v>0</v>
      </c>
      <c r="AJ372" s="83">
        <f t="shared" si="189"/>
        <v>0</v>
      </c>
      <c r="AK372" s="58">
        <f t="shared" si="187"/>
        <v>0</v>
      </c>
      <c r="AL372" s="82">
        <f t="shared" si="195"/>
        <v>0</v>
      </c>
      <c r="AM372" s="58">
        <f t="shared" si="196"/>
        <v>0</v>
      </c>
      <c r="AN372" s="74"/>
      <c r="AO372" s="84"/>
      <c r="AP372" s="74"/>
      <c r="AQ372" s="85"/>
      <c r="AR372" s="74"/>
      <c r="AS372" s="74"/>
      <c r="AT372" s="74"/>
      <c r="AU372" s="55" t="str">
        <f t="shared" si="206"/>
        <v/>
      </c>
      <c r="AV372" s="55" t="str">
        <f t="shared" ca="1" si="207"/>
        <v/>
      </c>
      <c r="AW372" s="55" t="str">
        <f t="shared" si="197"/>
        <v/>
      </c>
      <c r="AX372" s="55" t="str">
        <f t="shared" ca="1" si="198"/>
        <v/>
      </c>
      <c r="AY372" s="86"/>
      <c r="AZ372" s="86"/>
      <c r="BA372" s="55" t="str">
        <f t="shared" si="208"/>
        <v/>
      </c>
      <c r="BB372" s="86"/>
      <c r="BC372" s="86"/>
      <c r="BD372" s="55" t="str">
        <f t="shared" si="209"/>
        <v/>
      </c>
      <c r="BE372" s="74"/>
      <c r="BS372" s="118"/>
      <c r="BT372" s="118"/>
      <c r="BU372" s="118"/>
      <c r="BV372" s="118"/>
      <c r="BW372" s="118"/>
      <c r="BX372" s="118"/>
      <c r="BZ372" s="118"/>
      <c r="CB372" s="118"/>
      <c r="CC372" s="118"/>
      <c r="CD372" s="118"/>
    </row>
    <row r="373" spans="1:82" ht="17.399999999999999" customHeight="1">
      <c r="A373" s="87">
        <f t="shared" si="211"/>
        <v>52.6</v>
      </c>
      <c r="B373" s="111">
        <f t="shared" si="191"/>
        <v>363</v>
      </c>
      <c r="C373" s="60"/>
      <c r="D373" s="74"/>
      <c r="E373" s="75"/>
      <c r="F373" s="74"/>
      <c r="G373" s="54">
        <f t="shared" si="219"/>
        <v>0</v>
      </c>
      <c r="H373" s="55">
        <f t="shared" si="219"/>
        <v>0</v>
      </c>
      <c r="I373" s="76">
        <f t="shared" si="200"/>
        <v>0</v>
      </c>
      <c r="J373" s="58">
        <f t="shared" si="201"/>
        <v>0</v>
      </c>
      <c r="K373" s="58">
        <f t="shared" si="202"/>
        <v>0</v>
      </c>
      <c r="L373" s="58">
        <f t="shared" si="203"/>
        <v>0</v>
      </c>
      <c r="M373" s="58" t="str">
        <f t="shared" ca="1" si="204"/>
        <v/>
      </c>
      <c r="N373" s="58" t="str">
        <f t="shared" ca="1" si="204"/>
        <v/>
      </c>
      <c r="O373" s="58">
        <f t="shared" si="205"/>
        <v>5.0000000000000001E-4</v>
      </c>
      <c r="P373" s="77"/>
      <c r="Q373" s="60"/>
      <c r="R373" s="77"/>
      <c r="S373" s="78">
        <f t="shared" si="192"/>
        <v>0</v>
      </c>
      <c r="T373" s="55">
        <f t="shared" si="192"/>
        <v>0</v>
      </c>
      <c r="U373" s="79">
        <f t="shared" si="212"/>
        <v>0</v>
      </c>
      <c r="V373" s="63">
        <f t="shared" si="213"/>
        <v>0</v>
      </c>
      <c r="W373" s="64">
        <f t="shared" si="218"/>
        <v>145</v>
      </c>
      <c r="X373" s="80">
        <f t="shared" si="218"/>
        <v>162</v>
      </c>
      <c r="Y373" s="75"/>
      <c r="Z373" s="60"/>
      <c r="AA373" s="75"/>
      <c r="AB373" s="75"/>
      <c r="AC373" s="75"/>
      <c r="AD373" s="75"/>
      <c r="AE373" s="81">
        <f t="shared" si="193"/>
        <v>0</v>
      </c>
      <c r="AF373" s="55">
        <f t="shared" si="194"/>
        <v>0</v>
      </c>
      <c r="AG373" s="76">
        <f t="shared" si="188"/>
        <v>0</v>
      </c>
      <c r="AH373" s="82">
        <f t="shared" si="189"/>
        <v>0</v>
      </c>
      <c r="AI373" s="83">
        <f t="shared" si="189"/>
        <v>0</v>
      </c>
      <c r="AJ373" s="83">
        <f t="shared" si="189"/>
        <v>0</v>
      </c>
      <c r="AK373" s="58">
        <f t="shared" si="187"/>
        <v>0</v>
      </c>
      <c r="AL373" s="82">
        <f t="shared" si="195"/>
        <v>0</v>
      </c>
      <c r="AM373" s="58">
        <f t="shared" si="196"/>
        <v>0</v>
      </c>
      <c r="AN373" s="74"/>
      <c r="AO373" s="84"/>
      <c r="AP373" s="74"/>
      <c r="AQ373" s="85"/>
      <c r="AR373" s="74"/>
      <c r="AS373" s="74"/>
      <c r="AT373" s="74"/>
      <c r="AU373" s="55" t="str">
        <f t="shared" si="206"/>
        <v/>
      </c>
      <c r="AV373" s="55" t="str">
        <f t="shared" ca="1" si="207"/>
        <v/>
      </c>
      <c r="AW373" s="55" t="str">
        <f t="shared" si="197"/>
        <v/>
      </c>
      <c r="AX373" s="55" t="str">
        <f t="shared" ca="1" si="198"/>
        <v/>
      </c>
      <c r="AY373" s="86"/>
      <c r="AZ373" s="86"/>
      <c r="BA373" s="55" t="str">
        <f t="shared" si="208"/>
        <v/>
      </c>
      <c r="BB373" s="86"/>
      <c r="BC373" s="86"/>
      <c r="BD373" s="55" t="str">
        <f t="shared" si="209"/>
        <v/>
      </c>
      <c r="BE373" s="74"/>
      <c r="BS373" s="118"/>
      <c r="BT373" s="118"/>
      <c r="BU373" s="118"/>
      <c r="BV373" s="118"/>
      <c r="BW373" s="118"/>
      <c r="BX373" s="118"/>
      <c r="BZ373" s="118"/>
      <c r="CB373" s="118"/>
      <c r="CC373" s="118"/>
      <c r="CD373" s="118"/>
    </row>
    <row r="374" spans="1:82" ht="17.399999999999999" customHeight="1" thickBot="1">
      <c r="A374" s="72">
        <f t="shared" si="211"/>
        <v>52.7</v>
      </c>
      <c r="B374" s="113">
        <f t="shared" si="191"/>
        <v>364</v>
      </c>
      <c r="C374" s="89"/>
      <c r="D374" s="90"/>
      <c r="E374" s="91"/>
      <c r="F374" s="90"/>
      <c r="G374" s="92">
        <f t="shared" si="219"/>
        <v>0</v>
      </c>
      <c r="H374" s="93">
        <f t="shared" si="219"/>
        <v>0</v>
      </c>
      <c r="I374" s="94">
        <f t="shared" si="200"/>
        <v>0</v>
      </c>
      <c r="J374" s="95">
        <f t="shared" si="201"/>
        <v>0</v>
      </c>
      <c r="K374" s="95">
        <f t="shared" si="202"/>
        <v>0</v>
      </c>
      <c r="L374" s="95">
        <f t="shared" si="203"/>
        <v>0</v>
      </c>
      <c r="M374" s="95" t="str">
        <f t="shared" ca="1" si="204"/>
        <v/>
      </c>
      <c r="N374" s="95" t="str">
        <f t="shared" ca="1" si="204"/>
        <v/>
      </c>
      <c r="O374" s="95">
        <f t="shared" si="205"/>
        <v>5.0000000000000001E-4</v>
      </c>
      <c r="P374" s="96"/>
      <c r="Q374" s="89"/>
      <c r="R374" s="96"/>
      <c r="S374" s="78">
        <f t="shared" si="192"/>
        <v>0</v>
      </c>
      <c r="T374" s="55">
        <f t="shared" si="192"/>
        <v>0</v>
      </c>
      <c r="U374" s="97">
        <f t="shared" si="212"/>
        <v>0</v>
      </c>
      <c r="V374" s="98">
        <f t="shared" si="213"/>
        <v>0</v>
      </c>
      <c r="W374" s="99">
        <f t="shared" si="218"/>
        <v>145</v>
      </c>
      <c r="X374" s="100">
        <f t="shared" si="218"/>
        <v>162</v>
      </c>
      <c r="Y374" s="91"/>
      <c r="Z374" s="60"/>
      <c r="AA374" s="75"/>
      <c r="AB374" s="75"/>
      <c r="AC374" s="75"/>
      <c r="AD374" s="75"/>
      <c r="AE374" s="101">
        <f t="shared" si="193"/>
        <v>0</v>
      </c>
      <c r="AF374" s="93">
        <f t="shared" si="194"/>
        <v>0</v>
      </c>
      <c r="AG374" s="94">
        <f t="shared" si="188"/>
        <v>0</v>
      </c>
      <c r="AH374" s="102">
        <f t="shared" si="189"/>
        <v>0</v>
      </c>
      <c r="AI374" s="103">
        <f t="shared" si="189"/>
        <v>0</v>
      </c>
      <c r="AJ374" s="103">
        <f t="shared" si="189"/>
        <v>0</v>
      </c>
      <c r="AK374" s="95">
        <f t="shared" si="187"/>
        <v>0</v>
      </c>
      <c r="AL374" s="102">
        <f t="shared" si="195"/>
        <v>0</v>
      </c>
      <c r="AM374" s="95">
        <f t="shared" si="196"/>
        <v>0</v>
      </c>
      <c r="AN374" s="90"/>
      <c r="AO374" s="104"/>
      <c r="AP374" s="90"/>
      <c r="AQ374" s="105"/>
      <c r="AR374" s="90"/>
      <c r="AS374" s="90"/>
      <c r="AT374" s="90"/>
      <c r="AU374" s="93" t="str">
        <f t="shared" si="206"/>
        <v/>
      </c>
      <c r="AV374" s="93" t="str">
        <f t="shared" ca="1" si="207"/>
        <v/>
      </c>
      <c r="AW374" s="93" t="str">
        <f t="shared" si="197"/>
        <v/>
      </c>
      <c r="AX374" s="93" t="str">
        <f t="shared" ca="1" si="198"/>
        <v/>
      </c>
      <c r="AY374" s="106"/>
      <c r="AZ374" s="106"/>
      <c r="BA374" s="93" t="str">
        <f t="shared" si="208"/>
        <v/>
      </c>
      <c r="BB374" s="106"/>
      <c r="BC374" s="106"/>
      <c r="BD374" s="93" t="str">
        <f t="shared" si="209"/>
        <v/>
      </c>
      <c r="BE374" s="90"/>
      <c r="BS374" s="118"/>
      <c r="BT374" s="118"/>
      <c r="BU374" s="118"/>
      <c r="BV374" s="118"/>
      <c r="BW374" s="118"/>
      <c r="BX374" s="118"/>
      <c r="BZ374" s="118"/>
      <c r="CB374" s="118"/>
      <c r="CC374" s="118"/>
      <c r="CD374" s="118"/>
    </row>
    <row r="375" spans="1:82" ht="17.399999999999999" customHeight="1" thickTop="1">
      <c r="A375" s="49">
        <f>A368+1</f>
        <v>53.1</v>
      </c>
      <c r="B375" s="108">
        <f>B374+1</f>
        <v>365</v>
      </c>
      <c r="C375" s="51"/>
      <c r="D375" s="52"/>
      <c r="E375" s="53"/>
      <c r="F375" s="52"/>
      <c r="G375" s="54">
        <f t="shared" si="219"/>
        <v>0</v>
      </c>
      <c r="H375" s="55">
        <f t="shared" si="219"/>
        <v>0</v>
      </c>
      <c r="I375" s="56">
        <f t="shared" si="200"/>
        <v>0</v>
      </c>
      <c r="J375" s="57">
        <f t="shared" si="201"/>
        <v>0</v>
      </c>
      <c r="K375" s="57">
        <f t="shared" si="202"/>
        <v>0</v>
      </c>
      <c r="L375" s="57">
        <f t="shared" si="203"/>
        <v>0</v>
      </c>
      <c r="M375" s="58" t="str">
        <f t="shared" ca="1" si="204"/>
        <v/>
      </c>
      <c r="N375" s="58" t="str">
        <f t="shared" ca="1" si="204"/>
        <v/>
      </c>
      <c r="O375" s="58">
        <f t="shared" si="205"/>
        <v>5.0000000000000001E-4</v>
      </c>
      <c r="P375" s="77"/>
      <c r="Q375" s="60"/>
      <c r="R375" s="77"/>
      <c r="S375" s="109">
        <f t="shared" si="192"/>
        <v>0</v>
      </c>
      <c r="T375" s="61">
        <f t="shared" si="192"/>
        <v>0</v>
      </c>
      <c r="U375" s="62">
        <f t="shared" si="212"/>
        <v>0</v>
      </c>
      <c r="V375" s="63">
        <f t="shared" si="213"/>
        <v>0</v>
      </c>
      <c r="W375" s="64">
        <v>146</v>
      </c>
      <c r="X375" s="80">
        <f t="shared" si="218"/>
        <v>162</v>
      </c>
      <c r="Y375" s="53"/>
      <c r="Z375" s="51"/>
      <c r="AA375" s="53"/>
      <c r="AB375" s="53"/>
      <c r="AC375" s="53"/>
      <c r="AD375" s="53"/>
      <c r="AE375" s="66">
        <f t="shared" si="193"/>
        <v>0</v>
      </c>
      <c r="AF375" s="61">
        <f t="shared" si="194"/>
        <v>0</v>
      </c>
      <c r="AG375" s="56">
        <f t="shared" si="188"/>
        <v>0</v>
      </c>
      <c r="AH375" s="67">
        <f t="shared" si="189"/>
        <v>0</v>
      </c>
      <c r="AI375" s="68">
        <f t="shared" si="189"/>
        <v>0</v>
      </c>
      <c r="AJ375" s="68">
        <f t="shared" si="189"/>
        <v>0</v>
      </c>
      <c r="AK375" s="57">
        <f t="shared" si="187"/>
        <v>0</v>
      </c>
      <c r="AL375" s="67">
        <f t="shared" si="195"/>
        <v>0</v>
      </c>
      <c r="AM375" s="57">
        <f t="shared" si="196"/>
        <v>0</v>
      </c>
      <c r="AN375" s="52"/>
      <c r="AO375" s="69"/>
      <c r="AP375" s="52"/>
      <c r="AQ375" s="70"/>
      <c r="AR375" s="52"/>
      <c r="AS375" s="52"/>
      <c r="AT375" s="52"/>
      <c r="AU375" s="61" t="str">
        <f t="shared" si="206"/>
        <v/>
      </c>
      <c r="AV375" s="61" t="str">
        <f t="shared" ca="1" si="207"/>
        <v/>
      </c>
      <c r="AW375" s="61" t="str">
        <f t="shared" si="197"/>
        <v/>
      </c>
      <c r="AX375" s="61" t="str">
        <f t="shared" ca="1" si="198"/>
        <v/>
      </c>
      <c r="AY375" s="71"/>
      <c r="AZ375" s="71"/>
      <c r="BA375" s="61" t="str">
        <f t="shared" si="208"/>
        <v/>
      </c>
      <c r="BB375" s="71"/>
      <c r="BC375" s="71"/>
      <c r="BD375" s="61" t="str">
        <f t="shared" si="209"/>
        <v/>
      </c>
      <c r="BE375" s="52"/>
      <c r="BS375" s="118"/>
      <c r="BT375" s="118"/>
      <c r="BU375" s="118"/>
      <c r="BV375" s="118"/>
      <c r="BW375" s="118"/>
      <c r="BX375" s="118"/>
      <c r="BZ375" s="118"/>
      <c r="CB375" s="118"/>
      <c r="CC375" s="118"/>
      <c r="CD375" s="118"/>
    </row>
    <row r="376" spans="1:82" ht="17.399999999999999" customHeight="1">
      <c r="A376" s="72">
        <f t="shared" si="211"/>
        <v>53.2</v>
      </c>
      <c r="B376" s="111">
        <f t="shared" si="191"/>
        <v>366</v>
      </c>
      <c r="C376" s="60"/>
      <c r="D376" s="74"/>
      <c r="E376" s="75"/>
      <c r="F376" s="74"/>
      <c r="G376" s="54">
        <f t="shared" si="219"/>
        <v>0</v>
      </c>
      <c r="H376" s="55">
        <f t="shared" si="219"/>
        <v>0</v>
      </c>
      <c r="I376" s="76">
        <f t="shared" si="200"/>
        <v>0</v>
      </c>
      <c r="J376" s="58">
        <f t="shared" si="201"/>
        <v>0</v>
      </c>
      <c r="K376" s="58">
        <f t="shared" si="202"/>
        <v>0</v>
      </c>
      <c r="L376" s="58">
        <f t="shared" si="203"/>
        <v>0</v>
      </c>
      <c r="M376" s="58" t="str">
        <f t="shared" ca="1" si="204"/>
        <v/>
      </c>
      <c r="N376" s="58" t="str">
        <f t="shared" ca="1" si="204"/>
        <v/>
      </c>
      <c r="O376" s="58">
        <f t="shared" si="205"/>
        <v>5.0000000000000001E-4</v>
      </c>
      <c r="P376" s="77"/>
      <c r="Q376" s="60"/>
      <c r="R376" s="77"/>
      <c r="S376" s="78">
        <f t="shared" si="192"/>
        <v>0</v>
      </c>
      <c r="T376" s="55">
        <f t="shared" si="192"/>
        <v>0</v>
      </c>
      <c r="U376" s="79">
        <f t="shared" si="212"/>
        <v>0</v>
      </c>
      <c r="V376" s="63">
        <f t="shared" si="213"/>
        <v>0</v>
      </c>
      <c r="W376" s="64">
        <f t="shared" ref="W376:X381" si="220">W375</f>
        <v>146</v>
      </c>
      <c r="X376" s="80">
        <f t="shared" si="218"/>
        <v>162</v>
      </c>
      <c r="Y376" s="75"/>
      <c r="Z376" s="60"/>
      <c r="AA376" s="75"/>
      <c r="AB376" s="75"/>
      <c r="AC376" s="75"/>
      <c r="AD376" s="75"/>
      <c r="AE376" s="81">
        <f t="shared" si="193"/>
        <v>0</v>
      </c>
      <c r="AF376" s="55">
        <f t="shared" si="194"/>
        <v>0</v>
      </c>
      <c r="AG376" s="76">
        <f t="shared" si="188"/>
        <v>0</v>
      </c>
      <c r="AH376" s="82">
        <f t="shared" si="189"/>
        <v>0</v>
      </c>
      <c r="AI376" s="83">
        <f t="shared" si="189"/>
        <v>0</v>
      </c>
      <c r="AJ376" s="83">
        <f t="shared" si="189"/>
        <v>0</v>
      </c>
      <c r="AK376" s="58">
        <f t="shared" si="187"/>
        <v>0</v>
      </c>
      <c r="AL376" s="82">
        <f t="shared" si="195"/>
        <v>0</v>
      </c>
      <c r="AM376" s="58">
        <f t="shared" si="196"/>
        <v>0</v>
      </c>
      <c r="AN376" s="74"/>
      <c r="AO376" s="84"/>
      <c r="AP376" s="74"/>
      <c r="AQ376" s="85"/>
      <c r="AR376" s="74"/>
      <c r="AS376" s="74"/>
      <c r="AT376" s="74"/>
      <c r="AU376" s="55" t="str">
        <f t="shared" si="206"/>
        <v/>
      </c>
      <c r="AV376" s="55" t="str">
        <f t="shared" ca="1" si="207"/>
        <v/>
      </c>
      <c r="AW376" s="55" t="str">
        <f t="shared" si="197"/>
        <v/>
      </c>
      <c r="AX376" s="55" t="str">
        <f t="shared" ca="1" si="198"/>
        <v/>
      </c>
      <c r="AY376" s="86"/>
      <c r="AZ376" s="86"/>
      <c r="BA376" s="55" t="str">
        <f t="shared" si="208"/>
        <v/>
      </c>
      <c r="BB376" s="86"/>
      <c r="BC376" s="86"/>
      <c r="BD376" s="55" t="str">
        <f t="shared" si="209"/>
        <v/>
      </c>
      <c r="BE376" s="74"/>
      <c r="BS376" s="118"/>
      <c r="BT376" s="118"/>
      <c r="BU376" s="118"/>
      <c r="BV376" s="118"/>
      <c r="BW376" s="118"/>
      <c r="BX376" s="118"/>
      <c r="BZ376" s="118"/>
      <c r="CB376" s="118"/>
      <c r="CC376" s="118"/>
      <c r="CD376" s="118"/>
    </row>
    <row r="377" spans="1:82" ht="17.399999999999999" customHeight="1">
      <c r="A377" s="87">
        <f t="shared" si="211"/>
        <v>53.3</v>
      </c>
      <c r="B377" s="111">
        <f t="shared" si="191"/>
        <v>367</v>
      </c>
      <c r="C377" s="60"/>
      <c r="D377" s="74"/>
      <c r="E377" s="75"/>
      <c r="F377" s="74"/>
      <c r="G377" s="54">
        <f t="shared" si="219"/>
        <v>0</v>
      </c>
      <c r="H377" s="55">
        <f t="shared" si="219"/>
        <v>0</v>
      </c>
      <c r="I377" s="76">
        <f t="shared" si="200"/>
        <v>0</v>
      </c>
      <c r="J377" s="58">
        <f t="shared" si="201"/>
        <v>0</v>
      </c>
      <c r="K377" s="58">
        <f t="shared" si="202"/>
        <v>0</v>
      </c>
      <c r="L377" s="58">
        <f t="shared" si="203"/>
        <v>0</v>
      </c>
      <c r="M377" s="58" t="str">
        <f t="shared" ca="1" si="204"/>
        <v/>
      </c>
      <c r="N377" s="58" t="str">
        <f t="shared" ca="1" si="204"/>
        <v/>
      </c>
      <c r="O377" s="58">
        <f t="shared" si="205"/>
        <v>5.0000000000000001E-4</v>
      </c>
      <c r="P377" s="77"/>
      <c r="Q377" s="60"/>
      <c r="R377" s="77"/>
      <c r="S377" s="78">
        <f t="shared" si="192"/>
        <v>0</v>
      </c>
      <c r="T377" s="55">
        <f t="shared" si="192"/>
        <v>0</v>
      </c>
      <c r="U377" s="79">
        <f t="shared" si="212"/>
        <v>0</v>
      </c>
      <c r="V377" s="63">
        <f t="shared" si="213"/>
        <v>0</v>
      </c>
      <c r="W377" s="64">
        <f t="shared" si="220"/>
        <v>146</v>
      </c>
      <c r="X377" s="80">
        <f t="shared" si="218"/>
        <v>162</v>
      </c>
      <c r="Y377" s="75"/>
      <c r="Z377" s="60"/>
      <c r="AA377" s="75"/>
      <c r="AB377" s="75"/>
      <c r="AC377" s="75"/>
      <c r="AD377" s="75"/>
      <c r="AE377" s="81">
        <f t="shared" si="193"/>
        <v>0</v>
      </c>
      <c r="AF377" s="55">
        <f t="shared" si="194"/>
        <v>0</v>
      </c>
      <c r="AG377" s="76">
        <f t="shared" si="188"/>
        <v>0</v>
      </c>
      <c r="AH377" s="82">
        <f t="shared" si="189"/>
        <v>0</v>
      </c>
      <c r="AI377" s="83">
        <f t="shared" si="189"/>
        <v>0</v>
      </c>
      <c r="AJ377" s="83">
        <f t="shared" si="189"/>
        <v>0</v>
      </c>
      <c r="AK377" s="58">
        <f t="shared" si="187"/>
        <v>0</v>
      </c>
      <c r="AL377" s="82">
        <f t="shared" si="195"/>
        <v>0</v>
      </c>
      <c r="AM377" s="58">
        <f t="shared" si="196"/>
        <v>0</v>
      </c>
      <c r="AN377" s="74"/>
      <c r="AO377" s="84"/>
      <c r="AP377" s="74"/>
      <c r="AQ377" s="85"/>
      <c r="AR377" s="74"/>
      <c r="AS377" s="74"/>
      <c r="AT377" s="74"/>
      <c r="AU377" s="55" t="str">
        <f t="shared" si="206"/>
        <v/>
      </c>
      <c r="AV377" s="55" t="str">
        <f t="shared" ca="1" si="207"/>
        <v/>
      </c>
      <c r="AW377" s="55" t="str">
        <f t="shared" si="197"/>
        <v/>
      </c>
      <c r="AX377" s="55" t="str">
        <f t="shared" ca="1" si="198"/>
        <v/>
      </c>
      <c r="AY377" s="86"/>
      <c r="AZ377" s="86"/>
      <c r="BA377" s="55" t="str">
        <f t="shared" si="208"/>
        <v/>
      </c>
      <c r="BB377" s="86"/>
      <c r="BC377" s="86"/>
      <c r="BD377" s="55" t="str">
        <f t="shared" si="209"/>
        <v/>
      </c>
      <c r="BE377" s="74"/>
      <c r="BS377" s="118"/>
      <c r="BT377" s="118"/>
      <c r="BU377" s="118"/>
      <c r="BV377" s="118"/>
      <c r="BW377" s="118"/>
      <c r="BX377" s="118"/>
      <c r="BZ377" s="118"/>
      <c r="CB377" s="118"/>
      <c r="CC377" s="118"/>
      <c r="CD377" s="118"/>
    </row>
    <row r="378" spans="1:82" ht="17.399999999999999" customHeight="1">
      <c r="A378" s="72">
        <f t="shared" si="211"/>
        <v>53.4</v>
      </c>
      <c r="B378" s="111">
        <f t="shared" si="191"/>
        <v>368</v>
      </c>
      <c r="C378" s="60"/>
      <c r="D378" s="74"/>
      <c r="E378" s="75"/>
      <c r="F378" s="74"/>
      <c r="G378" s="54">
        <f t="shared" si="219"/>
        <v>0</v>
      </c>
      <c r="H378" s="55">
        <f t="shared" si="219"/>
        <v>0</v>
      </c>
      <c r="I378" s="76">
        <f t="shared" si="200"/>
        <v>0</v>
      </c>
      <c r="J378" s="58">
        <f t="shared" si="201"/>
        <v>0</v>
      </c>
      <c r="K378" s="58">
        <f t="shared" si="202"/>
        <v>0</v>
      </c>
      <c r="L378" s="58">
        <f t="shared" si="203"/>
        <v>0</v>
      </c>
      <c r="M378" s="58" t="str">
        <f t="shared" ca="1" si="204"/>
        <v/>
      </c>
      <c r="N378" s="58" t="str">
        <f t="shared" ca="1" si="204"/>
        <v/>
      </c>
      <c r="O378" s="58">
        <f t="shared" si="205"/>
        <v>5.0000000000000001E-4</v>
      </c>
      <c r="P378" s="77"/>
      <c r="Q378" s="60"/>
      <c r="R378" s="77"/>
      <c r="S378" s="78">
        <f t="shared" si="192"/>
        <v>0</v>
      </c>
      <c r="T378" s="55">
        <f t="shared" si="192"/>
        <v>0</v>
      </c>
      <c r="U378" s="79">
        <f t="shared" si="212"/>
        <v>0</v>
      </c>
      <c r="V378" s="63">
        <f t="shared" si="213"/>
        <v>0</v>
      </c>
      <c r="W378" s="64">
        <f t="shared" si="220"/>
        <v>146</v>
      </c>
      <c r="X378" s="80">
        <f t="shared" si="220"/>
        <v>162</v>
      </c>
      <c r="Y378" s="75"/>
      <c r="Z378" s="60"/>
      <c r="AA378" s="75"/>
      <c r="AB378" s="75"/>
      <c r="AC378" s="75"/>
      <c r="AD378" s="75"/>
      <c r="AE378" s="81">
        <f t="shared" si="193"/>
        <v>0</v>
      </c>
      <c r="AF378" s="55">
        <f t="shared" si="194"/>
        <v>0</v>
      </c>
      <c r="AG378" s="76">
        <f t="shared" si="188"/>
        <v>0</v>
      </c>
      <c r="AH378" s="82">
        <f t="shared" si="189"/>
        <v>0</v>
      </c>
      <c r="AI378" s="83">
        <f t="shared" si="189"/>
        <v>0</v>
      </c>
      <c r="AJ378" s="83">
        <f t="shared" si="189"/>
        <v>0</v>
      </c>
      <c r="AK378" s="58">
        <f t="shared" si="187"/>
        <v>0</v>
      </c>
      <c r="AL378" s="82">
        <f t="shared" si="195"/>
        <v>0</v>
      </c>
      <c r="AM378" s="58">
        <f t="shared" si="196"/>
        <v>0</v>
      </c>
      <c r="AN378" s="74"/>
      <c r="AO378" s="84"/>
      <c r="AP378" s="74"/>
      <c r="AQ378" s="85"/>
      <c r="AR378" s="74"/>
      <c r="AS378" s="74"/>
      <c r="AT378" s="74"/>
      <c r="AU378" s="55" t="str">
        <f t="shared" si="206"/>
        <v/>
      </c>
      <c r="AV378" s="55" t="str">
        <f t="shared" ca="1" si="207"/>
        <v/>
      </c>
      <c r="AW378" s="55" t="str">
        <f t="shared" si="197"/>
        <v/>
      </c>
      <c r="AX378" s="55" t="str">
        <f t="shared" ca="1" si="198"/>
        <v/>
      </c>
      <c r="AY378" s="86"/>
      <c r="AZ378" s="86"/>
      <c r="BA378" s="55" t="str">
        <f t="shared" si="208"/>
        <v/>
      </c>
      <c r="BB378" s="86"/>
      <c r="BC378" s="86"/>
      <c r="BD378" s="55" t="str">
        <f t="shared" si="209"/>
        <v/>
      </c>
      <c r="BE378" s="74"/>
      <c r="BS378" s="118"/>
      <c r="BT378" s="118"/>
      <c r="BU378" s="118"/>
      <c r="BV378" s="118"/>
      <c r="BW378" s="118"/>
      <c r="BX378" s="118"/>
      <c r="BZ378" s="118"/>
      <c r="CB378" s="118"/>
      <c r="CC378" s="118"/>
      <c r="CD378" s="118"/>
    </row>
    <row r="379" spans="1:82" ht="17.399999999999999" customHeight="1">
      <c r="A379" s="87">
        <f t="shared" si="211"/>
        <v>53.5</v>
      </c>
      <c r="B379" s="111">
        <f t="shared" si="191"/>
        <v>369</v>
      </c>
      <c r="C379" s="60"/>
      <c r="D379" s="74"/>
      <c r="E379" s="75"/>
      <c r="F379" s="74"/>
      <c r="G379" s="54">
        <f t="shared" si="219"/>
        <v>0</v>
      </c>
      <c r="H379" s="55">
        <f t="shared" si="219"/>
        <v>0</v>
      </c>
      <c r="I379" s="76">
        <f t="shared" si="200"/>
        <v>0</v>
      </c>
      <c r="J379" s="58">
        <f t="shared" si="201"/>
        <v>0</v>
      </c>
      <c r="K379" s="58">
        <f t="shared" si="202"/>
        <v>0</v>
      </c>
      <c r="L379" s="58">
        <f t="shared" si="203"/>
        <v>0</v>
      </c>
      <c r="M379" s="58" t="str">
        <f t="shared" ca="1" si="204"/>
        <v/>
      </c>
      <c r="N379" s="58" t="str">
        <f t="shared" ca="1" si="204"/>
        <v/>
      </c>
      <c r="O379" s="58">
        <f t="shared" si="205"/>
        <v>5.0000000000000001E-4</v>
      </c>
      <c r="P379" s="77"/>
      <c r="Q379" s="60"/>
      <c r="R379" s="77"/>
      <c r="S379" s="78">
        <f t="shared" si="192"/>
        <v>0</v>
      </c>
      <c r="T379" s="55">
        <f t="shared" si="192"/>
        <v>0</v>
      </c>
      <c r="U379" s="79">
        <f t="shared" si="212"/>
        <v>0</v>
      </c>
      <c r="V379" s="63">
        <f t="shared" si="213"/>
        <v>0</v>
      </c>
      <c r="W379" s="64">
        <f t="shared" si="220"/>
        <v>146</v>
      </c>
      <c r="X379" s="80">
        <f t="shared" si="220"/>
        <v>162</v>
      </c>
      <c r="Y379" s="75"/>
      <c r="Z379" s="60"/>
      <c r="AA379" s="75"/>
      <c r="AB379" s="75"/>
      <c r="AC379" s="75"/>
      <c r="AD379" s="75"/>
      <c r="AE379" s="81">
        <f t="shared" si="193"/>
        <v>0</v>
      </c>
      <c r="AF379" s="55">
        <f t="shared" si="194"/>
        <v>0</v>
      </c>
      <c r="AG379" s="76">
        <f t="shared" si="188"/>
        <v>0</v>
      </c>
      <c r="AH379" s="82">
        <f t="shared" si="189"/>
        <v>0</v>
      </c>
      <c r="AI379" s="83">
        <f t="shared" si="189"/>
        <v>0</v>
      </c>
      <c r="AJ379" s="83">
        <f t="shared" si="189"/>
        <v>0</v>
      </c>
      <c r="AK379" s="58">
        <f t="shared" si="187"/>
        <v>0</v>
      </c>
      <c r="AL379" s="82">
        <f t="shared" si="195"/>
        <v>0</v>
      </c>
      <c r="AM379" s="58">
        <f t="shared" si="196"/>
        <v>0</v>
      </c>
      <c r="AN379" s="74"/>
      <c r="AO379" s="84"/>
      <c r="AP379" s="74"/>
      <c r="AQ379" s="85"/>
      <c r="AR379" s="74"/>
      <c r="AS379" s="74"/>
      <c r="AT379" s="74"/>
      <c r="AU379" s="55" t="str">
        <f t="shared" si="206"/>
        <v/>
      </c>
      <c r="AV379" s="55" t="str">
        <f t="shared" ca="1" si="207"/>
        <v/>
      </c>
      <c r="AW379" s="55" t="str">
        <f t="shared" si="197"/>
        <v/>
      </c>
      <c r="AX379" s="55" t="str">
        <f t="shared" ca="1" si="198"/>
        <v/>
      </c>
      <c r="AY379" s="86"/>
      <c r="AZ379" s="86"/>
      <c r="BA379" s="55" t="str">
        <f t="shared" si="208"/>
        <v/>
      </c>
      <c r="BB379" s="86"/>
      <c r="BC379" s="86"/>
      <c r="BD379" s="55" t="str">
        <f t="shared" si="209"/>
        <v/>
      </c>
      <c r="BE379" s="74"/>
      <c r="BS379" s="118"/>
      <c r="BT379" s="118"/>
      <c r="BU379" s="118"/>
      <c r="BV379" s="118"/>
      <c r="BW379" s="118"/>
      <c r="BX379" s="118"/>
      <c r="BZ379" s="118"/>
      <c r="CB379" s="118"/>
      <c r="CC379" s="118"/>
      <c r="CD379" s="118"/>
    </row>
    <row r="380" spans="1:82" ht="17.399999999999999" customHeight="1">
      <c r="A380" s="72">
        <f t="shared" si="211"/>
        <v>53.6</v>
      </c>
      <c r="B380" s="111">
        <f t="shared" si="191"/>
        <v>370</v>
      </c>
      <c r="C380" s="60"/>
      <c r="D380" s="74"/>
      <c r="E380" s="75"/>
      <c r="F380" s="74"/>
      <c r="G380" s="54">
        <f t="shared" ref="G380:H395" si="221">G379-E380-C380</f>
        <v>0</v>
      </c>
      <c r="H380" s="55">
        <f t="shared" si="221"/>
        <v>0</v>
      </c>
      <c r="I380" s="76">
        <f t="shared" si="200"/>
        <v>0</v>
      </c>
      <c r="J380" s="58">
        <f t="shared" si="201"/>
        <v>0</v>
      </c>
      <c r="K380" s="58">
        <f t="shared" si="202"/>
        <v>0</v>
      </c>
      <c r="L380" s="58">
        <f t="shared" si="203"/>
        <v>0</v>
      </c>
      <c r="M380" s="58" t="str">
        <f t="shared" ca="1" si="204"/>
        <v/>
      </c>
      <c r="N380" s="58" t="str">
        <f t="shared" ca="1" si="204"/>
        <v/>
      </c>
      <c r="O380" s="58">
        <f t="shared" si="205"/>
        <v>5.0000000000000001E-4</v>
      </c>
      <c r="P380" s="77"/>
      <c r="Q380" s="60"/>
      <c r="R380" s="77"/>
      <c r="S380" s="78">
        <f t="shared" si="192"/>
        <v>0</v>
      </c>
      <c r="T380" s="55">
        <f t="shared" si="192"/>
        <v>0</v>
      </c>
      <c r="U380" s="79">
        <f t="shared" si="212"/>
        <v>0</v>
      </c>
      <c r="V380" s="63">
        <f t="shared" si="213"/>
        <v>0</v>
      </c>
      <c r="W380" s="64">
        <f t="shared" si="220"/>
        <v>146</v>
      </c>
      <c r="X380" s="80">
        <f t="shared" si="220"/>
        <v>162</v>
      </c>
      <c r="Y380" s="75"/>
      <c r="Z380" s="60"/>
      <c r="AA380" s="75"/>
      <c r="AB380" s="75"/>
      <c r="AC380" s="75"/>
      <c r="AD380" s="75"/>
      <c r="AE380" s="81">
        <f t="shared" si="193"/>
        <v>0</v>
      </c>
      <c r="AF380" s="55">
        <f t="shared" si="194"/>
        <v>0</v>
      </c>
      <c r="AG380" s="76">
        <f t="shared" si="188"/>
        <v>0</v>
      </c>
      <c r="AH380" s="82">
        <f t="shared" si="189"/>
        <v>0</v>
      </c>
      <c r="AI380" s="83">
        <f t="shared" si="189"/>
        <v>0</v>
      </c>
      <c r="AJ380" s="83">
        <f t="shared" si="189"/>
        <v>0</v>
      </c>
      <c r="AK380" s="58">
        <f t="shared" si="187"/>
        <v>0</v>
      </c>
      <c r="AL380" s="82">
        <f t="shared" si="195"/>
        <v>0</v>
      </c>
      <c r="AM380" s="58">
        <f t="shared" si="196"/>
        <v>0</v>
      </c>
      <c r="AN380" s="74"/>
      <c r="AO380" s="84"/>
      <c r="AP380" s="74"/>
      <c r="AQ380" s="85"/>
      <c r="AR380" s="74"/>
      <c r="AS380" s="74"/>
      <c r="AT380" s="74"/>
      <c r="AU380" s="55" t="str">
        <f t="shared" si="206"/>
        <v/>
      </c>
      <c r="AV380" s="55" t="str">
        <f t="shared" ca="1" si="207"/>
        <v/>
      </c>
      <c r="AW380" s="55" t="str">
        <f t="shared" si="197"/>
        <v/>
      </c>
      <c r="AX380" s="55" t="str">
        <f t="shared" ca="1" si="198"/>
        <v/>
      </c>
      <c r="AY380" s="86"/>
      <c r="AZ380" s="86"/>
      <c r="BA380" s="55" t="str">
        <f t="shared" si="208"/>
        <v/>
      </c>
      <c r="BB380" s="86"/>
      <c r="BC380" s="86"/>
      <c r="BD380" s="55" t="str">
        <f t="shared" si="209"/>
        <v/>
      </c>
      <c r="BE380" s="74"/>
      <c r="BS380" s="118"/>
      <c r="BT380" s="118"/>
      <c r="BU380" s="118"/>
      <c r="BV380" s="118"/>
      <c r="BW380" s="118"/>
      <c r="BX380" s="118"/>
      <c r="BZ380" s="118"/>
      <c r="CB380" s="118"/>
      <c r="CC380" s="118"/>
      <c r="CD380" s="118"/>
    </row>
    <row r="381" spans="1:82" ht="17.399999999999999" customHeight="1" thickBot="1">
      <c r="A381" s="87">
        <f t="shared" si="211"/>
        <v>53.7</v>
      </c>
      <c r="B381" s="113">
        <f t="shared" si="191"/>
        <v>371</v>
      </c>
      <c r="C381" s="89"/>
      <c r="D381" s="90"/>
      <c r="E381" s="91"/>
      <c r="F381" s="90"/>
      <c r="G381" s="92">
        <f t="shared" si="221"/>
        <v>0</v>
      </c>
      <c r="H381" s="93">
        <f t="shared" si="221"/>
        <v>0</v>
      </c>
      <c r="I381" s="94">
        <f t="shared" si="200"/>
        <v>0</v>
      </c>
      <c r="J381" s="95">
        <f t="shared" si="201"/>
        <v>0</v>
      </c>
      <c r="K381" s="95">
        <f t="shared" si="202"/>
        <v>0</v>
      </c>
      <c r="L381" s="95">
        <f t="shared" si="203"/>
        <v>0</v>
      </c>
      <c r="M381" s="95" t="str">
        <f t="shared" ca="1" si="204"/>
        <v/>
      </c>
      <c r="N381" s="95" t="str">
        <f t="shared" ca="1" si="204"/>
        <v/>
      </c>
      <c r="O381" s="95">
        <f t="shared" si="205"/>
        <v>5.0000000000000001E-4</v>
      </c>
      <c r="P381" s="96"/>
      <c r="Q381" s="89"/>
      <c r="R381" s="96"/>
      <c r="S381" s="78">
        <f t="shared" si="192"/>
        <v>0</v>
      </c>
      <c r="T381" s="55">
        <f t="shared" si="192"/>
        <v>0</v>
      </c>
      <c r="U381" s="97">
        <f t="shared" si="212"/>
        <v>0</v>
      </c>
      <c r="V381" s="98">
        <f t="shared" si="213"/>
        <v>0</v>
      </c>
      <c r="W381" s="99">
        <f t="shared" si="220"/>
        <v>146</v>
      </c>
      <c r="X381" s="100">
        <f t="shared" si="220"/>
        <v>162</v>
      </c>
      <c r="Y381" s="91"/>
      <c r="Z381" s="60"/>
      <c r="AA381" s="75"/>
      <c r="AB381" s="75"/>
      <c r="AC381" s="75"/>
      <c r="AD381" s="75"/>
      <c r="AE381" s="101">
        <f t="shared" si="193"/>
        <v>0</v>
      </c>
      <c r="AF381" s="93">
        <f t="shared" si="194"/>
        <v>0</v>
      </c>
      <c r="AG381" s="94">
        <f t="shared" si="188"/>
        <v>0</v>
      </c>
      <c r="AH381" s="102">
        <f t="shared" si="189"/>
        <v>0</v>
      </c>
      <c r="AI381" s="103">
        <f t="shared" si="189"/>
        <v>0</v>
      </c>
      <c r="AJ381" s="103">
        <f t="shared" si="189"/>
        <v>0</v>
      </c>
      <c r="AK381" s="95">
        <f t="shared" si="187"/>
        <v>0</v>
      </c>
      <c r="AL381" s="102">
        <f t="shared" si="195"/>
        <v>0</v>
      </c>
      <c r="AM381" s="95">
        <f t="shared" si="196"/>
        <v>0</v>
      </c>
      <c r="AN381" s="90"/>
      <c r="AO381" s="104"/>
      <c r="AP381" s="90"/>
      <c r="AQ381" s="105"/>
      <c r="AR381" s="90"/>
      <c r="AS381" s="90"/>
      <c r="AT381" s="90"/>
      <c r="AU381" s="93" t="str">
        <f t="shared" si="206"/>
        <v/>
      </c>
      <c r="AV381" s="93" t="str">
        <f t="shared" ca="1" si="207"/>
        <v/>
      </c>
      <c r="AW381" s="93" t="str">
        <f t="shared" si="197"/>
        <v/>
      </c>
      <c r="AX381" s="93" t="str">
        <f t="shared" ca="1" si="198"/>
        <v/>
      </c>
      <c r="AY381" s="106"/>
      <c r="AZ381" s="106"/>
      <c r="BA381" s="93" t="str">
        <f t="shared" si="208"/>
        <v/>
      </c>
      <c r="BB381" s="106"/>
      <c r="BC381" s="106"/>
      <c r="BD381" s="93" t="str">
        <f t="shared" si="209"/>
        <v/>
      </c>
      <c r="BE381" s="90"/>
      <c r="BS381" s="118"/>
      <c r="BT381" s="118"/>
      <c r="BU381" s="118"/>
      <c r="BV381" s="118"/>
      <c r="BW381" s="118"/>
      <c r="BX381" s="118"/>
      <c r="BZ381" s="118"/>
      <c r="CB381" s="118"/>
      <c r="CC381" s="118"/>
      <c r="CD381" s="118"/>
    </row>
    <row r="382" spans="1:82" ht="17.399999999999999" customHeight="1" thickTop="1">
      <c r="A382" s="107">
        <f>A375+1</f>
        <v>54.1</v>
      </c>
      <c r="B382" s="108">
        <f>B381+1</f>
        <v>372</v>
      </c>
      <c r="C382" s="51"/>
      <c r="D382" s="52"/>
      <c r="E382" s="53"/>
      <c r="F382" s="52"/>
      <c r="G382" s="54">
        <f t="shared" si="221"/>
        <v>0</v>
      </c>
      <c r="H382" s="55">
        <f t="shared" si="221"/>
        <v>0</v>
      </c>
      <c r="I382" s="56">
        <f t="shared" si="200"/>
        <v>0</v>
      </c>
      <c r="J382" s="57">
        <f t="shared" si="201"/>
        <v>0</v>
      </c>
      <c r="K382" s="57">
        <f t="shared" si="202"/>
        <v>0</v>
      </c>
      <c r="L382" s="57">
        <f t="shared" si="203"/>
        <v>0</v>
      </c>
      <c r="M382" s="58" t="str">
        <f t="shared" ca="1" si="204"/>
        <v/>
      </c>
      <c r="N382" s="58" t="str">
        <f t="shared" ca="1" si="204"/>
        <v/>
      </c>
      <c r="O382" s="58">
        <f t="shared" si="205"/>
        <v>5.0000000000000001E-4</v>
      </c>
      <c r="P382" s="77"/>
      <c r="Q382" s="60"/>
      <c r="R382" s="77"/>
      <c r="S382" s="109">
        <f t="shared" si="192"/>
        <v>0</v>
      </c>
      <c r="T382" s="61">
        <f t="shared" si="192"/>
        <v>0</v>
      </c>
      <c r="U382" s="62">
        <f t="shared" si="212"/>
        <v>0</v>
      </c>
      <c r="V382" s="63">
        <f t="shared" si="213"/>
        <v>0</v>
      </c>
      <c r="W382" s="64">
        <v>147</v>
      </c>
      <c r="X382" s="80">
        <v>161</v>
      </c>
      <c r="Y382" s="53"/>
      <c r="Z382" s="51"/>
      <c r="AA382" s="53"/>
      <c r="AB382" s="53"/>
      <c r="AC382" s="53"/>
      <c r="AD382" s="53"/>
      <c r="AE382" s="66">
        <f t="shared" si="193"/>
        <v>0</v>
      </c>
      <c r="AF382" s="61">
        <f t="shared" si="194"/>
        <v>0</v>
      </c>
      <c r="AG382" s="56">
        <f t="shared" si="188"/>
        <v>0</v>
      </c>
      <c r="AH382" s="67">
        <f t="shared" si="189"/>
        <v>0</v>
      </c>
      <c r="AI382" s="68">
        <f t="shared" si="189"/>
        <v>0</v>
      </c>
      <c r="AJ382" s="68">
        <f t="shared" si="189"/>
        <v>0</v>
      </c>
      <c r="AK382" s="57">
        <f t="shared" si="187"/>
        <v>0</v>
      </c>
      <c r="AL382" s="67">
        <f t="shared" si="195"/>
        <v>0</v>
      </c>
      <c r="AM382" s="57">
        <f t="shared" si="196"/>
        <v>0</v>
      </c>
      <c r="AN382" s="52"/>
      <c r="AO382" s="69"/>
      <c r="AP382" s="52"/>
      <c r="AQ382" s="70"/>
      <c r="AR382" s="52"/>
      <c r="AS382" s="52"/>
      <c r="AT382" s="52"/>
      <c r="AU382" s="61" t="str">
        <f t="shared" si="206"/>
        <v/>
      </c>
      <c r="AV382" s="61" t="str">
        <f t="shared" ca="1" si="207"/>
        <v/>
      </c>
      <c r="AW382" s="61" t="str">
        <f t="shared" si="197"/>
        <v/>
      </c>
      <c r="AX382" s="61" t="str">
        <f t="shared" ca="1" si="198"/>
        <v/>
      </c>
      <c r="AY382" s="71"/>
      <c r="AZ382" s="71"/>
      <c r="BA382" s="61" t="str">
        <f t="shared" si="208"/>
        <v/>
      </c>
      <c r="BB382" s="71"/>
      <c r="BC382" s="71"/>
      <c r="BD382" s="61" t="str">
        <f t="shared" si="209"/>
        <v/>
      </c>
      <c r="BE382" s="52"/>
      <c r="BS382" s="118"/>
      <c r="BT382" s="118"/>
      <c r="BU382" s="118"/>
      <c r="BV382" s="118"/>
      <c r="BW382" s="118"/>
      <c r="BX382" s="118"/>
      <c r="BZ382" s="118"/>
      <c r="CB382" s="118"/>
      <c r="CC382" s="118"/>
      <c r="CD382" s="118"/>
    </row>
    <row r="383" spans="1:82" ht="17.399999999999999" customHeight="1">
      <c r="A383" s="87">
        <f t="shared" si="211"/>
        <v>54.2</v>
      </c>
      <c r="B383" s="111">
        <f t="shared" si="191"/>
        <v>373</v>
      </c>
      <c r="C383" s="60"/>
      <c r="D383" s="74"/>
      <c r="E383" s="75"/>
      <c r="F383" s="74"/>
      <c r="G383" s="54">
        <f t="shared" si="221"/>
        <v>0</v>
      </c>
      <c r="H383" s="55">
        <f t="shared" si="221"/>
        <v>0</v>
      </c>
      <c r="I383" s="76">
        <f t="shared" si="200"/>
        <v>0</v>
      </c>
      <c r="J383" s="58">
        <f t="shared" si="201"/>
        <v>0</v>
      </c>
      <c r="K383" s="58">
        <f t="shared" si="202"/>
        <v>0</v>
      </c>
      <c r="L383" s="58">
        <f t="shared" si="203"/>
        <v>0</v>
      </c>
      <c r="M383" s="58" t="str">
        <f t="shared" ca="1" si="204"/>
        <v/>
      </c>
      <c r="N383" s="58" t="str">
        <f t="shared" ca="1" si="204"/>
        <v/>
      </c>
      <c r="O383" s="58">
        <f t="shared" si="205"/>
        <v>5.0000000000000001E-4</v>
      </c>
      <c r="P383" s="77"/>
      <c r="Q383" s="60"/>
      <c r="R383" s="77"/>
      <c r="S383" s="78">
        <f t="shared" si="192"/>
        <v>0</v>
      </c>
      <c r="T383" s="55">
        <f t="shared" si="192"/>
        <v>0</v>
      </c>
      <c r="U383" s="79">
        <f t="shared" si="212"/>
        <v>0</v>
      </c>
      <c r="V383" s="63">
        <f t="shared" si="213"/>
        <v>0</v>
      </c>
      <c r="W383" s="64">
        <f t="shared" ref="W383:X388" si="222">W382</f>
        <v>147</v>
      </c>
      <c r="X383" s="80">
        <f t="shared" si="222"/>
        <v>161</v>
      </c>
      <c r="Y383" s="75"/>
      <c r="Z383" s="60"/>
      <c r="AA383" s="75"/>
      <c r="AB383" s="75"/>
      <c r="AC383" s="75"/>
      <c r="AD383" s="75"/>
      <c r="AE383" s="81">
        <f t="shared" si="193"/>
        <v>0</v>
      </c>
      <c r="AF383" s="55">
        <f t="shared" si="194"/>
        <v>0</v>
      </c>
      <c r="AG383" s="76">
        <f t="shared" si="188"/>
        <v>0</v>
      </c>
      <c r="AH383" s="82">
        <f t="shared" si="189"/>
        <v>0</v>
      </c>
      <c r="AI383" s="83">
        <f t="shared" si="189"/>
        <v>0</v>
      </c>
      <c r="AJ383" s="83">
        <f t="shared" si="189"/>
        <v>0</v>
      </c>
      <c r="AK383" s="58">
        <f t="shared" si="187"/>
        <v>0</v>
      </c>
      <c r="AL383" s="82">
        <f t="shared" si="195"/>
        <v>0</v>
      </c>
      <c r="AM383" s="58">
        <f t="shared" si="196"/>
        <v>0</v>
      </c>
      <c r="AN383" s="74"/>
      <c r="AO383" s="84"/>
      <c r="AP383" s="74"/>
      <c r="AQ383" s="85"/>
      <c r="AR383" s="74"/>
      <c r="AS383" s="74"/>
      <c r="AT383" s="74"/>
      <c r="AU383" s="55" t="str">
        <f t="shared" si="206"/>
        <v/>
      </c>
      <c r="AV383" s="55" t="str">
        <f t="shared" ca="1" si="207"/>
        <v/>
      </c>
      <c r="AW383" s="55" t="str">
        <f t="shared" si="197"/>
        <v/>
      </c>
      <c r="AX383" s="55" t="str">
        <f t="shared" ca="1" si="198"/>
        <v/>
      </c>
      <c r="AY383" s="86"/>
      <c r="AZ383" s="86"/>
      <c r="BA383" s="55" t="str">
        <f t="shared" si="208"/>
        <v/>
      </c>
      <c r="BB383" s="86"/>
      <c r="BC383" s="86"/>
      <c r="BD383" s="55" t="str">
        <f t="shared" si="209"/>
        <v/>
      </c>
      <c r="BE383" s="74"/>
      <c r="BS383" s="118"/>
      <c r="BT383" s="118"/>
      <c r="BU383" s="118"/>
      <c r="BV383" s="118"/>
      <c r="BW383" s="118"/>
      <c r="BX383" s="118"/>
      <c r="BZ383" s="118"/>
      <c r="CB383" s="118"/>
      <c r="CC383" s="118"/>
      <c r="CD383" s="118"/>
    </row>
    <row r="384" spans="1:82" ht="17.399999999999999" customHeight="1">
      <c r="A384" s="72">
        <f t="shared" si="211"/>
        <v>54.3</v>
      </c>
      <c r="B384" s="111">
        <f t="shared" si="191"/>
        <v>374</v>
      </c>
      <c r="C384" s="60"/>
      <c r="D384" s="74"/>
      <c r="E384" s="75"/>
      <c r="F384" s="74"/>
      <c r="G384" s="54">
        <f t="shared" si="221"/>
        <v>0</v>
      </c>
      <c r="H384" s="55">
        <f t="shared" si="221"/>
        <v>0</v>
      </c>
      <c r="I384" s="76">
        <f t="shared" si="200"/>
        <v>0</v>
      </c>
      <c r="J384" s="58">
        <f t="shared" si="201"/>
        <v>0</v>
      </c>
      <c r="K384" s="58">
        <f t="shared" si="202"/>
        <v>0</v>
      </c>
      <c r="L384" s="58">
        <f t="shared" si="203"/>
        <v>0</v>
      </c>
      <c r="M384" s="58" t="str">
        <f t="shared" ca="1" si="204"/>
        <v/>
      </c>
      <c r="N384" s="58" t="str">
        <f t="shared" ca="1" si="204"/>
        <v/>
      </c>
      <c r="O384" s="58">
        <f t="shared" si="205"/>
        <v>5.0000000000000001E-4</v>
      </c>
      <c r="P384" s="77"/>
      <c r="Q384" s="60"/>
      <c r="R384" s="77"/>
      <c r="S384" s="78">
        <f t="shared" si="192"/>
        <v>0</v>
      </c>
      <c r="T384" s="55">
        <f t="shared" si="192"/>
        <v>0</v>
      </c>
      <c r="U384" s="79">
        <f t="shared" si="212"/>
        <v>0</v>
      </c>
      <c r="V384" s="63">
        <f t="shared" si="213"/>
        <v>0</v>
      </c>
      <c r="W384" s="64">
        <f t="shared" si="222"/>
        <v>147</v>
      </c>
      <c r="X384" s="80">
        <f t="shared" si="222"/>
        <v>161</v>
      </c>
      <c r="Y384" s="75"/>
      <c r="Z384" s="60"/>
      <c r="AA384" s="75"/>
      <c r="AB384" s="75"/>
      <c r="AC384" s="75"/>
      <c r="AD384" s="75"/>
      <c r="AE384" s="81">
        <f t="shared" si="193"/>
        <v>0</v>
      </c>
      <c r="AF384" s="55">
        <f t="shared" si="194"/>
        <v>0</v>
      </c>
      <c r="AG384" s="76">
        <f t="shared" si="188"/>
        <v>0</v>
      </c>
      <c r="AH384" s="82">
        <f t="shared" si="189"/>
        <v>0</v>
      </c>
      <c r="AI384" s="83">
        <f t="shared" si="189"/>
        <v>0</v>
      </c>
      <c r="AJ384" s="83">
        <f t="shared" si="189"/>
        <v>0</v>
      </c>
      <c r="AK384" s="58">
        <f t="shared" si="187"/>
        <v>0</v>
      </c>
      <c r="AL384" s="82">
        <f t="shared" si="195"/>
        <v>0</v>
      </c>
      <c r="AM384" s="58">
        <f t="shared" si="196"/>
        <v>0</v>
      </c>
      <c r="AN384" s="74"/>
      <c r="AO384" s="84"/>
      <c r="AP384" s="74"/>
      <c r="AQ384" s="85"/>
      <c r="AR384" s="74"/>
      <c r="AS384" s="74"/>
      <c r="AT384" s="74"/>
      <c r="AU384" s="55" t="str">
        <f t="shared" si="206"/>
        <v/>
      </c>
      <c r="AV384" s="55" t="str">
        <f t="shared" ca="1" si="207"/>
        <v/>
      </c>
      <c r="AW384" s="55" t="str">
        <f t="shared" si="197"/>
        <v/>
      </c>
      <c r="AX384" s="55" t="str">
        <f t="shared" ca="1" si="198"/>
        <v/>
      </c>
      <c r="AY384" s="86"/>
      <c r="AZ384" s="86"/>
      <c r="BA384" s="55" t="str">
        <f t="shared" si="208"/>
        <v/>
      </c>
      <c r="BB384" s="86"/>
      <c r="BC384" s="86"/>
      <c r="BD384" s="55" t="str">
        <f t="shared" si="209"/>
        <v/>
      </c>
      <c r="BE384" s="74"/>
      <c r="BS384" s="118"/>
      <c r="BT384" s="118"/>
      <c r="BU384" s="118"/>
      <c r="BV384" s="118"/>
      <c r="BW384" s="118"/>
      <c r="BX384" s="118"/>
      <c r="BZ384" s="118"/>
      <c r="CB384" s="118"/>
      <c r="CC384" s="118"/>
      <c r="CD384" s="118"/>
    </row>
    <row r="385" spans="1:82" ht="17.399999999999999" customHeight="1">
      <c r="A385" s="87">
        <f t="shared" si="211"/>
        <v>54.4</v>
      </c>
      <c r="B385" s="111">
        <f t="shared" si="191"/>
        <v>375</v>
      </c>
      <c r="C385" s="60"/>
      <c r="D385" s="74"/>
      <c r="E385" s="75"/>
      <c r="F385" s="74"/>
      <c r="G385" s="54">
        <f t="shared" si="221"/>
        <v>0</v>
      </c>
      <c r="H385" s="55">
        <f t="shared" si="221"/>
        <v>0</v>
      </c>
      <c r="I385" s="76">
        <f t="shared" si="200"/>
        <v>0</v>
      </c>
      <c r="J385" s="58">
        <f t="shared" si="201"/>
        <v>0</v>
      </c>
      <c r="K385" s="58">
        <f t="shared" si="202"/>
        <v>0</v>
      </c>
      <c r="L385" s="58">
        <f t="shared" si="203"/>
        <v>0</v>
      </c>
      <c r="M385" s="58" t="str">
        <f t="shared" ca="1" si="204"/>
        <v/>
      </c>
      <c r="N385" s="58" t="str">
        <f t="shared" ca="1" si="204"/>
        <v/>
      </c>
      <c r="O385" s="58">
        <f t="shared" si="205"/>
        <v>5.0000000000000001E-4</v>
      </c>
      <c r="P385" s="77"/>
      <c r="Q385" s="60"/>
      <c r="R385" s="77"/>
      <c r="S385" s="78">
        <f t="shared" si="192"/>
        <v>0</v>
      </c>
      <c r="T385" s="55">
        <f t="shared" si="192"/>
        <v>0</v>
      </c>
      <c r="U385" s="79">
        <f t="shared" si="212"/>
        <v>0</v>
      </c>
      <c r="V385" s="63">
        <f t="shared" si="213"/>
        <v>0</v>
      </c>
      <c r="W385" s="64">
        <f t="shared" si="222"/>
        <v>147</v>
      </c>
      <c r="X385" s="80">
        <f t="shared" si="222"/>
        <v>161</v>
      </c>
      <c r="Y385" s="75"/>
      <c r="Z385" s="60"/>
      <c r="AA385" s="75"/>
      <c r="AB385" s="75"/>
      <c r="AC385" s="75"/>
      <c r="AD385" s="75"/>
      <c r="AE385" s="81">
        <f t="shared" si="193"/>
        <v>0</v>
      </c>
      <c r="AF385" s="55">
        <f t="shared" si="194"/>
        <v>0</v>
      </c>
      <c r="AG385" s="76">
        <f t="shared" si="188"/>
        <v>0</v>
      </c>
      <c r="AH385" s="82">
        <f t="shared" si="189"/>
        <v>0</v>
      </c>
      <c r="AI385" s="83">
        <f t="shared" si="189"/>
        <v>0</v>
      </c>
      <c r="AJ385" s="83">
        <f t="shared" si="189"/>
        <v>0</v>
      </c>
      <c r="AK385" s="58">
        <f t="shared" si="187"/>
        <v>0</v>
      </c>
      <c r="AL385" s="82">
        <f t="shared" si="195"/>
        <v>0</v>
      </c>
      <c r="AM385" s="58">
        <f t="shared" si="196"/>
        <v>0</v>
      </c>
      <c r="AN385" s="74"/>
      <c r="AO385" s="84"/>
      <c r="AP385" s="74"/>
      <c r="AQ385" s="85"/>
      <c r="AR385" s="74"/>
      <c r="AS385" s="74"/>
      <c r="AT385" s="74"/>
      <c r="AU385" s="55" t="str">
        <f t="shared" si="206"/>
        <v/>
      </c>
      <c r="AV385" s="55" t="str">
        <f t="shared" ca="1" si="207"/>
        <v/>
      </c>
      <c r="AW385" s="55" t="str">
        <f t="shared" si="197"/>
        <v/>
      </c>
      <c r="AX385" s="55" t="str">
        <f t="shared" ca="1" si="198"/>
        <v/>
      </c>
      <c r="AY385" s="86"/>
      <c r="AZ385" s="86"/>
      <c r="BA385" s="55" t="str">
        <f t="shared" si="208"/>
        <v/>
      </c>
      <c r="BB385" s="86"/>
      <c r="BC385" s="86"/>
      <c r="BD385" s="55" t="str">
        <f t="shared" si="209"/>
        <v/>
      </c>
      <c r="BE385" s="74"/>
      <c r="BS385" s="118"/>
      <c r="BT385" s="118"/>
      <c r="BU385" s="118"/>
      <c r="BV385" s="118"/>
      <c r="BW385" s="118"/>
      <c r="BX385" s="118"/>
      <c r="BZ385" s="118"/>
      <c r="CB385" s="118"/>
      <c r="CC385" s="118"/>
      <c r="CD385" s="118"/>
    </row>
    <row r="386" spans="1:82" ht="17.399999999999999" customHeight="1">
      <c r="A386" s="72">
        <f t="shared" si="211"/>
        <v>54.5</v>
      </c>
      <c r="B386" s="111">
        <f t="shared" si="191"/>
        <v>376</v>
      </c>
      <c r="C386" s="60"/>
      <c r="D386" s="74"/>
      <c r="E386" s="75"/>
      <c r="F386" s="74"/>
      <c r="G386" s="54">
        <f t="shared" si="221"/>
        <v>0</v>
      </c>
      <c r="H386" s="55">
        <f t="shared" si="221"/>
        <v>0</v>
      </c>
      <c r="I386" s="76">
        <f t="shared" si="200"/>
        <v>0</v>
      </c>
      <c r="J386" s="58">
        <f t="shared" si="201"/>
        <v>0</v>
      </c>
      <c r="K386" s="58">
        <f t="shared" si="202"/>
        <v>0</v>
      </c>
      <c r="L386" s="58">
        <f t="shared" si="203"/>
        <v>0</v>
      </c>
      <c r="M386" s="58" t="str">
        <f t="shared" ca="1" si="204"/>
        <v/>
      </c>
      <c r="N386" s="58" t="str">
        <f t="shared" ca="1" si="204"/>
        <v/>
      </c>
      <c r="O386" s="58">
        <f t="shared" si="205"/>
        <v>5.0000000000000001E-4</v>
      </c>
      <c r="P386" s="77"/>
      <c r="Q386" s="60"/>
      <c r="R386" s="77"/>
      <c r="S386" s="78">
        <f t="shared" si="192"/>
        <v>0</v>
      </c>
      <c r="T386" s="55">
        <f t="shared" si="192"/>
        <v>0</v>
      </c>
      <c r="U386" s="79">
        <f t="shared" si="212"/>
        <v>0</v>
      </c>
      <c r="V386" s="63">
        <f t="shared" si="213"/>
        <v>0</v>
      </c>
      <c r="W386" s="64">
        <f t="shared" si="222"/>
        <v>147</v>
      </c>
      <c r="X386" s="80">
        <f t="shared" si="222"/>
        <v>161</v>
      </c>
      <c r="Y386" s="75"/>
      <c r="Z386" s="60"/>
      <c r="AA386" s="75"/>
      <c r="AB386" s="75"/>
      <c r="AC386" s="75"/>
      <c r="AD386" s="75"/>
      <c r="AE386" s="81">
        <f t="shared" si="193"/>
        <v>0</v>
      </c>
      <c r="AF386" s="55">
        <f t="shared" si="194"/>
        <v>0</v>
      </c>
      <c r="AG386" s="76">
        <f t="shared" si="188"/>
        <v>0</v>
      </c>
      <c r="AH386" s="82">
        <f t="shared" si="189"/>
        <v>0</v>
      </c>
      <c r="AI386" s="83">
        <f t="shared" si="189"/>
        <v>0</v>
      </c>
      <c r="AJ386" s="83">
        <f t="shared" si="189"/>
        <v>0</v>
      </c>
      <c r="AK386" s="58">
        <f t="shared" si="187"/>
        <v>0</v>
      </c>
      <c r="AL386" s="82">
        <f t="shared" si="195"/>
        <v>0</v>
      </c>
      <c r="AM386" s="58">
        <f t="shared" si="196"/>
        <v>0</v>
      </c>
      <c r="AN386" s="74"/>
      <c r="AO386" s="84"/>
      <c r="AP386" s="74"/>
      <c r="AQ386" s="85"/>
      <c r="AR386" s="74"/>
      <c r="AS386" s="74"/>
      <c r="AT386" s="74"/>
      <c r="AU386" s="55" t="str">
        <f t="shared" si="206"/>
        <v/>
      </c>
      <c r="AV386" s="55" t="str">
        <f t="shared" ca="1" si="207"/>
        <v/>
      </c>
      <c r="AW386" s="55" t="str">
        <f t="shared" si="197"/>
        <v/>
      </c>
      <c r="AX386" s="55" t="str">
        <f t="shared" ca="1" si="198"/>
        <v/>
      </c>
      <c r="AY386" s="86"/>
      <c r="AZ386" s="86"/>
      <c r="BA386" s="55" t="str">
        <f t="shared" si="208"/>
        <v/>
      </c>
      <c r="BB386" s="86"/>
      <c r="BC386" s="86"/>
      <c r="BD386" s="55" t="str">
        <f t="shared" si="209"/>
        <v/>
      </c>
      <c r="BE386" s="74"/>
      <c r="BS386" s="118"/>
      <c r="BT386" s="118"/>
      <c r="BU386" s="118"/>
      <c r="BV386" s="118"/>
      <c r="BW386" s="118"/>
      <c r="BX386" s="118"/>
      <c r="BZ386" s="118"/>
      <c r="CB386" s="118"/>
      <c r="CC386" s="118"/>
      <c r="CD386" s="118"/>
    </row>
    <row r="387" spans="1:82" ht="17.399999999999999" customHeight="1">
      <c r="A387" s="87">
        <f t="shared" si="211"/>
        <v>54.6</v>
      </c>
      <c r="B387" s="111">
        <f t="shared" si="191"/>
        <v>377</v>
      </c>
      <c r="C387" s="60"/>
      <c r="D387" s="74"/>
      <c r="E387" s="75"/>
      <c r="F387" s="74"/>
      <c r="G387" s="54">
        <f t="shared" si="221"/>
        <v>0</v>
      </c>
      <c r="H387" s="55">
        <f t="shared" si="221"/>
        <v>0</v>
      </c>
      <c r="I387" s="76">
        <f t="shared" si="200"/>
        <v>0</v>
      </c>
      <c r="J387" s="58">
        <f t="shared" si="201"/>
        <v>0</v>
      </c>
      <c r="K387" s="58">
        <f t="shared" si="202"/>
        <v>0</v>
      </c>
      <c r="L387" s="58">
        <f t="shared" si="203"/>
        <v>0</v>
      </c>
      <c r="M387" s="58" t="str">
        <f t="shared" ca="1" si="204"/>
        <v/>
      </c>
      <c r="N387" s="58" t="str">
        <f t="shared" ca="1" si="204"/>
        <v/>
      </c>
      <c r="O387" s="58">
        <f t="shared" si="205"/>
        <v>5.0000000000000001E-4</v>
      </c>
      <c r="P387" s="77"/>
      <c r="Q387" s="60"/>
      <c r="R387" s="77"/>
      <c r="S387" s="78">
        <f t="shared" si="192"/>
        <v>0</v>
      </c>
      <c r="T387" s="55">
        <f t="shared" si="192"/>
        <v>0</v>
      </c>
      <c r="U387" s="79">
        <f t="shared" si="212"/>
        <v>0</v>
      </c>
      <c r="V387" s="63">
        <f t="shared" si="213"/>
        <v>0</v>
      </c>
      <c r="W387" s="64">
        <f t="shared" si="222"/>
        <v>147</v>
      </c>
      <c r="X387" s="80">
        <f t="shared" si="222"/>
        <v>161</v>
      </c>
      <c r="Y387" s="75"/>
      <c r="Z387" s="60"/>
      <c r="AA387" s="75"/>
      <c r="AB387" s="75"/>
      <c r="AC387" s="75"/>
      <c r="AD387" s="75"/>
      <c r="AE387" s="81">
        <f t="shared" si="193"/>
        <v>0</v>
      </c>
      <c r="AF387" s="55">
        <f t="shared" si="194"/>
        <v>0</v>
      </c>
      <c r="AG387" s="76">
        <f t="shared" si="188"/>
        <v>0</v>
      </c>
      <c r="AH387" s="82">
        <f t="shared" si="189"/>
        <v>0</v>
      </c>
      <c r="AI387" s="83">
        <f t="shared" si="189"/>
        <v>0</v>
      </c>
      <c r="AJ387" s="83">
        <f t="shared" si="189"/>
        <v>0</v>
      </c>
      <c r="AK387" s="58">
        <f t="shared" si="187"/>
        <v>0</v>
      </c>
      <c r="AL387" s="82">
        <f t="shared" si="195"/>
        <v>0</v>
      </c>
      <c r="AM387" s="58">
        <f t="shared" si="196"/>
        <v>0</v>
      </c>
      <c r="AN387" s="74"/>
      <c r="AO387" s="84"/>
      <c r="AP387" s="74"/>
      <c r="AQ387" s="85"/>
      <c r="AR387" s="74"/>
      <c r="AS387" s="74"/>
      <c r="AT387" s="74"/>
      <c r="AU387" s="55" t="str">
        <f t="shared" si="206"/>
        <v/>
      </c>
      <c r="AV387" s="55" t="str">
        <f t="shared" ca="1" si="207"/>
        <v/>
      </c>
      <c r="AW387" s="55" t="str">
        <f t="shared" si="197"/>
        <v/>
      </c>
      <c r="AX387" s="55" t="str">
        <f t="shared" ca="1" si="198"/>
        <v/>
      </c>
      <c r="AY387" s="86"/>
      <c r="AZ387" s="86"/>
      <c r="BA387" s="55" t="str">
        <f t="shared" si="208"/>
        <v/>
      </c>
      <c r="BB387" s="86"/>
      <c r="BC387" s="86"/>
      <c r="BD387" s="55" t="str">
        <f t="shared" si="209"/>
        <v/>
      </c>
      <c r="BE387" s="74"/>
      <c r="BS387" s="118"/>
      <c r="BT387" s="118"/>
      <c r="BU387" s="118"/>
      <c r="BV387" s="118"/>
      <c r="BW387" s="118"/>
      <c r="BX387" s="118"/>
      <c r="BZ387" s="118"/>
      <c r="CB387" s="118"/>
      <c r="CC387" s="118"/>
      <c r="CD387" s="118"/>
    </row>
    <row r="388" spans="1:82" ht="17.399999999999999" customHeight="1" thickBot="1">
      <c r="A388" s="72">
        <f t="shared" si="211"/>
        <v>54.7</v>
      </c>
      <c r="B388" s="113">
        <f t="shared" si="191"/>
        <v>378</v>
      </c>
      <c r="C388" s="89"/>
      <c r="D388" s="90"/>
      <c r="E388" s="91"/>
      <c r="F388" s="90"/>
      <c r="G388" s="92">
        <f t="shared" si="221"/>
        <v>0</v>
      </c>
      <c r="H388" s="93">
        <f t="shared" si="221"/>
        <v>0</v>
      </c>
      <c r="I388" s="94">
        <f t="shared" si="200"/>
        <v>0</v>
      </c>
      <c r="J388" s="95">
        <f t="shared" si="201"/>
        <v>0</v>
      </c>
      <c r="K388" s="95">
        <f t="shared" si="202"/>
        <v>0</v>
      </c>
      <c r="L388" s="95">
        <f t="shared" si="203"/>
        <v>0</v>
      </c>
      <c r="M388" s="95" t="str">
        <f t="shared" ca="1" si="204"/>
        <v/>
      </c>
      <c r="N388" s="95" t="str">
        <f t="shared" ca="1" si="204"/>
        <v/>
      </c>
      <c r="O388" s="95">
        <f t="shared" si="205"/>
        <v>5.0000000000000001E-4</v>
      </c>
      <c r="P388" s="96"/>
      <c r="Q388" s="89"/>
      <c r="R388" s="96"/>
      <c r="S388" s="78">
        <f t="shared" si="192"/>
        <v>0</v>
      </c>
      <c r="T388" s="55">
        <f t="shared" si="192"/>
        <v>0</v>
      </c>
      <c r="U388" s="97">
        <f t="shared" si="212"/>
        <v>0</v>
      </c>
      <c r="V388" s="98">
        <f t="shared" si="213"/>
        <v>0</v>
      </c>
      <c r="W388" s="99">
        <f t="shared" si="222"/>
        <v>147</v>
      </c>
      <c r="X388" s="100">
        <f t="shared" si="222"/>
        <v>161</v>
      </c>
      <c r="Y388" s="91"/>
      <c r="Z388" s="60"/>
      <c r="AA388" s="75"/>
      <c r="AB388" s="75"/>
      <c r="AC388" s="75"/>
      <c r="AD388" s="75"/>
      <c r="AE388" s="101">
        <f t="shared" si="193"/>
        <v>0</v>
      </c>
      <c r="AF388" s="93">
        <f t="shared" si="194"/>
        <v>0</v>
      </c>
      <c r="AG388" s="94">
        <f t="shared" si="188"/>
        <v>0</v>
      </c>
      <c r="AH388" s="102">
        <f t="shared" si="189"/>
        <v>0</v>
      </c>
      <c r="AI388" s="103">
        <f t="shared" si="189"/>
        <v>0</v>
      </c>
      <c r="AJ388" s="103">
        <f t="shared" si="189"/>
        <v>0</v>
      </c>
      <c r="AK388" s="95">
        <f t="shared" si="189"/>
        <v>0</v>
      </c>
      <c r="AL388" s="102">
        <f t="shared" si="195"/>
        <v>0</v>
      </c>
      <c r="AM388" s="95">
        <f t="shared" si="196"/>
        <v>0</v>
      </c>
      <c r="AN388" s="90"/>
      <c r="AO388" s="104"/>
      <c r="AP388" s="90"/>
      <c r="AQ388" s="105"/>
      <c r="AR388" s="90"/>
      <c r="AS388" s="90"/>
      <c r="AT388" s="90"/>
      <c r="AU388" s="93" t="str">
        <f t="shared" si="206"/>
        <v/>
      </c>
      <c r="AV388" s="93" t="str">
        <f t="shared" ca="1" si="207"/>
        <v/>
      </c>
      <c r="AW388" s="93" t="str">
        <f t="shared" si="197"/>
        <v/>
      </c>
      <c r="AX388" s="93" t="str">
        <f t="shared" ca="1" si="198"/>
        <v/>
      </c>
      <c r="AY388" s="106"/>
      <c r="AZ388" s="106"/>
      <c r="BA388" s="93" t="str">
        <f t="shared" si="208"/>
        <v/>
      </c>
      <c r="BB388" s="106"/>
      <c r="BC388" s="106"/>
      <c r="BD388" s="93" t="str">
        <f t="shared" si="209"/>
        <v/>
      </c>
      <c r="BE388" s="90"/>
      <c r="BS388" s="118"/>
      <c r="BT388" s="118"/>
      <c r="BU388" s="118"/>
      <c r="BV388" s="118"/>
      <c r="BW388" s="118"/>
      <c r="BX388" s="118"/>
      <c r="BZ388" s="118"/>
      <c r="CB388" s="118"/>
      <c r="CC388" s="118"/>
      <c r="CD388" s="118"/>
    </row>
    <row r="389" spans="1:82" ht="17.399999999999999" customHeight="1" thickTop="1">
      <c r="A389" s="49">
        <f>A382+1</f>
        <v>55.1</v>
      </c>
      <c r="B389" s="108">
        <f>B388+1</f>
        <v>379</v>
      </c>
      <c r="C389" s="51"/>
      <c r="D389" s="52"/>
      <c r="E389" s="53"/>
      <c r="F389" s="52"/>
      <c r="G389" s="54">
        <f t="shared" si="221"/>
        <v>0</v>
      </c>
      <c r="H389" s="55">
        <f t="shared" si="221"/>
        <v>0</v>
      </c>
      <c r="I389" s="56">
        <f t="shared" si="200"/>
        <v>0</v>
      </c>
      <c r="J389" s="57">
        <f t="shared" si="201"/>
        <v>0</v>
      </c>
      <c r="K389" s="57">
        <f t="shared" si="202"/>
        <v>0</v>
      </c>
      <c r="L389" s="57">
        <f t="shared" si="203"/>
        <v>0</v>
      </c>
      <c r="M389" s="58" t="str">
        <f t="shared" ca="1" si="204"/>
        <v/>
      </c>
      <c r="N389" s="58" t="str">
        <f t="shared" ca="1" si="204"/>
        <v/>
      </c>
      <c r="O389" s="58">
        <f t="shared" si="205"/>
        <v>5.0000000000000001E-4</v>
      </c>
      <c r="P389" s="77"/>
      <c r="Q389" s="60"/>
      <c r="R389" s="77"/>
      <c r="S389" s="109">
        <f t="shared" si="192"/>
        <v>0</v>
      </c>
      <c r="T389" s="61">
        <f t="shared" si="192"/>
        <v>0</v>
      </c>
      <c r="U389" s="62">
        <f t="shared" si="212"/>
        <v>0</v>
      </c>
      <c r="V389" s="63">
        <f t="shared" si="213"/>
        <v>0</v>
      </c>
      <c r="W389" s="64">
        <v>148</v>
      </c>
      <c r="X389" s="80">
        <v>160</v>
      </c>
      <c r="Y389" s="53"/>
      <c r="Z389" s="51"/>
      <c r="AA389" s="53"/>
      <c r="AB389" s="53"/>
      <c r="AC389" s="53"/>
      <c r="AD389" s="53"/>
      <c r="AE389" s="66">
        <f t="shared" si="193"/>
        <v>0</v>
      </c>
      <c r="AF389" s="61">
        <f t="shared" si="194"/>
        <v>0</v>
      </c>
      <c r="AG389" s="56">
        <f t="shared" ref="AG389:AG452" si="223">IFERROR(Y389/H388,0)</f>
        <v>0</v>
      </c>
      <c r="AH389" s="67">
        <f t="shared" ref="AH389:AK452" si="224">IFERROR(Z389/$Y389,0)</f>
        <v>0</v>
      </c>
      <c r="AI389" s="68">
        <f t="shared" si="224"/>
        <v>0</v>
      </c>
      <c r="AJ389" s="68">
        <f t="shared" si="224"/>
        <v>0</v>
      </c>
      <c r="AK389" s="57">
        <f t="shared" si="224"/>
        <v>0</v>
      </c>
      <c r="AL389" s="67">
        <f t="shared" si="195"/>
        <v>0</v>
      </c>
      <c r="AM389" s="57">
        <f t="shared" si="196"/>
        <v>0</v>
      </c>
      <c r="AN389" s="52"/>
      <c r="AO389" s="69"/>
      <c r="AP389" s="52"/>
      <c r="AQ389" s="70"/>
      <c r="AR389" s="52"/>
      <c r="AS389" s="52"/>
      <c r="AT389" s="52"/>
      <c r="AU389" s="61" t="str">
        <f t="shared" si="206"/>
        <v/>
      </c>
      <c r="AV389" s="61" t="str">
        <f t="shared" ca="1" si="207"/>
        <v/>
      </c>
      <c r="AW389" s="61" t="str">
        <f t="shared" si="197"/>
        <v/>
      </c>
      <c r="AX389" s="61" t="str">
        <f t="shared" ca="1" si="198"/>
        <v/>
      </c>
      <c r="AY389" s="71"/>
      <c r="AZ389" s="71"/>
      <c r="BA389" s="61" t="str">
        <f t="shared" si="208"/>
        <v/>
      </c>
      <c r="BB389" s="71"/>
      <c r="BC389" s="71"/>
      <c r="BD389" s="61" t="str">
        <f t="shared" si="209"/>
        <v/>
      </c>
      <c r="BE389" s="52"/>
      <c r="BS389" s="118"/>
      <c r="BT389" s="118"/>
      <c r="BU389" s="118"/>
      <c r="BV389" s="118"/>
      <c r="BW389" s="118"/>
      <c r="BX389" s="118"/>
      <c r="BZ389" s="118"/>
      <c r="CB389" s="118"/>
      <c r="CC389" s="118"/>
      <c r="CD389" s="118"/>
    </row>
    <row r="390" spans="1:82" ht="17.399999999999999" customHeight="1">
      <c r="A390" s="72">
        <f t="shared" si="211"/>
        <v>55.2</v>
      </c>
      <c r="B390" s="111">
        <f t="shared" si="191"/>
        <v>380</v>
      </c>
      <c r="C390" s="60"/>
      <c r="D390" s="74"/>
      <c r="E390" s="75"/>
      <c r="F390" s="74"/>
      <c r="G390" s="54">
        <f t="shared" si="221"/>
        <v>0</v>
      </c>
      <c r="H390" s="55">
        <f t="shared" si="221"/>
        <v>0</v>
      </c>
      <c r="I390" s="76">
        <f t="shared" si="200"/>
        <v>0</v>
      </c>
      <c r="J390" s="58">
        <f t="shared" si="201"/>
        <v>0</v>
      </c>
      <c r="K390" s="58">
        <f t="shared" si="202"/>
        <v>0</v>
      </c>
      <c r="L390" s="58">
        <f t="shared" si="203"/>
        <v>0</v>
      </c>
      <c r="M390" s="58" t="str">
        <f t="shared" ca="1" si="204"/>
        <v/>
      </c>
      <c r="N390" s="58" t="str">
        <f t="shared" ca="1" si="204"/>
        <v/>
      </c>
      <c r="O390" s="58">
        <f t="shared" si="205"/>
        <v>5.0000000000000001E-4</v>
      </c>
      <c r="P390" s="77"/>
      <c r="Q390" s="60"/>
      <c r="R390" s="77"/>
      <c r="S390" s="78">
        <f t="shared" si="192"/>
        <v>0</v>
      </c>
      <c r="T390" s="55">
        <f t="shared" si="192"/>
        <v>0</v>
      </c>
      <c r="U390" s="79">
        <f t="shared" si="212"/>
        <v>0</v>
      </c>
      <c r="V390" s="63">
        <f t="shared" si="213"/>
        <v>0</v>
      </c>
      <c r="W390" s="64">
        <f t="shared" ref="W390:X405" si="225">W389</f>
        <v>148</v>
      </c>
      <c r="X390" s="80">
        <f t="shared" si="225"/>
        <v>160</v>
      </c>
      <c r="Y390" s="75"/>
      <c r="Z390" s="60"/>
      <c r="AA390" s="75"/>
      <c r="AB390" s="75"/>
      <c r="AC390" s="75"/>
      <c r="AD390" s="75"/>
      <c r="AE390" s="81">
        <f t="shared" si="193"/>
        <v>0</v>
      </c>
      <c r="AF390" s="55">
        <f t="shared" si="194"/>
        <v>0</v>
      </c>
      <c r="AG390" s="76">
        <f t="shared" si="223"/>
        <v>0</v>
      </c>
      <c r="AH390" s="82">
        <f t="shared" si="224"/>
        <v>0</v>
      </c>
      <c r="AI390" s="83">
        <f t="shared" si="224"/>
        <v>0</v>
      </c>
      <c r="AJ390" s="83">
        <f t="shared" si="224"/>
        <v>0</v>
      </c>
      <c r="AK390" s="58">
        <f t="shared" si="224"/>
        <v>0</v>
      </c>
      <c r="AL390" s="82">
        <f t="shared" si="195"/>
        <v>0</v>
      </c>
      <c r="AM390" s="58">
        <f t="shared" si="196"/>
        <v>0</v>
      </c>
      <c r="AN390" s="74"/>
      <c r="AO390" s="84"/>
      <c r="AP390" s="74"/>
      <c r="AQ390" s="85"/>
      <c r="AR390" s="74"/>
      <c r="AS390" s="74"/>
      <c r="AT390" s="74"/>
      <c r="AU390" s="55" t="str">
        <f t="shared" si="206"/>
        <v/>
      </c>
      <c r="AV390" s="55" t="str">
        <f t="shared" ca="1" si="207"/>
        <v/>
      </c>
      <c r="AW390" s="55" t="str">
        <f t="shared" si="197"/>
        <v/>
      </c>
      <c r="AX390" s="55" t="str">
        <f t="shared" ca="1" si="198"/>
        <v/>
      </c>
      <c r="AY390" s="86"/>
      <c r="AZ390" s="86"/>
      <c r="BA390" s="55" t="str">
        <f t="shared" si="208"/>
        <v/>
      </c>
      <c r="BB390" s="86"/>
      <c r="BC390" s="86"/>
      <c r="BD390" s="55" t="str">
        <f t="shared" si="209"/>
        <v/>
      </c>
      <c r="BE390" s="74"/>
      <c r="BS390" s="118"/>
      <c r="BT390" s="118"/>
      <c r="BU390" s="118"/>
      <c r="BV390" s="118"/>
      <c r="BW390" s="118"/>
      <c r="BX390" s="118"/>
      <c r="BZ390" s="118"/>
      <c r="CB390" s="118"/>
      <c r="CC390" s="118"/>
      <c r="CD390" s="118"/>
    </row>
    <row r="391" spans="1:82" ht="17.399999999999999" customHeight="1">
      <c r="A391" s="87">
        <f t="shared" si="211"/>
        <v>55.3</v>
      </c>
      <c r="B391" s="111">
        <f t="shared" si="191"/>
        <v>381</v>
      </c>
      <c r="C391" s="60"/>
      <c r="D391" s="74"/>
      <c r="E391" s="75"/>
      <c r="F391" s="74"/>
      <c r="G391" s="54">
        <f t="shared" si="221"/>
        <v>0</v>
      </c>
      <c r="H391" s="55">
        <f t="shared" si="221"/>
        <v>0</v>
      </c>
      <c r="I391" s="76">
        <f t="shared" si="200"/>
        <v>0</v>
      </c>
      <c r="J391" s="58">
        <f t="shared" si="201"/>
        <v>0</v>
      </c>
      <c r="K391" s="58">
        <f t="shared" si="202"/>
        <v>0</v>
      </c>
      <c r="L391" s="58">
        <f t="shared" si="203"/>
        <v>0</v>
      </c>
      <c r="M391" s="58" t="str">
        <f t="shared" ca="1" si="204"/>
        <v/>
      </c>
      <c r="N391" s="58" t="str">
        <f t="shared" ca="1" si="204"/>
        <v/>
      </c>
      <c r="O391" s="58">
        <f t="shared" si="205"/>
        <v>5.0000000000000001E-4</v>
      </c>
      <c r="P391" s="77"/>
      <c r="Q391" s="60"/>
      <c r="R391" s="77"/>
      <c r="S391" s="78">
        <f t="shared" si="192"/>
        <v>0</v>
      </c>
      <c r="T391" s="55">
        <f t="shared" si="192"/>
        <v>0</v>
      </c>
      <c r="U391" s="79">
        <f t="shared" si="212"/>
        <v>0</v>
      </c>
      <c r="V391" s="63">
        <f t="shared" si="213"/>
        <v>0</v>
      </c>
      <c r="W391" s="64">
        <f t="shared" si="225"/>
        <v>148</v>
      </c>
      <c r="X391" s="80">
        <f t="shared" si="225"/>
        <v>160</v>
      </c>
      <c r="Y391" s="75"/>
      <c r="Z391" s="60"/>
      <c r="AA391" s="75"/>
      <c r="AB391" s="75"/>
      <c r="AC391" s="75"/>
      <c r="AD391" s="75"/>
      <c r="AE391" s="81">
        <f t="shared" si="193"/>
        <v>0</v>
      </c>
      <c r="AF391" s="55">
        <f t="shared" si="194"/>
        <v>0</v>
      </c>
      <c r="AG391" s="76">
        <f t="shared" si="223"/>
        <v>0</v>
      </c>
      <c r="AH391" s="82">
        <f t="shared" si="224"/>
        <v>0</v>
      </c>
      <c r="AI391" s="83">
        <f t="shared" si="224"/>
        <v>0</v>
      </c>
      <c r="AJ391" s="83">
        <f t="shared" si="224"/>
        <v>0</v>
      </c>
      <c r="AK391" s="58">
        <f t="shared" si="224"/>
        <v>0</v>
      </c>
      <c r="AL391" s="82">
        <f t="shared" si="195"/>
        <v>0</v>
      </c>
      <c r="AM391" s="58">
        <f t="shared" si="196"/>
        <v>0</v>
      </c>
      <c r="AN391" s="74"/>
      <c r="AO391" s="84"/>
      <c r="AP391" s="74"/>
      <c r="AQ391" s="85"/>
      <c r="AR391" s="74"/>
      <c r="AS391" s="74"/>
      <c r="AT391" s="74"/>
      <c r="AU391" s="55" t="str">
        <f t="shared" si="206"/>
        <v/>
      </c>
      <c r="AV391" s="55" t="str">
        <f t="shared" ca="1" si="207"/>
        <v/>
      </c>
      <c r="AW391" s="55" t="str">
        <f t="shared" si="197"/>
        <v/>
      </c>
      <c r="AX391" s="55" t="str">
        <f t="shared" ca="1" si="198"/>
        <v/>
      </c>
      <c r="AY391" s="86"/>
      <c r="AZ391" s="86"/>
      <c r="BA391" s="55" t="str">
        <f t="shared" si="208"/>
        <v/>
      </c>
      <c r="BB391" s="86"/>
      <c r="BC391" s="86"/>
      <c r="BD391" s="55" t="str">
        <f t="shared" si="209"/>
        <v/>
      </c>
      <c r="BE391" s="74"/>
      <c r="BS391" s="118"/>
      <c r="BT391" s="118"/>
      <c r="BU391" s="118"/>
      <c r="BV391" s="118"/>
      <c r="BW391" s="118"/>
      <c r="BX391" s="118"/>
      <c r="BZ391" s="118"/>
      <c r="CB391" s="118"/>
      <c r="CC391" s="118"/>
      <c r="CD391" s="118"/>
    </row>
    <row r="392" spans="1:82" ht="17.399999999999999" customHeight="1">
      <c r="A392" s="72">
        <f t="shared" si="211"/>
        <v>55.4</v>
      </c>
      <c r="B392" s="111">
        <f t="shared" si="191"/>
        <v>382</v>
      </c>
      <c r="C392" s="60"/>
      <c r="D392" s="74"/>
      <c r="E392" s="75"/>
      <c r="F392" s="74"/>
      <c r="G392" s="54">
        <f t="shared" si="221"/>
        <v>0</v>
      </c>
      <c r="H392" s="55">
        <f t="shared" si="221"/>
        <v>0</v>
      </c>
      <c r="I392" s="76">
        <f t="shared" si="200"/>
        <v>0</v>
      </c>
      <c r="J392" s="58">
        <f t="shared" si="201"/>
        <v>0</v>
      </c>
      <c r="K392" s="58">
        <f t="shared" si="202"/>
        <v>0</v>
      </c>
      <c r="L392" s="58">
        <f t="shared" si="203"/>
        <v>0</v>
      </c>
      <c r="M392" s="58" t="str">
        <f t="shared" ca="1" si="204"/>
        <v/>
      </c>
      <c r="N392" s="58" t="str">
        <f t="shared" ca="1" si="204"/>
        <v/>
      </c>
      <c r="O392" s="58">
        <f t="shared" si="205"/>
        <v>5.0000000000000001E-4</v>
      </c>
      <c r="P392" s="77"/>
      <c r="Q392" s="60"/>
      <c r="R392" s="77"/>
      <c r="S392" s="78">
        <f t="shared" si="192"/>
        <v>0</v>
      </c>
      <c r="T392" s="55">
        <f t="shared" si="192"/>
        <v>0</v>
      </c>
      <c r="U392" s="79">
        <f t="shared" si="212"/>
        <v>0</v>
      </c>
      <c r="V392" s="63">
        <f t="shared" si="213"/>
        <v>0</v>
      </c>
      <c r="W392" s="64">
        <f t="shared" si="225"/>
        <v>148</v>
      </c>
      <c r="X392" s="80">
        <f t="shared" si="225"/>
        <v>160</v>
      </c>
      <c r="Y392" s="75"/>
      <c r="Z392" s="60"/>
      <c r="AA392" s="75"/>
      <c r="AB392" s="75"/>
      <c r="AC392" s="75"/>
      <c r="AD392" s="75"/>
      <c r="AE392" s="81">
        <f t="shared" si="193"/>
        <v>0</v>
      </c>
      <c r="AF392" s="55">
        <f t="shared" si="194"/>
        <v>0</v>
      </c>
      <c r="AG392" s="76">
        <f t="shared" si="223"/>
        <v>0</v>
      </c>
      <c r="AH392" s="82">
        <f t="shared" si="224"/>
        <v>0</v>
      </c>
      <c r="AI392" s="83">
        <f t="shared" si="224"/>
        <v>0</v>
      </c>
      <c r="AJ392" s="83">
        <f t="shared" si="224"/>
        <v>0</v>
      </c>
      <c r="AK392" s="58">
        <f t="shared" si="224"/>
        <v>0</v>
      </c>
      <c r="AL392" s="82">
        <f t="shared" si="195"/>
        <v>0</v>
      </c>
      <c r="AM392" s="58">
        <f t="shared" si="196"/>
        <v>0</v>
      </c>
      <c r="AN392" s="74"/>
      <c r="AO392" s="84"/>
      <c r="AP392" s="74"/>
      <c r="AQ392" s="85"/>
      <c r="AR392" s="74"/>
      <c r="AS392" s="74"/>
      <c r="AT392" s="74"/>
      <c r="AU392" s="55" t="str">
        <f t="shared" si="206"/>
        <v/>
      </c>
      <c r="AV392" s="55" t="str">
        <f t="shared" ca="1" si="207"/>
        <v/>
      </c>
      <c r="AW392" s="55" t="str">
        <f t="shared" si="197"/>
        <v/>
      </c>
      <c r="AX392" s="55" t="str">
        <f t="shared" ca="1" si="198"/>
        <v/>
      </c>
      <c r="AY392" s="86"/>
      <c r="AZ392" s="86"/>
      <c r="BA392" s="55" t="str">
        <f t="shared" si="208"/>
        <v/>
      </c>
      <c r="BB392" s="86"/>
      <c r="BC392" s="86"/>
      <c r="BD392" s="55" t="str">
        <f t="shared" si="209"/>
        <v/>
      </c>
      <c r="BE392" s="74"/>
      <c r="BS392" s="118"/>
      <c r="BT392" s="118"/>
      <c r="BU392" s="118"/>
      <c r="BV392" s="118"/>
      <c r="BW392" s="118"/>
      <c r="BX392" s="118"/>
      <c r="BZ392" s="118"/>
      <c r="CB392" s="118"/>
      <c r="CC392" s="118"/>
      <c r="CD392" s="118"/>
    </row>
    <row r="393" spans="1:82" ht="17.399999999999999" customHeight="1">
      <c r="A393" s="87">
        <f t="shared" si="211"/>
        <v>55.5</v>
      </c>
      <c r="B393" s="111">
        <f t="shared" si="191"/>
        <v>383</v>
      </c>
      <c r="C393" s="60"/>
      <c r="D393" s="74"/>
      <c r="E393" s="75"/>
      <c r="F393" s="74"/>
      <c r="G393" s="54">
        <f t="shared" si="221"/>
        <v>0</v>
      </c>
      <c r="H393" s="55">
        <f t="shared" si="221"/>
        <v>0</v>
      </c>
      <c r="I393" s="76">
        <f t="shared" si="200"/>
        <v>0</v>
      </c>
      <c r="J393" s="58">
        <f t="shared" si="201"/>
        <v>0</v>
      </c>
      <c r="K393" s="58">
        <f t="shared" si="202"/>
        <v>0</v>
      </c>
      <c r="L393" s="58">
        <f t="shared" si="203"/>
        <v>0</v>
      </c>
      <c r="M393" s="58" t="str">
        <f t="shared" ca="1" si="204"/>
        <v/>
      </c>
      <c r="N393" s="58" t="str">
        <f t="shared" ca="1" si="204"/>
        <v/>
      </c>
      <c r="O393" s="58">
        <f t="shared" si="205"/>
        <v>5.0000000000000001E-4</v>
      </c>
      <c r="P393" s="77"/>
      <c r="Q393" s="60"/>
      <c r="R393" s="77"/>
      <c r="S393" s="78">
        <f t="shared" si="192"/>
        <v>0</v>
      </c>
      <c r="T393" s="55">
        <f t="shared" si="192"/>
        <v>0</v>
      </c>
      <c r="U393" s="79">
        <f t="shared" si="212"/>
        <v>0</v>
      </c>
      <c r="V393" s="63">
        <f t="shared" si="213"/>
        <v>0</v>
      </c>
      <c r="W393" s="64">
        <f t="shared" si="225"/>
        <v>148</v>
      </c>
      <c r="X393" s="80">
        <f t="shared" si="225"/>
        <v>160</v>
      </c>
      <c r="Y393" s="75"/>
      <c r="Z393" s="60"/>
      <c r="AA393" s="75"/>
      <c r="AB393" s="75"/>
      <c r="AC393" s="75"/>
      <c r="AD393" s="75"/>
      <c r="AE393" s="81">
        <f t="shared" si="193"/>
        <v>0</v>
      </c>
      <c r="AF393" s="55">
        <f t="shared" si="194"/>
        <v>0</v>
      </c>
      <c r="AG393" s="76">
        <f t="shared" si="223"/>
        <v>0</v>
      </c>
      <c r="AH393" s="82">
        <f t="shared" si="224"/>
        <v>0</v>
      </c>
      <c r="AI393" s="83">
        <f t="shared" si="224"/>
        <v>0</v>
      </c>
      <c r="AJ393" s="83">
        <f t="shared" si="224"/>
        <v>0</v>
      </c>
      <c r="AK393" s="58">
        <f t="shared" si="224"/>
        <v>0</v>
      </c>
      <c r="AL393" s="82">
        <f t="shared" si="195"/>
        <v>0</v>
      </c>
      <c r="AM393" s="58">
        <f t="shared" si="196"/>
        <v>0</v>
      </c>
      <c r="AN393" s="74"/>
      <c r="AO393" s="84"/>
      <c r="AP393" s="74"/>
      <c r="AQ393" s="85"/>
      <c r="AR393" s="74"/>
      <c r="AS393" s="74"/>
      <c r="AT393" s="74"/>
      <c r="AU393" s="55" t="str">
        <f t="shared" si="206"/>
        <v/>
      </c>
      <c r="AV393" s="55" t="str">
        <f t="shared" ca="1" si="207"/>
        <v/>
      </c>
      <c r="AW393" s="55" t="str">
        <f t="shared" si="197"/>
        <v/>
      </c>
      <c r="AX393" s="55" t="str">
        <f t="shared" ca="1" si="198"/>
        <v/>
      </c>
      <c r="AY393" s="86"/>
      <c r="AZ393" s="86"/>
      <c r="BA393" s="55" t="str">
        <f t="shared" si="208"/>
        <v/>
      </c>
      <c r="BB393" s="86"/>
      <c r="BC393" s="86"/>
      <c r="BD393" s="55" t="str">
        <f t="shared" si="209"/>
        <v/>
      </c>
      <c r="BE393" s="74"/>
      <c r="BS393" s="118"/>
      <c r="BT393" s="118"/>
      <c r="BU393" s="118"/>
      <c r="BV393" s="118"/>
      <c r="BW393" s="118"/>
      <c r="BX393" s="118"/>
      <c r="BZ393" s="118"/>
      <c r="CB393" s="118"/>
      <c r="CC393" s="118"/>
      <c r="CD393" s="118"/>
    </row>
    <row r="394" spans="1:82" ht="17.399999999999999" customHeight="1">
      <c r="A394" s="72">
        <f t="shared" si="211"/>
        <v>55.6</v>
      </c>
      <c r="B394" s="111">
        <f t="shared" si="191"/>
        <v>384</v>
      </c>
      <c r="C394" s="60"/>
      <c r="D394" s="74"/>
      <c r="E394" s="75"/>
      <c r="F394" s="74"/>
      <c r="G394" s="54">
        <f t="shared" si="221"/>
        <v>0</v>
      </c>
      <c r="H394" s="55">
        <f t="shared" si="221"/>
        <v>0</v>
      </c>
      <c r="I394" s="76">
        <f t="shared" si="200"/>
        <v>0</v>
      </c>
      <c r="J394" s="58">
        <f t="shared" si="201"/>
        <v>0</v>
      </c>
      <c r="K394" s="58">
        <f t="shared" si="202"/>
        <v>0</v>
      </c>
      <c r="L394" s="58">
        <f t="shared" si="203"/>
        <v>0</v>
      </c>
      <c r="M394" s="58" t="str">
        <f t="shared" ca="1" si="204"/>
        <v/>
      </c>
      <c r="N394" s="58" t="str">
        <f t="shared" ca="1" si="204"/>
        <v/>
      </c>
      <c r="O394" s="58">
        <f t="shared" si="205"/>
        <v>5.0000000000000001E-4</v>
      </c>
      <c r="P394" s="77"/>
      <c r="Q394" s="60"/>
      <c r="R394" s="77"/>
      <c r="S394" s="78">
        <f t="shared" si="192"/>
        <v>0</v>
      </c>
      <c r="T394" s="55">
        <f t="shared" si="192"/>
        <v>0</v>
      </c>
      <c r="U394" s="79">
        <f t="shared" si="212"/>
        <v>0</v>
      </c>
      <c r="V394" s="63">
        <f t="shared" si="213"/>
        <v>0</v>
      </c>
      <c r="W394" s="64">
        <f t="shared" si="225"/>
        <v>148</v>
      </c>
      <c r="X394" s="80">
        <f t="shared" si="225"/>
        <v>160</v>
      </c>
      <c r="Y394" s="75"/>
      <c r="Z394" s="60"/>
      <c r="AA394" s="75"/>
      <c r="AB394" s="75"/>
      <c r="AC394" s="75"/>
      <c r="AD394" s="75"/>
      <c r="AE394" s="81">
        <f t="shared" si="193"/>
        <v>0</v>
      </c>
      <c r="AF394" s="55">
        <f t="shared" si="194"/>
        <v>0</v>
      </c>
      <c r="AG394" s="76">
        <f t="shared" si="223"/>
        <v>0</v>
      </c>
      <c r="AH394" s="82">
        <f t="shared" si="224"/>
        <v>0</v>
      </c>
      <c r="AI394" s="83">
        <f t="shared" si="224"/>
        <v>0</v>
      </c>
      <c r="AJ394" s="83">
        <f t="shared" si="224"/>
        <v>0</v>
      </c>
      <c r="AK394" s="58">
        <f t="shared" si="224"/>
        <v>0</v>
      </c>
      <c r="AL394" s="82">
        <f t="shared" si="195"/>
        <v>0</v>
      </c>
      <c r="AM394" s="58">
        <f t="shared" si="196"/>
        <v>0</v>
      </c>
      <c r="AN394" s="74"/>
      <c r="AO394" s="84"/>
      <c r="AP394" s="74"/>
      <c r="AQ394" s="85"/>
      <c r="AR394" s="74"/>
      <c r="AS394" s="74"/>
      <c r="AT394" s="74"/>
      <c r="AU394" s="55" t="str">
        <f t="shared" si="206"/>
        <v/>
      </c>
      <c r="AV394" s="55" t="str">
        <f t="shared" ca="1" si="207"/>
        <v/>
      </c>
      <c r="AW394" s="55" t="str">
        <f t="shared" si="197"/>
        <v/>
      </c>
      <c r="AX394" s="55" t="str">
        <f t="shared" ca="1" si="198"/>
        <v/>
      </c>
      <c r="AY394" s="86"/>
      <c r="AZ394" s="86"/>
      <c r="BA394" s="55" t="str">
        <f t="shared" si="208"/>
        <v/>
      </c>
      <c r="BB394" s="86"/>
      <c r="BC394" s="86"/>
      <c r="BD394" s="55" t="str">
        <f t="shared" si="209"/>
        <v/>
      </c>
      <c r="BE394" s="74"/>
      <c r="BS394" s="118"/>
      <c r="BT394" s="118"/>
      <c r="BU394" s="118"/>
      <c r="BV394" s="118"/>
      <c r="BW394" s="118"/>
      <c r="BX394" s="118"/>
      <c r="BZ394" s="118"/>
      <c r="CB394" s="118"/>
      <c r="CC394" s="118"/>
      <c r="CD394" s="118"/>
    </row>
    <row r="395" spans="1:82" ht="17.399999999999999" customHeight="1" thickBot="1">
      <c r="A395" s="87">
        <f t="shared" si="211"/>
        <v>55.7</v>
      </c>
      <c r="B395" s="113">
        <f t="shared" ref="B395:B458" si="226">B394+1</f>
        <v>385</v>
      </c>
      <c r="C395" s="89"/>
      <c r="D395" s="90"/>
      <c r="E395" s="91"/>
      <c r="F395" s="90"/>
      <c r="G395" s="92">
        <f t="shared" si="221"/>
        <v>0</v>
      </c>
      <c r="H395" s="93">
        <f t="shared" si="221"/>
        <v>0</v>
      </c>
      <c r="I395" s="94">
        <f t="shared" si="200"/>
        <v>0</v>
      </c>
      <c r="J395" s="95">
        <f t="shared" si="201"/>
        <v>0</v>
      </c>
      <c r="K395" s="95">
        <f t="shared" si="202"/>
        <v>0</v>
      </c>
      <c r="L395" s="95">
        <f t="shared" si="203"/>
        <v>0</v>
      </c>
      <c r="M395" s="95" t="str">
        <f t="shared" ca="1" si="204"/>
        <v/>
      </c>
      <c r="N395" s="95" t="str">
        <f t="shared" ca="1" si="204"/>
        <v/>
      </c>
      <c r="O395" s="95">
        <f t="shared" si="205"/>
        <v>5.0000000000000001E-4</v>
      </c>
      <c r="P395" s="96"/>
      <c r="Q395" s="89"/>
      <c r="R395" s="96"/>
      <c r="S395" s="78">
        <f t="shared" ref="S395:T458" si="227">IF($P395="FULL FEED",Q395,Q395*2)</f>
        <v>0</v>
      </c>
      <c r="T395" s="55">
        <f t="shared" si="227"/>
        <v>0</v>
      </c>
      <c r="U395" s="97">
        <f t="shared" si="212"/>
        <v>0</v>
      </c>
      <c r="V395" s="98">
        <f t="shared" si="213"/>
        <v>0</v>
      </c>
      <c r="W395" s="99">
        <f t="shared" si="225"/>
        <v>148</v>
      </c>
      <c r="X395" s="100">
        <f t="shared" si="225"/>
        <v>160</v>
      </c>
      <c r="Y395" s="91"/>
      <c r="Z395" s="60"/>
      <c r="AA395" s="75"/>
      <c r="AB395" s="75"/>
      <c r="AC395" s="75"/>
      <c r="AD395" s="75"/>
      <c r="AE395" s="101">
        <f t="shared" ref="AE395:AE458" si="228">SUM(Z395,AA395,AB395,AC395)</f>
        <v>0</v>
      </c>
      <c r="AF395" s="93">
        <f t="shared" ref="AF395:AF458" si="229">Y395-AE395</f>
        <v>0</v>
      </c>
      <c r="AG395" s="94">
        <f t="shared" si="223"/>
        <v>0</v>
      </c>
      <c r="AH395" s="102">
        <f t="shared" si="224"/>
        <v>0</v>
      </c>
      <c r="AI395" s="103">
        <f t="shared" si="224"/>
        <v>0</v>
      </c>
      <c r="AJ395" s="103">
        <f t="shared" si="224"/>
        <v>0</v>
      </c>
      <c r="AK395" s="95">
        <f t="shared" si="224"/>
        <v>0</v>
      </c>
      <c r="AL395" s="102">
        <f t="shared" ref="AL395:AL458" si="230">IFERROR(AE395/Y395,0)</f>
        <v>0</v>
      </c>
      <c r="AM395" s="95">
        <f t="shared" ref="AM395:AM458" si="231">IFERROR(AF395/Y395,0)</f>
        <v>0</v>
      </c>
      <c r="AN395" s="90"/>
      <c r="AO395" s="104"/>
      <c r="AP395" s="90"/>
      <c r="AQ395" s="105"/>
      <c r="AR395" s="90"/>
      <c r="AS395" s="90"/>
      <c r="AT395" s="90"/>
      <c r="AU395" s="93" t="str">
        <f t="shared" si="206"/>
        <v/>
      </c>
      <c r="AV395" s="93" t="str">
        <f t="shared" ca="1" si="207"/>
        <v/>
      </c>
      <c r="AW395" s="93" t="str">
        <f t="shared" ref="AW395:AW458" si="232">IFERROR(IF(OR(AR395="",AT395="",K395="",L395=""),"", ((AT395-AR395)/100*1000)/(U395+V395)),0)</f>
        <v/>
      </c>
      <c r="AX395" s="93" t="str">
        <f t="shared" ref="AX395:AX458" ca="1" si="233">IF(OR(AR395="",AR396="",M395="",N395=""),"", ((AR396-AR395)/100*1000)/((G395+H395))*1000)</f>
        <v/>
      </c>
      <c r="AY395" s="106"/>
      <c r="AZ395" s="106"/>
      <c r="BA395" s="93" t="str">
        <f t="shared" si="208"/>
        <v/>
      </c>
      <c r="BB395" s="106"/>
      <c r="BC395" s="106"/>
      <c r="BD395" s="93" t="str">
        <f t="shared" si="209"/>
        <v/>
      </c>
      <c r="BE395" s="90"/>
      <c r="BS395" s="118"/>
      <c r="BT395" s="118"/>
      <c r="BU395" s="118"/>
      <c r="BV395" s="118"/>
      <c r="BW395" s="118"/>
      <c r="BX395" s="118"/>
      <c r="BZ395" s="118"/>
      <c r="CB395" s="118"/>
      <c r="CC395" s="118"/>
      <c r="CD395" s="118"/>
    </row>
    <row r="396" spans="1:82" ht="17.399999999999999" customHeight="1" thickTop="1">
      <c r="A396" s="107">
        <f>A389+1</f>
        <v>56.1</v>
      </c>
      <c r="B396" s="108">
        <f>B395+1</f>
        <v>386</v>
      </c>
      <c r="C396" s="51"/>
      <c r="D396" s="52"/>
      <c r="E396" s="53"/>
      <c r="F396" s="52"/>
      <c r="G396" s="54">
        <f t="shared" ref="G396:H411" si="234">G395-E396-C396</f>
        <v>0</v>
      </c>
      <c r="H396" s="55">
        <f t="shared" si="234"/>
        <v>0</v>
      </c>
      <c r="I396" s="56">
        <f t="shared" ref="I396:I459" si="235">IFERROR(C396/G395,0)</f>
        <v>0</v>
      </c>
      <c r="J396" s="57">
        <f t="shared" ref="J396:J459" si="236">IFERROR(E396/G395,0)</f>
        <v>0</v>
      </c>
      <c r="K396" s="57">
        <f t="shared" ref="K396:K459" si="237">IFERROR(D396/H395,0)</f>
        <v>0</v>
      </c>
      <c r="L396" s="57">
        <f t="shared" ref="L396:L459" si="238">IFERROR(F396/H395,0)</f>
        <v>0</v>
      </c>
      <c r="M396" s="58" t="str">
        <f t="shared" ref="M396:N459" ca="1" si="239">IF(ROW()=11,
   IF($B$4&gt;0,E396/$B$4,""),
   IF($B$4&gt;0,
      (OFFSET(M396,-1,0)*$B$4 + E396)/$B$4,
      "")
)</f>
        <v/>
      </c>
      <c r="N396" s="58" t="str">
        <f t="shared" ca="1" si="239"/>
        <v/>
      </c>
      <c r="O396" s="58">
        <f t="shared" ref="O396:O459" si="240">$O$10</f>
        <v>5.0000000000000001E-4</v>
      </c>
      <c r="P396" s="77"/>
      <c r="Q396" s="60"/>
      <c r="R396" s="77"/>
      <c r="S396" s="109">
        <f t="shared" si="227"/>
        <v>0</v>
      </c>
      <c r="T396" s="61">
        <f t="shared" si="227"/>
        <v>0</v>
      </c>
      <c r="U396" s="62">
        <f t="shared" si="212"/>
        <v>0</v>
      </c>
      <c r="V396" s="63">
        <f t="shared" si="213"/>
        <v>0</v>
      </c>
      <c r="W396" s="64">
        <f t="shared" si="225"/>
        <v>148</v>
      </c>
      <c r="X396" s="80">
        <v>159</v>
      </c>
      <c r="Y396" s="53"/>
      <c r="Z396" s="51"/>
      <c r="AA396" s="53"/>
      <c r="AB396" s="53"/>
      <c r="AC396" s="53"/>
      <c r="AD396" s="53"/>
      <c r="AE396" s="66">
        <f t="shared" si="228"/>
        <v>0</v>
      </c>
      <c r="AF396" s="61">
        <f t="shared" si="229"/>
        <v>0</v>
      </c>
      <c r="AG396" s="56">
        <f t="shared" si="223"/>
        <v>0</v>
      </c>
      <c r="AH396" s="67">
        <f t="shared" si="224"/>
        <v>0</v>
      </c>
      <c r="AI396" s="68">
        <f t="shared" si="224"/>
        <v>0</v>
      </c>
      <c r="AJ396" s="68">
        <f t="shared" si="224"/>
        <v>0</v>
      </c>
      <c r="AK396" s="57">
        <f t="shared" si="224"/>
        <v>0</v>
      </c>
      <c r="AL396" s="67">
        <f t="shared" si="230"/>
        <v>0</v>
      </c>
      <c r="AM396" s="57">
        <f t="shared" si="231"/>
        <v>0</v>
      </c>
      <c r="AN396" s="52"/>
      <c r="AO396" s="69"/>
      <c r="AP396" s="52"/>
      <c r="AQ396" s="70"/>
      <c r="AR396" s="52"/>
      <c r="AS396" s="52"/>
      <c r="AT396" s="52"/>
      <c r="AU396" s="61" t="str">
        <f t="shared" ref="AU396:AU459" si="241">IF(OR(AT396="",AR396=""),"", (AT396-AR396)/100*1000)</f>
        <v/>
      </c>
      <c r="AV396" s="61" t="str">
        <f t="shared" ref="AV396:AV459" ca="1" si="242">IF(OR(AR397="",OFFSET(AR397,-1,0)=""),"", (AR397-OFFSET(AR397,-1,0))/100*1000)</f>
        <v/>
      </c>
      <c r="AW396" s="61" t="str">
        <f t="shared" si="232"/>
        <v/>
      </c>
      <c r="AX396" s="61" t="str">
        <f t="shared" ca="1" si="233"/>
        <v/>
      </c>
      <c r="AY396" s="71"/>
      <c r="AZ396" s="71"/>
      <c r="BA396" s="61" t="str">
        <f t="shared" ref="BA396:BA459" si="243">IF(OR(AY396="",AZ396=""),"",MOD(AZ396-AY396,1)*24)</f>
        <v/>
      </c>
      <c r="BB396" s="71"/>
      <c r="BC396" s="71"/>
      <c r="BD396" s="61" t="str">
        <f t="shared" ref="BD396:BD459" si="244">IF(OR(BB396="",BC396=""),"",MOD(BC396-BB396,1)*24)</f>
        <v/>
      </c>
      <c r="BE396" s="52"/>
      <c r="BS396" s="118"/>
      <c r="BT396" s="118"/>
      <c r="BU396" s="118"/>
      <c r="BV396" s="118"/>
      <c r="BW396" s="118"/>
      <c r="BX396" s="118"/>
      <c r="BZ396" s="118"/>
      <c r="CB396" s="118"/>
      <c r="CC396" s="118"/>
      <c r="CD396" s="118"/>
    </row>
    <row r="397" spans="1:82" ht="17.399999999999999" customHeight="1">
      <c r="A397" s="87">
        <f t="shared" si="211"/>
        <v>56.2</v>
      </c>
      <c r="B397" s="111">
        <f t="shared" si="226"/>
        <v>387</v>
      </c>
      <c r="C397" s="60"/>
      <c r="D397" s="74"/>
      <c r="E397" s="75"/>
      <c r="F397" s="74"/>
      <c r="G397" s="54">
        <f t="shared" si="234"/>
        <v>0</v>
      </c>
      <c r="H397" s="55">
        <f t="shared" si="234"/>
        <v>0</v>
      </c>
      <c r="I397" s="76">
        <f t="shared" si="235"/>
        <v>0</v>
      </c>
      <c r="J397" s="58">
        <f t="shared" si="236"/>
        <v>0</v>
      </c>
      <c r="K397" s="58">
        <f t="shared" si="237"/>
        <v>0</v>
      </c>
      <c r="L397" s="58">
        <f t="shared" si="238"/>
        <v>0</v>
      </c>
      <c r="M397" s="58" t="str">
        <f t="shared" ca="1" si="239"/>
        <v/>
      </c>
      <c r="N397" s="58" t="str">
        <f t="shared" ca="1" si="239"/>
        <v/>
      </c>
      <c r="O397" s="58">
        <f t="shared" si="240"/>
        <v>5.0000000000000001E-4</v>
      </c>
      <c r="P397" s="77"/>
      <c r="Q397" s="60"/>
      <c r="R397" s="77"/>
      <c r="S397" s="78">
        <f t="shared" si="227"/>
        <v>0</v>
      </c>
      <c r="T397" s="55">
        <f t="shared" si="227"/>
        <v>0</v>
      </c>
      <c r="U397" s="79">
        <f t="shared" si="212"/>
        <v>0</v>
      </c>
      <c r="V397" s="63">
        <f t="shared" si="213"/>
        <v>0</v>
      </c>
      <c r="W397" s="64">
        <f t="shared" si="225"/>
        <v>148</v>
      </c>
      <c r="X397" s="80">
        <f t="shared" si="225"/>
        <v>159</v>
      </c>
      <c r="Y397" s="75"/>
      <c r="Z397" s="60"/>
      <c r="AA397" s="75"/>
      <c r="AB397" s="75"/>
      <c r="AC397" s="75"/>
      <c r="AD397" s="75"/>
      <c r="AE397" s="81">
        <f t="shared" si="228"/>
        <v>0</v>
      </c>
      <c r="AF397" s="55">
        <f t="shared" si="229"/>
        <v>0</v>
      </c>
      <c r="AG397" s="76">
        <f t="shared" si="223"/>
        <v>0</v>
      </c>
      <c r="AH397" s="82">
        <f t="shared" si="224"/>
        <v>0</v>
      </c>
      <c r="AI397" s="83">
        <f t="shared" si="224"/>
        <v>0</v>
      </c>
      <c r="AJ397" s="83">
        <f t="shared" si="224"/>
        <v>0</v>
      </c>
      <c r="AK397" s="58">
        <f t="shared" si="224"/>
        <v>0</v>
      </c>
      <c r="AL397" s="82">
        <f t="shared" si="230"/>
        <v>0</v>
      </c>
      <c r="AM397" s="58">
        <f t="shared" si="231"/>
        <v>0</v>
      </c>
      <c r="AN397" s="74"/>
      <c r="AO397" s="84"/>
      <c r="AP397" s="74"/>
      <c r="AQ397" s="85"/>
      <c r="AR397" s="74"/>
      <c r="AS397" s="74"/>
      <c r="AT397" s="74"/>
      <c r="AU397" s="55" t="str">
        <f t="shared" si="241"/>
        <v/>
      </c>
      <c r="AV397" s="55" t="str">
        <f t="shared" ca="1" si="242"/>
        <v/>
      </c>
      <c r="AW397" s="55" t="str">
        <f t="shared" si="232"/>
        <v/>
      </c>
      <c r="AX397" s="55" t="str">
        <f t="shared" ca="1" si="233"/>
        <v/>
      </c>
      <c r="AY397" s="86"/>
      <c r="AZ397" s="86"/>
      <c r="BA397" s="55" t="str">
        <f t="shared" si="243"/>
        <v/>
      </c>
      <c r="BB397" s="86"/>
      <c r="BC397" s="86"/>
      <c r="BD397" s="55" t="str">
        <f t="shared" si="244"/>
        <v/>
      </c>
      <c r="BE397" s="74"/>
      <c r="BS397" s="118"/>
      <c r="BT397" s="118"/>
      <c r="BU397" s="118"/>
      <c r="BV397" s="118"/>
      <c r="BW397" s="118"/>
      <c r="BX397" s="118"/>
      <c r="BZ397" s="118"/>
      <c r="CB397" s="118"/>
      <c r="CC397" s="118"/>
      <c r="CD397" s="118"/>
    </row>
    <row r="398" spans="1:82" ht="17.399999999999999" customHeight="1">
      <c r="A398" s="72">
        <f t="shared" si="211"/>
        <v>56.3</v>
      </c>
      <c r="B398" s="111">
        <f t="shared" si="226"/>
        <v>388</v>
      </c>
      <c r="C398" s="60"/>
      <c r="D398" s="74"/>
      <c r="E398" s="75"/>
      <c r="F398" s="74"/>
      <c r="G398" s="54">
        <f t="shared" si="234"/>
        <v>0</v>
      </c>
      <c r="H398" s="55">
        <f t="shared" si="234"/>
        <v>0</v>
      </c>
      <c r="I398" s="76">
        <f t="shared" si="235"/>
        <v>0</v>
      </c>
      <c r="J398" s="58">
        <f t="shared" si="236"/>
        <v>0</v>
      </c>
      <c r="K398" s="58">
        <f t="shared" si="237"/>
        <v>0</v>
      </c>
      <c r="L398" s="58">
        <f t="shared" si="238"/>
        <v>0</v>
      </c>
      <c r="M398" s="58" t="str">
        <f t="shared" ca="1" si="239"/>
        <v/>
      </c>
      <c r="N398" s="58" t="str">
        <f t="shared" ca="1" si="239"/>
        <v/>
      </c>
      <c r="O398" s="58">
        <f t="shared" si="240"/>
        <v>5.0000000000000001E-4</v>
      </c>
      <c r="P398" s="77"/>
      <c r="Q398" s="60"/>
      <c r="R398" s="77"/>
      <c r="S398" s="78">
        <f t="shared" si="227"/>
        <v>0</v>
      </c>
      <c r="T398" s="55">
        <f t="shared" si="227"/>
        <v>0</v>
      </c>
      <c r="U398" s="79">
        <f t="shared" si="212"/>
        <v>0</v>
      </c>
      <c r="V398" s="63">
        <f t="shared" si="213"/>
        <v>0</v>
      </c>
      <c r="W398" s="64">
        <f t="shared" si="225"/>
        <v>148</v>
      </c>
      <c r="X398" s="80">
        <f t="shared" si="225"/>
        <v>159</v>
      </c>
      <c r="Y398" s="75"/>
      <c r="Z398" s="60"/>
      <c r="AA398" s="75"/>
      <c r="AB398" s="75"/>
      <c r="AC398" s="75"/>
      <c r="AD398" s="75"/>
      <c r="AE398" s="81">
        <f t="shared" si="228"/>
        <v>0</v>
      </c>
      <c r="AF398" s="55">
        <f t="shared" si="229"/>
        <v>0</v>
      </c>
      <c r="AG398" s="76">
        <f t="shared" si="223"/>
        <v>0</v>
      </c>
      <c r="AH398" s="82">
        <f t="shared" si="224"/>
        <v>0</v>
      </c>
      <c r="AI398" s="83">
        <f t="shared" si="224"/>
        <v>0</v>
      </c>
      <c r="AJ398" s="83">
        <f t="shared" si="224"/>
        <v>0</v>
      </c>
      <c r="AK398" s="58">
        <f t="shared" si="224"/>
        <v>0</v>
      </c>
      <c r="AL398" s="82">
        <f t="shared" si="230"/>
        <v>0</v>
      </c>
      <c r="AM398" s="58">
        <f t="shared" si="231"/>
        <v>0</v>
      </c>
      <c r="AN398" s="74"/>
      <c r="AO398" s="84"/>
      <c r="AP398" s="74"/>
      <c r="AQ398" s="85"/>
      <c r="AR398" s="74"/>
      <c r="AS398" s="74"/>
      <c r="AT398" s="74"/>
      <c r="AU398" s="55" t="str">
        <f t="shared" si="241"/>
        <v/>
      </c>
      <c r="AV398" s="55" t="str">
        <f t="shared" ca="1" si="242"/>
        <v/>
      </c>
      <c r="AW398" s="55" t="str">
        <f t="shared" si="232"/>
        <v/>
      </c>
      <c r="AX398" s="55" t="str">
        <f t="shared" ca="1" si="233"/>
        <v/>
      </c>
      <c r="AY398" s="86"/>
      <c r="AZ398" s="86"/>
      <c r="BA398" s="55" t="str">
        <f t="shared" si="243"/>
        <v/>
      </c>
      <c r="BB398" s="86"/>
      <c r="BC398" s="86"/>
      <c r="BD398" s="55" t="str">
        <f t="shared" si="244"/>
        <v/>
      </c>
      <c r="BE398" s="74"/>
      <c r="BS398" s="118"/>
      <c r="BT398" s="118"/>
      <c r="BU398" s="118"/>
      <c r="BV398" s="118"/>
      <c r="BW398" s="118"/>
      <c r="BX398" s="118"/>
      <c r="BZ398" s="118"/>
      <c r="CB398" s="118"/>
      <c r="CC398" s="118"/>
      <c r="CD398" s="118"/>
    </row>
    <row r="399" spans="1:82" ht="17.399999999999999" customHeight="1">
      <c r="A399" s="87">
        <f t="shared" si="211"/>
        <v>56.4</v>
      </c>
      <c r="B399" s="111">
        <f t="shared" si="226"/>
        <v>389</v>
      </c>
      <c r="C399" s="60"/>
      <c r="D399" s="74"/>
      <c r="E399" s="75"/>
      <c r="F399" s="74"/>
      <c r="G399" s="54">
        <f t="shared" si="234"/>
        <v>0</v>
      </c>
      <c r="H399" s="55">
        <f t="shared" si="234"/>
        <v>0</v>
      </c>
      <c r="I399" s="76">
        <f t="shared" si="235"/>
        <v>0</v>
      </c>
      <c r="J399" s="58">
        <f t="shared" si="236"/>
        <v>0</v>
      </c>
      <c r="K399" s="58">
        <f t="shared" si="237"/>
        <v>0</v>
      </c>
      <c r="L399" s="58">
        <f t="shared" si="238"/>
        <v>0</v>
      </c>
      <c r="M399" s="58" t="str">
        <f t="shared" ca="1" si="239"/>
        <v/>
      </c>
      <c r="N399" s="58" t="str">
        <f t="shared" ca="1" si="239"/>
        <v/>
      </c>
      <c r="O399" s="58">
        <f t="shared" si="240"/>
        <v>5.0000000000000001E-4</v>
      </c>
      <c r="P399" s="77"/>
      <c r="Q399" s="60"/>
      <c r="R399" s="77"/>
      <c r="S399" s="78">
        <f t="shared" si="227"/>
        <v>0</v>
      </c>
      <c r="T399" s="55">
        <f t="shared" si="227"/>
        <v>0</v>
      </c>
      <c r="U399" s="79">
        <f t="shared" si="212"/>
        <v>0</v>
      </c>
      <c r="V399" s="63">
        <f t="shared" si="213"/>
        <v>0</v>
      </c>
      <c r="W399" s="64">
        <f t="shared" si="225"/>
        <v>148</v>
      </c>
      <c r="X399" s="80">
        <f t="shared" si="225"/>
        <v>159</v>
      </c>
      <c r="Y399" s="75"/>
      <c r="Z399" s="60"/>
      <c r="AA399" s="75"/>
      <c r="AB399" s="75"/>
      <c r="AC399" s="75"/>
      <c r="AD399" s="75"/>
      <c r="AE399" s="81">
        <f t="shared" si="228"/>
        <v>0</v>
      </c>
      <c r="AF399" s="55">
        <f t="shared" si="229"/>
        <v>0</v>
      </c>
      <c r="AG399" s="76">
        <f t="shared" si="223"/>
        <v>0</v>
      </c>
      <c r="AH399" s="82">
        <f t="shared" si="224"/>
        <v>0</v>
      </c>
      <c r="AI399" s="83">
        <f t="shared" si="224"/>
        <v>0</v>
      </c>
      <c r="AJ399" s="83">
        <f t="shared" si="224"/>
        <v>0</v>
      </c>
      <c r="AK399" s="58">
        <f t="shared" si="224"/>
        <v>0</v>
      </c>
      <c r="AL399" s="82">
        <f t="shared" si="230"/>
        <v>0</v>
      </c>
      <c r="AM399" s="58">
        <f t="shared" si="231"/>
        <v>0</v>
      </c>
      <c r="AN399" s="74"/>
      <c r="AO399" s="84"/>
      <c r="AP399" s="74"/>
      <c r="AQ399" s="85"/>
      <c r="AR399" s="74"/>
      <c r="AS399" s="74"/>
      <c r="AT399" s="74"/>
      <c r="AU399" s="55" t="str">
        <f t="shared" si="241"/>
        <v/>
      </c>
      <c r="AV399" s="55" t="str">
        <f t="shared" ca="1" si="242"/>
        <v/>
      </c>
      <c r="AW399" s="55" t="str">
        <f t="shared" si="232"/>
        <v/>
      </c>
      <c r="AX399" s="55" t="str">
        <f t="shared" ca="1" si="233"/>
        <v/>
      </c>
      <c r="AY399" s="86"/>
      <c r="AZ399" s="86"/>
      <c r="BA399" s="55" t="str">
        <f t="shared" si="243"/>
        <v/>
      </c>
      <c r="BB399" s="86"/>
      <c r="BC399" s="86"/>
      <c r="BD399" s="55" t="str">
        <f t="shared" si="244"/>
        <v/>
      </c>
      <c r="BE399" s="74"/>
      <c r="BS399" s="118"/>
      <c r="BT399" s="118"/>
      <c r="BU399" s="118"/>
      <c r="BV399" s="118"/>
      <c r="BW399" s="118"/>
      <c r="BX399" s="118"/>
      <c r="BZ399" s="118"/>
      <c r="CB399" s="118"/>
      <c r="CC399" s="118"/>
      <c r="CD399" s="118"/>
    </row>
    <row r="400" spans="1:82" ht="17.399999999999999" customHeight="1">
      <c r="A400" s="72">
        <f t="shared" si="211"/>
        <v>56.5</v>
      </c>
      <c r="B400" s="111">
        <f t="shared" si="226"/>
        <v>390</v>
      </c>
      <c r="C400" s="60"/>
      <c r="D400" s="74"/>
      <c r="E400" s="75"/>
      <c r="F400" s="74"/>
      <c r="G400" s="54">
        <f t="shared" si="234"/>
        <v>0</v>
      </c>
      <c r="H400" s="55">
        <f t="shared" si="234"/>
        <v>0</v>
      </c>
      <c r="I400" s="76">
        <f t="shared" si="235"/>
        <v>0</v>
      </c>
      <c r="J400" s="58">
        <f t="shared" si="236"/>
        <v>0</v>
      </c>
      <c r="K400" s="58">
        <f t="shared" si="237"/>
        <v>0</v>
      </c>
      <c r="L400" s="58">
        <f t="shared" si="238"/>
        <v>0</v>
      </c>
      <c r="M400" s="58" t="str">
        <f t="shared" ca="1" si="239"/>
        <v/>
      </c>
      <c r="N400" s="58" t="str">
        <f t="shared" ca="1" si="239"/>
        <v/>
      </c>
      <c r="O400" s="58">
        <f t="shared" si="240"/>
        <v>5.0000000000000001E-4</v>
      </c>
      <c r="P400" s="77"/>
      <c r="Q400" s="60"/>
      <c r="R400" s="77"/>
      <c r="S400" s="78">
        <f t="shared" si="227"/>
        <v>0</v>
      </c>
      <c r="T400" s="55">
        <f t="shared" si="227"/>
        <v>0</v>
      </c>
      <c r="U400" s="79">
        <f t="shared" si="212"/>
        <v>0</v>
      </c>
      <c r="V400" s="63">
        <f t="shared" si="213"/>
        <v>0</v>
      </c>
      <c r="W400" s="64">
        <f t="shared" si="225"/>
        <v>148</v>
      </c>
      <c r="X400" s="80">
        <f t="shared" si="225"/>
        <v>159</v>
      </c>
      <c r="Y400" s="75"/>
      <c r="Z400" s="60"/>
      <c r="AA400" s="75"/>
      <c r="AB400" s="75"/>
      <c r="AC400" s="75"/>
      <c r="AD400" s="75"/>
      <c r="AE400" s="81">
        <f t="shared" si="228"/>
        <v>0</v>
      </c>
      <c r="AF400" s="55">
        <f t="shared" si="229"/>
        <v>0</v>
      </c>
      <c r="AG400" s="76">
        <f t="shared" si="223"/>
        <v>0</v>
      </c>
      <c r="AH400" s="82">
        <f t="shared" si="224"/>
        <v>0</v>
      </c>
      <c r="AI400" s="83">
        <f t="shared" si="224"/>
        <v>0</v>
      </c>
      <c r="AJ400" s="83">
        <f t="shared" si="224"/>
        <v>0</v>
      </c>
      <c r="AK400" s="58">
        <f t="shared" si="224"/>
        <v>0</v>
      </c>
      <c r="AL400" s="82">
        <f t="shared" si="230"/>
        <v>0</v>
      </c>
      <c r="AM400" s="58">
        <f t="shared" si="231"/>
        <v>0</v>
      </c>
      <c r="AN400" s="74"/>
      <c r="AO400" s="84"/>
      <c r="AP400" s="74"/>
      <c r="AQ400" s="85"/>
      <c r="AR400" s="74"/>
      <c r="AS400" s="74"/>
      <c r="AT400" s="74"/>
      <c r="AU400" s="55" t="str">
        <f t="shared" si="241"/>
        <v/>
      </c>
      <c r="AV400" s="55" t="str">
        <f t="shared" ca="1" si="242"/>
        <v/>
      </c>
      <c r="AW400" s="55" t="str">
        <f t="shared" si="232"/>
        <v/>
      </c>
      <c r="AX400" s="55" t="str">
        <f t="shared" ca="1" si="233"/>
        <v/>
      </c>
      <c r="AY400" s="86"/>
      <c r="AZ400" s="86"/>
      <c r="BA400" s="55" t="str">
        <f t="shared" si="243"/>
        <v/>
      </c>
      <c r="BB400" s="86"/>
      <c r="BC400" s="86"/>
      <c r="BD400" s="55" t="str">
        <f t="shared" si="244"/>
        <v/>
      </c>
      <c r="BE400" s="74"/>
      <c r="BS400" s="118"/>
      <c r="BT400" s="118"/>
      <c r="BU400" s="118"/>
      <c r="BV400" s="118"/>
      <c r="BW400" s="118"/>
      <c r="BX400" s="118"/>
      <c r="BZ400" s="118"/>
      <c r="CB400" s="118"/>
      <c r="CC400" s="118"/>
      <c r="CD400" s="118"/>
    </row>
    <row r="401" spans="1:82" ht="17.399999999999999" customHeight="1">
      <c r="A401" s="87">
        <f t="shared" si="211"/>
        <v>56.6</v>
      </c>
      <c r="B401" s="111">
        <f t="shared" si="226"/>
        <v>391</v>
      </c>
      <c r="C401" s="60"/>
      <c r="D401" s="74"/>
      <c r="E401" s="75"/>
      <c r="F401" s="74"/>
      <c r="G401" s="54">
        <f t="shared" si="234"/>
        <v>0</v>
      </c>
      <c r="H401" s="55">
        <f t="shared" si="234"/>
        <v>0</v>
      </c>
      <c r="I401" s="76">
        <f t="shared" si="235"/>
        <v>0</v>
      </c>
      <c r="J401" s="58">
        <f t="shared" si="236"/>
        <v>0</v>
      </c>
      <c r="K401" s="58">
        <f t="shared" si="237"/>
        <v>0</v>
      </c>
      <c r="L401" s="58">
        <f t="shared" si="238"/>
        <v>0</v>
      </c>
      <c r="M401" s="58" t="str">
        <f t="shared" ca="1" si="239"/>
        <v/>
      </c>
      <c r="N401" s="58" t="str">
        <f t="shared" ca="1" si="239"/>
        <v/>
      </c>
      <c r="O401" s="58">
        <f t="shared" si="240"/>
        <v>5.0000000000000001E-4</v>
      </c>
      <c r="P401" s="77"/>
      <c r="Q401" s="60"/>
      <c r="R401" s="77"/>
      <c r="S401" s="78">
        <f t="shared" si="227"/>
        <v>0</v>
      </c>
      <c r="T401" s="55">
        <f t="shared" si="227"/>
        <v>0</v>
      </c>
      <c r="U401" s="79">
        <f t="shared" si="212"/>
        <v>0</v>
      </c>
      <c r="V401" s="63">
        <f t="shared" si="213"/>
        <v>0</v>
      </c>
      <c r="W401" s="64">
        <f t="shared" si="225"/>
        <v>148</v>
      </c>
      <c r="X401" s="80">
        <f t="shared" si="225"/>
        <v>159</v>
      </c>
      <c r="Y401" s="75"/>
      <c r="Z401" s="60"/>
      <c r="AA401" s="75"/>
      <c r="AB401" s="75"/>
      <c r="AC401" s="75"/>
      <c r="AD401" s="75"/>
      <c r="AE401" s="81">
        <f t="shared" si="228"/>
        <v>0</v>
      </c>
      <c r="AF401" s="55">
        <f t="shared" si="229"/>
        <v>0</v>
      </c>
      <c r="AG401" s="76">
        <f t="shared" si="223"/>
        <v>0</v>
      </c>
      <c r="AH401" s="82">
        <f t="shared" si="224"/>
        <v>0</v>
      </c>
      <c r="AI401" s="83">
        <f t="shared" si="224"/>
        <v>0</v>
      </c>
      <c r="AJ401" s="83">
        <f t="shared" si="224"/>
        <v>0</v>
      </c>
      <c r="AK401" s="58">
        <f t="shared" si="224"/>
        <v>0</v>
      </c>
      <c r="AL401" s="82">
        <f t="shared" si="230"/>
        <v>0</v>
      </c>
      <c r="AM401" s="58">
        <f t="shared" si="231"/>
        <v>0</v>
      </c>
      <c r="AN401" s="74"/>
      <c r="AO401" s="84"/>
      <c r="AP401" s="74"/>
      <c r="AQ401" s="85"/>
      <c r="AR401" s="74"/>
      <c r="AS401" s="74"/>
      <c r="AT401" s="74"/>
      <c r="AU401" s="55" t="str">
        <f t="shared" si="241"/>
        <v/>
      </c>
      <c r="AV401" s="55" t="str">
        <f t="shared" ca="1" si="242"/>
        <v/>
      </c>
      <c r="AW401" s="55" t="str">
        <f t="shared" si="232"/>
        <v/>
      </c>
      <c r="AX401" s="55" t="str">
        <f t="shared" ca="1" si="233"/>
        <v/>
      </c>
      <c r="AY401" s="86"/>
      <c r="AZ401" s="86"/>
      <c r="BA401" s="55" t="str">
        <f t="shared" si="243"/>
        <v/>
      </c>
      <c r="BB401" s="86"/>
      <c r="BC401" s="86"/>
      <c r="BD401" s="55" t="str">
        <f t="shared" si="244"/>
        <v/>
      </c>
      <c r="BE401" s="74"/>
      <c r="BS401" s="118"/>
      <c r="BT401" s="118"/>
      <c r="BU401" s="118"/>
      <c r="BV401" s="118"/>
      <c r="BW401" s="118"/>
      <c r="BX401" s="118"/>
      <c r="BZ401" s="118"/>
      <c r="CB401" s="118"/>
      <c r="CC401" s="118"/>
      <c r="CD401" s="118"/>
    </row>
    <row r="402" spans="1:82" ht="17.399999999999999" customHeight="1" thickBot="1">
      <c r="A402" s="72">
        <f t="shared" ref="A402:A465" si="245">A395+1</f>
        <v>56.7</v>
      </c>
      <c r="B402" s="113">
        <f t="shared" si="226"/>
        <v>392</v>
      </c>
      <c r="C402" s="89"/>
      <c r="D402" s="90"/>
      <c r="E402" s="91"/>
      <c r="F402" s="90"/>
      <c r="G402" s="92">
        <f t="shared" si="234"/>
        <v>0</v>
      </c>
      <c r="H402" s="93">
        <f t="shared" si="234"/>
        <v>0</v>
      </c>
      <c r="I402" s="94">
        <f t="shared" si="235"/>
        <v>0</v>
      </c>
      <c r="J402" s="95">
        <f t="shared" si="236"/>
        <v>0</v>
      </c>
      <c r="K402" s="95">
        <f t="shared" si="237"/>
        <v>0</v>
      </c>
      <c r="L402" s="95">
        <f t="shared" si="238"/>
        <v>0</v>
      </c>
      <c r="M402" s="95" t="str">
        <f t="shared" ca="1" si="239"/>
        <v/>
      </c>
      <c r="N402" s="95" t="str">
        <f t="shared" ca="1" si="239"/>
        <v/>
      </c>
      <c r="O402" s="95">
        <f t="shared" si="240"/>
        <v>5.0000000000000001E-4</v>
      </c>
      <c r="P402" s="96"/>
      <c r="Q402" s="89"/>
      <c r="R402" s="96"/>
      <c r="S402" s="78">
        <f t="shared" si="227"/>
        <v>0</v>
      </c>
      <c r="T402" s="55">
        <f t="shared" si="227"/>
        <v>0</v>
      </c>
      <c r="U402" s="97">
        <f t="shared" ref="U402:U465" si="246">IF(P402="FULL FEED",(Q402*G402/1000),(Q402*2*G402/1000))</f>
        <v>0</v>
      </c>
      <c r="V402" s="98">
        <f t="shared" ref="V402:V465" si="247">IF(P402="FULL FEED",(R402*H402/1000),(R402*2*H402/1000))</f>
        <v>0</v>
      </c>
      <c r="W402" s="99">
        <f t="shared" si="225"/>
        <v>148</v>
      </c>
      <c r="X402" s="100">
        <f t="shared" si="225"/>
        <v>159</v>
      </c>
      <c r="Y402" s="91"/>
      <c r="Z402" s="60"/>
      <c r="AA402" s="75"/>
      <c r="AB402" s="75"/>
      <c r="AC402" s="75"/>
      <c r="AD402" s="75"/>
      <c r="AE402" s="101">
        <f t="shared" si="228"/>
        <v>0</v>
      </c>
      <c r="AF402" s="93">
        <f t="shared" si="229"/>
        <v>0</v>
      </c>
      <c r="AG402" s="94">
        <f t="shared" si="223"/>
        <v>0</v>
      </c>
      <c r="AH402" s="102">
        <f t="shared" si="224"/>
        <v>0</v>
      </c>
      <c r="AI402" s="103">
        <f t="shared" si="224"/>
        <v>0</v>
      </c>
      <c r="AJ402" s="103">
        <f t="shared" si="224"/>
        <v>0</v>
      </c>
      <c r="AK402" s="95">
        <f t="shared" si="224"/>
        <v>0</v>
      </c>
      <c r="AL402" s="102">
        <f t="shared" si="230"/>
        <v>0</v>
      </c>
      <c r="AM402" s="95">
        <f t="shared" si="231"/>
        <v>0</v>
      </c>
      <c r="AN402" s="90"/>
      <c r="AO402" s="104"/>
      <c r="AP402" s="90"/>
      <c r="AQ402" s="105"/>
      <c r="AR402" s="90"/>
      <c r="AS402" s="90"/>
      <c r="AT402" s="90"/>
      <c r="AU402" s="93" t="str">
        <f t="shared" si="241"/>
        <v/>
      </c>
      <c r="AV402" s="93" t="str">
        <f t="shared" ca="1" si="242"/>
        <v/>
      </c>
      <c r="AW402" s="93" t="str">
        <f t="shared" si="232"/>
        <v/>
      </c>
      <c r="AX402" s="93" t="str">
        <f t="shared" ca="1" si="233"/>
        <v/>
      </c>
      <c r="AY402" s="106"/>
      <c r="AZ402" s="106"/>
      <c r="BA402" s="93" t="str">
        <f t="shared" si="243"/>
        <v/>
      </c>
      <c r="BB402" s="106"/>
      <c r="BC402" s="106"/>
      <c r="BD402" s="93" t="str">
        <f t="shared" si="244"/>
        <v/>
      </c>
      <c r="BE402" s="90"/>
      <c r="BS402" s="118"/>
      <c r="BT402" s="118"/>
      <c r="BU402" s="118"/>
      <c r="BV402" s="118"/>
      <c r="BW402" s="118"/>
      <c r="BX402" s="118"/>
      <c r="BZ402" s="118"/>
      <c r="CB402" s="118"/>
      <c r="CC402" s="118"/>
      <c r="CD402" s="118"/>
    </row>
    <row r="403" spans="1:82" ht="17.399999999999999" customHeight="1" thickTop="1">
      <c r="A403" s="49">
        <f>A396+1</f>
        <v>57.1</v>
      </c>
      <c r="B403" s="108">
        <f>B402+1</f>
        <v>393</v>
      </c>
      <c r="C403" s="51"/>
      <c r="D403" s="52"/>
      <c r="E403" s="53"/>
      <c r="F403" s="52"/>
      <c r="G403" s="54">
        <f t="shared" si="234"/>
        <v>0</v>
      </c>
      <c r="H403" s="55">
        <f t="shared" si="234"/>
        <v>0</v>
      </c>
      <c r="I403" s="56">
        <f t="shared" si="235"/>
        <v>0</v>
      </c>
      <c r="J403" s="57">
        <f t="shared" si="236"/>
        <v>0</v>
      </c>
      <c r="K403" s="57">
        <f t="shared" si="237"/>
        <v>0</v>
      </c>
      <c r="L403" s="57">
        <f t="shared" si="238"/>
        <v>0</v>
      </c>
      <c r="M403" s="58" t="str">
        <f t="shared" ca="1" si="239"/>
        <v/>
      </c>
      <c r="N403" s="58" t="str">
        <f t="shared" ca="1" si="239"/>
        <v/>
      </c>
      <c r="O403" s="58">
        <f t="shared" si="240"/>
        <v>5.0000000000000001E-4</v>
      </c>
      <c r="P403" s="77"/>
      <c r="Q403" s="60"/>
      <c r="R403" s="77"/>
      <c r="S403" s="109">
        <f t="shared" si="227"/>
        <v>0</v>
      </c>
      <c r="T403" s="61">
        <f t="shared" si="227"/>
        <v>0</v>
      </c>
      <c r="U403" s="62">
        <f t="shared" si="246"/>
        <v>0</v>
      </c>
      <c r="V403" s="63">
        <f t="shared" si="247"/>
        <v>0</v>
      </c>
      <c r="W403" s="64">
        <v>149</v>
      </c>
      <c r="X403" s="80">
        <f t="shared" si="225"/>
        <v>159</v>
      </c>
      <c r="Y403" s="53"/>
      <c r="Z403" s="51"/>
      <c r="AA403" s="53"/>
      <c r="AB403" s="53"/>
      <c r="AC403" s="53"/>
      <c r="AD403" s="53"/>
      <c r="AE403" s="66">
        <f t="shared" si="228"/>
        <v>0</v>
      </c>
      <c r="AF403" s="61">
        <f t="shared" si="229"/>
        <v>0</v>
      </c>
      <c r="AG403" s="56">
        <f t="shared" si="223"/>
        <v>0</v>
      </c>
      <c r="AH403" s="67">
        <f t="shared" si="224"/>
        <v>0</v>
      </c>
      <c r="AI403" s="68">
        <f t="shared" si="224"/>
        <v>0</v>
      </c>
      <c r="AJ403" s="68">
        <f t="shared" si="224"/>
        <v>0</v>
      </c>
      <c r="AK403" s="57">
        <f t="shared" si="224"/>
        <v>0</v>
      </c>
      <c r="AL403" s="67">
        <f t="shared" si="230"/>
        <v>0</v>
      </c>
      <c r="AM403" s="57">
        <f t="shared" si="231"/>
        <v>0</v>
      </c>
      <c r="AN403" s="52"/>
      <c r="AO403" s="69"/>
      <c r="AP403" s="52"/>
      <c r="AQ403" s="70"/>
      <c r="AR403" s="52"/>
      <c r="AS403" s="52"/>
      <c r="AT403" s="52"/>
      <c r="AU403" s="61" t="str">
        <f t="shared" si="241"/>
        <v/>
      </c>
      <c r="AV403" s="61" t="str">
        <f t="shared" ca="1" si="242"/>
        <v/>
      </c>
      <c r="AW403" s="61" t="str">
        <f t="shared" si="232"/>
        <v/>
      </c>
      <c r="AX403" s="61" t="str">
        <f t="shared" ca="1" si="233"/>
        <v/>
      </c>
      <c r="AY403" s="71"/>
      <c r="AZ403" s="71"/>
      <c r="BA403" s="61" t="str">
        <f t="shared" si="243"/>
        <v/>
      </c>
      <c r="BB403" s="71"/>
      <c r="BC403" s="71"/>
      <c r="BD403" s="61" t="str">
        <f t="shared" si="244"/>
        <v/>
      </c>
      <c r="BE403" s="52"/>
      <c r="BS403" s="118"/>
      <c r="BT403" s="118"/>
      <c r="BU403" s="118"/>
      <c r="BV403" s="118"/>
      <c r="BW403" s="118"/>
      <c r="BX403" s="118"/>
      <c r="BZ403" s="118"/>
      <c r="CB403" s="118"/>
      <c r="CC403" s="118"/>
      <c r="CD403" s="118"/>
    </row>
    <row r="404" spans="1:82" ht="17.399999999999999" customHeight="1">
      <c r="A404" s="72">
        <f t="shared" si="245"/>
        <v>57.2</v>
      </c>
      <c r="B404" s="111">
        <f t="shared" si="226"/>
        <v>394</v>
      </c>
      <c r="C404" s="60"/>
      <c r="D404" s="74"/>
      <c r="E404" s="75"/>
      <c r="F404" s="74"/>
      <c r="G404" s="54">
        <f t="shared" si="234"/>
        <v>0</v>
      </c>
      <c r="H404" s="55">
        <f t="shared" si="234"/>
        <v>0</v>
      </c>
      <c r="I404" s="76">
        <f t="shared" si="235"/>
        <v>0</v>
      </c>
      <c r="J404" s="58">
        <f t="shared" si="236"/>
        <v>0</v>
      </c>
      <c r="K404" s="58">
        <f t="shared" si="237"/>
        <v>0</v>
      </c>
      <c r="L404" s="58">
        <f t="shared" si="238"/>
        <v>0</v>
      </c>
      <c r="M404" s="58" t="str">
        <f t="shared" ca="1" si="239"/>
        <v/>
      </c>
      <c r="N404" s="58" t="str">
        <f t="shared" ca="1" si="239"/>
        <v/>
      </c>
      <c r="O404" s="58">
        <f t="shared" si="240"/>
        <v>5.0000000000000001E-4</v>
      </c>
      <c r="P404" s="77"/>
      <c r="Q404" s="60"/>
      <c r="R404" s="77"/>
      <c r="S404" s="78">
        <f t="shared" si="227"/>
        <v>0</v>
      </c>
      <c r="T404" s="55">
        <f t="shared" si="227"/>
        <v>0</v>
      </c>
      <c r="U404" s="79">
        <f t="shared" si="246"/>
        <v>0</v>
      </c>
      <c r="V404" s="63">
        <f t="shared" si="247"/>
        <v>0</v>
      </c>
      <c r="W404" s="64">
        <f t="shared" ref="W404:X409" si="248">W403</f>
        <v>149</v>
      </c>
      <c r="X404" s="80">
        <f t="shared" si="225"/>
        <v>159</v>
      </c>
      <c r="Y404" s="75"/>
      <c r="Z404" s="60"/>
      <c r="AA404" s="75"/>
      <c r="AB404" s="75"/>
      <c r="AC404" s="75"/>
      <c r="AD404" s="75"/>
      <c r="AE404" s="81">
        <f t="shared" si="228"/>
        <v>0</v>
      </c>
      <c r="AF404" s="55">
        <f t="shared" si="229"/>
        <v>0</v>
      </c>
      <c r="AG404" s="76">
        <f t="shared" si="223"/>
        <v>0</v>
      </c>
      <c r="AH404" s="82">
        <f t="shared" si="224"/>
        <v>0</v>
      </c>
      <c r="AI404" s="83">
        <f t="shared" si="224"/>
        <v>0</v>
      </c>
      <c r="AJ404" s="83">
        <f t="shared" si="224"/>
        <v>0</v>
      </c>
      <c r="AK404" s="58">
        <f t="shared" si="224"/>
        <v>0</v>
      </c>
      <c r="AL404" s="82">
        <f t="shared" si="230"/>
        <v>0</v>
      </c>
      <c r="AM404" s="58">
        <f t="shared" si="231"/>
        <v>0</v>
      </c>
      <c r="AN404" s="74"/>
      <c r="AO404" s="84"/>
      <c r="AP404" s="74"/>
      <c r="AQ404" s="85"/>
      <c r="AR404" s="74"/>
      <c r="AS404" s="74"/>
      <c r="AT404" s="74"/>
      <c r="AU404" s="55" t="str">
        <f t="shared" si="241"/>
        <v/>
      </c>
      <c r="AV404" s="55" t="str">
        <f t="shared" ca="1" si="242"/>
        <v/>
      </c>
      <c r="AW404" s="55" t="str">
        <f t="shared" si="232"/>
        <v/>
      </c>
      <c r="AX404" s="55" t="str">
        <f t="shared" ca="1" si="233"/>
        <v/>
      </c>
      <c r="AY404" s="86"/>
      <c r="AZ404" s="86"/>
      <c r="BA404" s="55" t="str">
        <f t="shared" si="243"/>
        <v/>
      </c>
      <c r="BB404" s="86"/>
      <c r="BC404" s="86"/>
      <c r="BD404" s="55" t="str">
        <f t="shared" si="244"/>
        <v/>
      </c>
      <c r="BE404" s="74"/>
      <c r="BS404" s="118"/>
      <c r="BT404" s="118"/>
      <c r="BU404" s="118"/>
      <c r="BV404" s="118"/>
      <c r="BW404" s="118"/>
      <c r="BX404" s="118"/>
      <c r="BZ404" s="118"/>
      <c r="CB404" s="118"/>
      <c r="CC404" s="118"/>
      <c r="CD404" s="118"/>
    </row>
    <row r="405" spans="1:82" ht="17.399999999999999" customHeight="1">
      <c r="A405" s="87">
        <f t="shared" si="245"/>
        <v>57.3</v>
      </c>
      <c r="B405" s="111">
        <f t="shared" si="226"/>
        <v>395</v>
      </c>
      <c r="C405" s="60"/>
      <c r="D405" s="74"/>
      <c r="E405" s="75"/>
      <c r="F405" s="74"/>
      <c r="G405" s="54">
        <f t="shared" si="234"/>
        <v>0</v>
      </c>
      <c r="H405" s="55">
        <f t="shared" si="234"/>
        <v>0</v>
      </c>
      <c r="I405" s="76">
        <f t="shared" si="235"/>
        <v>0</v>
      </c>
      <c r="J405" s="58">
        <f t="shared" si="236"/>
        <v>0</v>
      </c>
      <c r="K405" s="58">
        <f t="shared" si="237"/>
        <v>0</v>
      </c>
      <c r="L405" s="58">
        <f t="shared" si="238"/>
        <v>0</v>
      </c>
      <c r="M405" s="58" t="str">
        <f t="shared" ca="1" si="239"/>
        <v/>
      </c>
      <c r="N405" s="58" t="str">
        <f t="shared" ca="1" si="239"/>
        <v/>
      </c>
      <c r="O405" s="58">
        <f t="shared" si="240"/>
        <v>5.0000000000000001E-4</v>
      </c>
      <c r="P405" s="77"/>
      <c r="Q405" s="60"/>
      <c r="R405" s="77"/>
      <c r="S405" s="78">
        <f t="shared" si="227"/>
        <v>0</v>
      </c>
      <c r="T405" s="55">
        <f t="shared" si="227"/>
        <v>0</v>
      </c>
      <c r="U405" s="79">
        <f t="shared" si="246"/>
        <v>0</v>
      </c>
      <c r="V405" s="63">
        <f t="shared" si="247"/>
        <v>0</v>
      </c>
      <c r="W405" s="64">
        <f t="shared" si="248"/>
        <v>149</v>
      </c>
      <c r="X405" s="80">
        <f t="shared" si="225"/>
        <v>159</v>
      </c>
      <c r="Y405" s="75"/>
      <c r="Z405" s="60"/>
      <c r="AA405" s="75"/>
      <c r="AB405" s="75"/>
      <c r="AC405" s="75"/>
      <c r="AD405" s="75"/>
      <c r="AE405" s="81">
        <f t="shared" si="228"/>
        <v>0</v>
      </c>
      <c r="AF405" s="55">
        <f t="shared" si="229"/>
        <v>0</v>
      </c>
      <c r="AG405" s="76">
        <f t="shared" si="223"/>
        <v>0</v>
      </c>
      <c r="AH405" s="82">
        <f t="shared" si="224"/>
        <v>0</v>
      </c>
      <c r="AI405" s="83">
        <f t="shared" si="224"/>
        <v>0</v>
      </c>
      <c r="AJ405" s="83">
        <f t="shared" si="224"/>
        <v>0</v>
      </c>
      <c r="AK405" s="58">
        <f t="shared" si="224"/>
        <v>0</v>
      </c>
      <c r="AL405" s="82">
        <f t="shared" si="230"/>
        <v>0</v>
      </c>
      <c r="AM405" s="58">
        <f t="shared" si="231"/>
        <v>0</v>
      </c>
      <c r="AN405" s="74"/>
      <c r="AO405" s="84"/>
      <c r="AP405" s="74"/>
      <c r="AQ405" s="85"/>
      <c r="AR405" s="74"/>
      <c r="AS405" s="74"/>
      <c r="AT405" s="74"/>
      <c r="AU405" s="55" t="str">
        <f t="shared" si="241"/>
        <v/>
      </c>
      <c r="AV405" s="55" t="str">
        <f t="shared" ca="1" si="242"/>
        <v/>
      </c>
      <c r="AW405" s="55" t="str">
        <f t="shared" si="232"/>
        <v/>
      </c>
      <c r="AX405" s="55" t="str">
        <f t="shared" ca="1" si="233"/>
        <v/>
      </c>
      <c r="AY405" s="86"/>
      <c r="AZ405" s="86"/>
      <c r="BA405" s="55" t="str">
        <f t="shared" si="243"/>
        <v/>
      </c>
      <c r="BB405" s="86"/>
      <c r="BC405" s="86"/>
      <c r="BD405" s="55" t="str">
        <f t="shared" si="244"/>
        <v/>
      </c>
      <c r="BE405" s="74"/>
      <c r="BS405" s="118"/>
      <c r="BT405" s="118"/>
      <c r="BU405" s="118"/>
      <c r="BV405" s="118"/>
      <c r="BW405" s="118"/>
      <c r="BX405" s="118"/>
      <c r="BZ405" s="118"/>
      <c r="CB405" s="118"/>
      <c r="CC405" s="118"/>
      <c r="CD405" s="118"/>
    </row>
    <row r="406" spans="1:82" ht="17.399999999999999" customHeight="1">
      <c r="A406" s="72">
        <f t="shared" si="245"/>
        <v>57.4</v>
      </c>
      <c r="B406" s="111">
        <f t="shared" si="226"/>
        <v>396</v>
      </c>
      <c r="C406" s="60"/>
      <c r="D406" s="74"/>
      <c r="E406" s="75"/>
      <c r="F406" s="74"/>
      <c r="G406" s="54">
        <f t="shared" si="234"/>
        <v>0</v>
      </c>
      <c r="H406" s="55">
        <f t="shared" si="234"/>
        <v>0</v>
      </c>
      <c r="I406" s="76">
        <f t="shared" si="235"/>
        <v>0</v>
      </c>
      <c r="J406" s="58">
        <f t="shared" si="236"/>
        <v>0</v>
      </c>
      <c r="K406" s="58">
        <f t="shared" si="237"/>
        <v>0</v>
      </c>
      <c r="L406" s="58">
        <f t="shared" si="238"/>
        <v>0</v>
      </c>
      <c r="M406" s="58" t="str">
        <f t="shared" ca="1" si="239"/>
        <v/>
      </c>
      <c r="N406" s="58" t="str">
        <f t="shared" ca="1" si="239"/>
        <v/>
      </c>
      <c r="O406" s="58">
        <f t="shared" si="240"/>
        <v>5.0000000000000001E-4</v>
      </c>
      <c r="P406" s="77"/>
      <c r="Q406" s="60"/>
      <c r="R406" s="77"/>
      <c r="S406" s="78">
        <f t="shared" si="227"/>
        <v>0</v>
      </c>
      <c r="T406" s="55">
        <f t="shared" si="227"/>
        <v>0</v>
      </c>
      <c r="U406" s="79">
        <f t="shared" si="246"/>
        <v>0</v>
      </c>
      <c r="V406" s="63">
        <f t="shared" si="247"/>
        <v>0</v>
      </c>
      <c r="W406" s="64">
        <f t="shared" si="248"/>
        <v>149</v>
      </c>
      <c r="X406" s="80">
        <f t="shared" si="248"/>
        <v>159</v>
      </c>
      <c r="Y406" s="75"/>
      <c r="Z406" s="60"/>
      <c r="AA406" s="75"/>
      <c r="AB406" s="75"/>
      <c r="AC406" s="75"/>
      <c r="AD406" s="75"/>
      <c r="AE406" s="81">
        <f t="shared" si="228"/>
        <v>0</v>
      </c>
      <c r="AF406" s="55">
        <f t="shared" si="229"/>
        <v>0</v>
      </c>
      <c r="AG406" s="76">
        <f t="shared" si="223"/>
        <v>0</v>
      </c>
      <c r="AH406" s="82">
        <f t="shared" si="224"/>
        <v>0</v>
      </c>
      <c r="AI406" s="83">
        <f t="shared" si="224"/>
        <v>0</v>
      </c>
      <c r="AJ406" s="83">
        <f t="shared" si="224"/>
        <v>0</v>
      </c>
      <c r="AK406" s="58">
        <f t="shared" si="224"/>
        <v>0</v>
      </c>
      <c r="AL406" s="82">
        <f t="shared" si="230"/>
        <v>0</v>
      </c>
      <c r="AM406" s="58">
        <f t="shared" si="231"/>
        <v>0</v>
      </c>
      <c r="AN406" s="74"/>
      <c r="AO406" s="84"/>
      <c r="AP406" s="74"/>
      <c r="AQ406" s="85"/>
      <c r="AR406" s="74"/>
      <c r="AS406" s="74"/>
      <c r="AT406" s="74"/>
      <c r="AU406" s="55" t="str">
        <f t="shared" si="241"/>
        <v/>
      </c>
      <c r="AV406" s="55" t="str">
        <f t="shared" ca="1" si="242"/>
        <v/>
      </c>
      <c r="AW406" s="55" t="str">
        <f t="shared" si="232"/>
        <v/>
      </c>
      <c r="AX406" s="55" t="str">
        <f t="shared" ca="1" si="233"/>
        <v/>
      </c>
      <c r="AY406" s="86"/>
      <c r="AZ406" s="86"/>
      <c r="BA406" s="55" t="str">
        <f t="shared" si="243"/>
        <v/>
      </c>
      <c r="BB406" s="86"/>
      <c r="BC406" s="86"/>
      <c r="BD406" s="55" t="str">
        <f t="shared" si="244"/>
        <v/>
      </c>
      <c r="BE406" s="74"/>
      <c r="BS406" s="118"/>
      <c r="BT406" s="118"/>
      <c r="BU406" s="118"/>
      <c r="BV406" s="118"/>
      <c r="BW406" s="118"/>
      <c r="BX406" s="118"/>
      <c r="BZ406" s="118"/>
      <c r="CB406" s="118"/>
      <c r="CC406" s="118"/>
      <c r="CD406" s="118"/>
    </row>
    <row r="407" spans="1:82" ht="17.399999999999999" customHeight="1">
      <c r="A407" s="87">
        <f t="shared" si="245"/>
        <v>57.5</v>
      </c>
      <c r="B407" s="111">
        <f t="shared" si="226"/>
        <v>397</v>
      </c>
      <c r="C407" s="60"/>
      <c r="D407" s="74"/>
      <c r="E407" s="75"/>
      <c r="F407" s="74"/>
      <c r="G407" s="54">
        <f t="shared" si="234"/>
        <v>0</v>
      </c>
      <c r="H407" s="55">
        <f t="shared" si="234"/>
        <v>0</v>
      </c>
      <c r="I407" s="76">
        <f t="shared" si="235"/>
        <v>0</v>
      </c>
      <c r="J407" s="58">
        <f t="shared" si="236"/>
        <v>0</v>
      </c>
      <c r="K407" s="58">
        <f t="shared" si="237"/>
        <v>0</v>
      </c>
      <c r="L407" s="58">
        <f t="shared" si="238"/>
        <v>0</v>
      </c>
      <c r="M407" s="58" t="str">
        <f t="shared" ca="1" si="239"/>
        <v/>
      </c>
      <c r="N407" s="58" t="str">
        <f t="shared" ca="1" si="239"/>
        <v/>
      </c>
      <c r="O407" s="58">
        <f t="shared" si="240"/>
        <v>5.0000000000000001E-4</v>
      </c>
      <c r="P407" s="77"/>
      <c r="Q407" s="60"/>
      <c r="R407" s="77"/>
      <c r="S407" s="78">
        <f t="shared" si="227"/>
        <v>0</v>
      </c>
      <c r="T407" s="55">
        <f t="shared" si="227"/>
        <v>0</v>
      </c>
      <c r="U407" s="79">
        <f t="shared" si="246"/>
        <v>0</v>
      </c>
      <c r="V407" s="63">
        <f t="shared" si="247"/>
        <v>0</v>
      </c>
      <c r="W407" s="64">
        <f t="shared" si="248"/>
        <v>149</v>
      </c>
      <c r="X407" s="80">
        <f t="shared" si="248"/>
        <v>159</v>
      </c>
      <c r="Y407" s="75"/>
      <c r="Z407" s="60"/>
      <c r="AA407" s="75"/>
      <c r="AB407" s="75"/>
      <c r="AC407" s="75"/>
      <c r="AD407" s="75"/>
      <c r="AE407" s="81">
        <f t="shared" si="228"/>
        <v>0</v>
      </c>
      <c r="AF407" s="55">
        <f t="shared" si="229"/>
        <v>0</v>
      </c>
      <c r="AG407" s="76">
        <f t="shared" si="223"/>
        <v>0</v>
      </c>
      <c r="AH407" s="82">
        <f t="shared" si="224"/>
        <v>0</v>
      </c>
      <c r="AI407" s="83">
        <f t="shared" si="224"/>
        <v>0</v>
      </c>
      <c r="AJ407" s="83">
        <f t="shared" si="224"/>
        <v>0</v>
      </c>
      <c r="AK407" s="58">
        <f t="shared" si="224"/>
        <v>0</v>
      </c>
      <c r="AL407" s="82">
        <f t="shared" si="230"/>
        <v>0</v>
      </c>
      <c r="AM407" s="58">
        <f t="shared" si="231"/>
        <v>0</v>
      </c>
      <c r="AN407" s="74"/>
      <c r="AO407" s="84"/>
      <c r="AP407" s="74"/>
      <c r="AQ407" s="85"/>
      <c r="AR407" s="74"/>
      <c r="AS407" s="74"/>
      <c r="AT407" s="74"/>
      <c r="AU407" s="55" t="str">
        <f t="shared" si="241"/>
        <v/>
      </c>
      <c r="AV407" s="55" t="str">
        <f t="shared" ca="1" si="242"/>
        <v/>
      </c>
      <c r="AW407" s="55" t="str">
        <f t="shared" si="232"/>
        <v/>
      </c>
      <c r="AX407" s="55" t="str">
        <f t="shared" ca="1" si="233"/>
        <v/>
      </c>
      <c r="AY407" s="86"/>
      <c r="AZ407" s="86"/>
      <c r="BA407" s="55" t="str">
        <f t="shared" si="243"/>
        <v/>
      </c>
      <c r="BB407" s="86"/>
      <c r="BC407" s="86"/>
      <c r="BD407" s="55" t="str">
        <f t="shared" si="244"/>
        <v/>
      </c>
      <c r="BE407" s="74"/>
      <c r="BS407" s="118"/>
      <c r="BT407" s="118"/>
      <c r="BU407" s="118"/>
      <c r="BV407" s="118"/>
      <c r="BW407" s="118"/>
      <c r="BX407" s="118"/>
      <c r="BZ407" s="118"/>
      <c r="CB407" s="118"/>
      <c r="CC407" s="118"/>
      <c r="CD407" s="118"/>
    </row>
    <row r="408" spans="1:82" ht="17.399999999999999" customHeight="1">
      <c r="A408" s="72">
        <f t="shared" si="245"/>
        <v>57.6</v>
      </c>
      <c r="B408" s="111">
        <f t="shared" si="226"/>
        <v>398</v>
      </c>
      <c r="C408" s="60"/>
      <c r="D408" s="74"/>
      <c r="E408" s="75"/>
      <c r="F408" s="74"/>
      <c r="G408" s="54">
        <f t="shared" si="234"/>
        <v>0</v>
      </c>
      <c r="H408" s="55">
        <f t="shared" si="234"/>
        <v>0</v>
      </c>
      <c r="I408" s="76">
        <f t="shared" si="235"/>
        <v>0</v>
      </c>
      <c r="J408" s="58">
        <f t="shared" si="236"/>
        <v>0</v>
      </c>
      <c r="K408" s="58">
        <f t="shared" si="237"/>
        <v>0</v>
      </c>
      <c r="L408" s="58">
        <f t="shared" si="238"/>
        <v>0</v>
      </c>
      <c r="M408" s="58" t="str">
        <f t="shared" ca="1" si="239"/>
        <v/>
      </c>
      <c r="N408" s="58" t="str">
        <f t="shared" ca="1" si="239"/>
        <v/>
      </c>
      <c r="O408" s="58">
        <f t="shared" si="240"/>
        <v>5.0000000000000001E-4</v>
      </c>
      <c r="P408" s="77"/>
      <c r="Q408" s="60"/>
      <c r="R408" s="77"/>
      <c r="S408" s="78">
        <f t="shared" si="227"/>
        <v>0</v>
      </c>
      <c r="T408" s="55">
        <f t="shared" si="227"/>
        <v>0</v>
      </c>
      <c r="U408" s="79">
        <f t="shared" si="246"/>
        <v>0</v>
      </c>
      <c r="V408" s="63">
        <f t="shared" si="247"/>
        <v>0</v>
      </c>
      <c r="W408" s="64">
        <f t="shared" si="248"/>
        <v>149</v>
      </c>
      <c r="X408" s="80">
        <f t="shared" si="248"/>
        <v>159</v>
      </c>
      <c r="Y408" s="75"/>
      <c r="Z408" s="60"/>
      <c r="AA408" s="75"/>
      <c r="AB408" s="75"/>
      <c r="AC408" s="75"/>
      <c r="AD408" s="75"/>
      <c r="AE408" s="81">
        <f t="shared" si="228"/>
        <v>0</v>
      </c>
      <c r="AF408" s="55">
        <f t="shared" si="229"/>
        <v>0</v>
      </c>
      <c r="AG408" s="76">
        <f t="shared" si="223"/>
        <v>0</v>
      </c>
      <c r="AH408" s="82">
        <f t="shared" si="224"/>
        <v>0</v>
      </c>
      <c r="AI408" s="83">
        <f t="shared" si="224"/>
        <v>0</v>
      </c>
      <c r="AJ408" s="83">
        <f t="shared" si="224"/>
        <v>0</v>
      </c>
      <c r="AK408" s="58">
        <f t="shared" si="224"/>
        <v>0</v>
      </c>
      <c r="AL408" s="82">
        <f t="shared" si="230"/>
        <v>0</v>
      </c>
      <c r="AM408" s="58">
        <f t="shared" si="231"/>
        <v>0</v>
      </c>
      <c r="AN408" s="74"/>
      <c r="AO408" s="84"/>
      <c r="AP408" s="74"/>
      <c r="AQ408" s="85"/>
      <c r="AR408" s="74"/>
      <c r="AS408" s="74"/>
      <c r="AT408" s="74"/>
      <c r="AU408" s="55" t="str">
        <f t="shared" si="241"/>
        <v/>
      </c>
      <c r="AV408" s="55" t="str">
        <f t="shared" ca="1" si="242"/>
        <v/>
      </c>
      <c r="AW408" s="55" t="str">
        <f t="shared" si="232"/>
        <v/>
      </c>
      <c r="AX408" s="55" t="str">
        <f t="shared" ca="1" si="233"/>
        <v/>
      </c>
      <c r="AY408" s="86"/>
      <c r="AZ408" s="86"/>
      <c r="BA408" s="55" t="str">
        <f t="shared" si="243"/>
        <v/>
      </c>
      <c r="BB408" s="86"/>
      <c r="BC408" s="86"/>
      <c r="BD408" s="55" t="str">
        <f t="shared" si="244"/>
        <v/>
      </c>
      <c r="BE408" s="74"/>
      <c r="BS408" s="118"/>
      <c r="BT408" s="118"/>
      <c r="BU408" s="118"/>
      <c r="BV408" s="118"/>
      <c r="BW408" s="118"/>
      <c r="BX408" s="118"/>
      <c r="BZ408" s="118"/>
      <c r="CB408" s="118"/>
      <c r="CC408" s="118"/>
      <c r="CD408" s="118"/>
    </row>
    <row r="409" spans="1:82" ht="17.399999999999999" customHeight="1" thickBot="1">
      <c r="A409" s="87">
        <f t="shared" si="245"/>
        <v>57.7</v>
      </c>
      <c r="B409" s="113">
        <f t="shared" si="226"/>
        <v>399</v>
      </c>
      <c r="C409" s="89"/>
      <c r="D409" s="90"/>
      <c r="E409" s="91"/>
      <c r="F409" s="90"/>
      <c r="G409" s="92">
        <f t="shared" si="234"/>
        <v>0</v>
      </c>
      <c r="H409" s="93">
        <f t="shared" si="234"/>
        <v>0</v>
      </c>
      <c r="I409" s="94">
        <f t="shared" si="235"/>
        <v>0</v>
      </c>
      <c r="J409" s="95">
        <f t="shared" si="236"/>
        <v>0</v>
      </c>
      <c r="K409" s="95">
        <f t="shared" si="237"/>
        <v>0</v>
      </c>
      <c r="L409" s="95">
        <f t="shared" si="238"/>
        <v>0</v>
      </c>
      <c r="M409" s="95" t="str">
        <f t="shared" ca="1" si="239"/>
        <v/>
      </c>
      <c r="N409" s="95" t="str">
        <f t="shared" ca="1" si="239"/>
        <v/>
      </c>
      <c r="O409" s="95">
        <f t="shared" si="240"/>
        <v>5.0000000000000001E-4</v>
      </c>
      <c r="P409" s="96"/>
      <c r="Q409" s="89"/>
      <c r="R409" s="96"/>
      <c r="S409" s="78">
        <f t="shared" si="227"/>
        <v>0</v>
      </c>
      <c r="T409" s="55">
        <f t="shared" si="227"/>
        <v>0</v>
      </c>
      <c r="U409" s="97">
        <f t="shared" si="246"/>
        <v>0</v>
      </c>
      <c r="V409" s="98">
        <f t="shared" si="247"/>
        <v>0</v>
      </c>
      <c r="W409" s="99">
        <f t="shared" si="248"/>
        <v>149</v>
      </c>
      <c r="X409" s="100">
        <f t="shared" si="248"/>
        <v>159</v>
      </c>
      <c r="Y409" s="91"/>
      <c r="Z409" s="60"/>
      <c r="AA409" s="75"/>
      <c r="AB409" s="75"/>
      <c r="AC409" s="75"/>
      <c r="AD409" s="75"/>
      <c r="AE409" s="101">
        <f t="shared" si="228"/>
        <v>0</v>
      </c>
      <c r="AF409" s="93">
        <f t="shared" si="229"/>
        <v>0</v>
      </c>
      <c r="AG409" s="94">
        <f t="shared" si="223"/>
        <v>0</v>
      </c>
      <c r="AH409" s="102">
        <f t="shared" si="224"/>
        <v>0</v>
      </c>
      <c r="AI409" s="103">
        <f t="shared" si="224"/>
        <v>0</v>
      </c>
      <c r="AJ409" s="103">
        <f t="shared" si="224"/>
        <v>0</v>
      </c>
      <c r="AK409" s="95">
        <f t="shared" si="224"/>
        <v>0</v>
      </c>
      <c r="AL409" s="102">
        <f t="shared" si="230"/>
        <v>0</v>
      </c>
      <c r="AM409" s="95">
        <f t="shared" si="231"/>
        <v>0</v>
      </c>
      <c r="AN409" s="90"/>
      <c r="AO409" s="104"/>
      <c r="AP409" s="90"/>
      <c r="AQ409" s="105"/>
      <c r="AR409" s="90"/>
      <c r="AS409" s="90"/>
      <c r="AT409" s="90"/>
      <c r="AU409" s="93" t="str">
        <f t="shared" si="241"/>
        <v/>
      </c>
      <c r="AV409" s="93" t="str">
        <f t="shared" ca="1" si="242"/>
        <v/>
      </c>
      <c r="AW409" s="93" t="str">
        <f t="shared" si="232"/>
        <v/>
      </c>
      <c r="AX409" s="93" t="str">
        <f t="shared" ca="1" si="233"/>
        <v/>
      </c>
      <c r="AY409" s="106"/>
      <c r="AZ409" s="106"/>
      <c r="BA409" s="93" t="str">
        <f t="shared" si="243"/>
        <v/>
      </c>
      <c r="BB409" s="106"/>
      <c r="BC409" s="106"/>
      <c r="BD409" s="93" t="str">
        <f t="shared" si="244"/>
        <v/>
      </c>
      <c r="BE409" s="90"/>
      <c r="BS409" s="118"/>
      <c r="BT409" s="118"/>
      <c r="BU409" s="118"/>
      <c r="BV409" s="118"/>
      <c r="BW409" s="118"/>
      <c r="BX409" s="118"/>
      <c r="BZ409" s="118"/>
      <c r="CB409" s="118"/>
      <c r="CC409" s="118"/>
      <c r="CD409" s="118"/>
    </row>
    <row r="410" spans="1:82" ht="17.399999999999999" customHeight="1" thickTop="1">
      <c r="A410" s="107">
        <f>A403+1</f>
        <v>58.1</v>
      </c>
      <c r="B410" s="108">
        <f>B409+1</f>
        <v>400</v>
      </c>
      <c r="C410" s="51"/>
      <c r="D410" s="52"/>
      <c r="E410" s="53"/>
      <c r="F410" s="52"/>
      <c r="G410" s="54">
        <f t="shared" si="234"/>
        <v>0</v>
      </c>
      <c r="H410" s="55">
        <f t="shared" si="234"/>
        <v>0</v>
      </c>
      <c r="I410" s="56">
        <f t="shared" si="235"/>
        <v>0</v>
      </c>
      <c r="J410" s="57">
        <f t="shared" si="236"/>
        <v>0</v>
      </c>
      <c r="K410" s="57">
        <f t="shared" si="237"/>
        <v>0</v>
      </c>
      <c r="L410" s="57">
        <f t="shared" si="238"/>
        <v>0</v>
      </c>
      <c r="M410" s="58" t="str">
        <f t="shared" ca="1" si="239"/>
        <v/>
      </c>
      <c r="N410" s="58" t="str">
        <f t="shared" ca="1" si="239"/>
        <v/>
      </c>
      <c r="O410" s="58">
        <f t="shared" si="240"/>
        <v>5.0000000000000001E-4</v>
      </c>
      <c r="P410" s="77"/>
      <c r="Q410" s="60"/>
      <c r="R410" s="77"/>
      <c r="S410" s="109">
        <f t="shared" si="227"/>
        <v>0</v>
      </c>
      <c r="T410" s="61">
        <f t="shared" si="227"/>
        <v>0</v>
      </c>
      <c r="U410" s="62">
        <f t="shared" si="246"/>
        <v>0</v>
      </c>
      <c r="V410" s="63">
        <f t="shared" si="247"/>
        <v>0</v>
      </c>
      <c r="W410" s="64">
        <v>150</v>
      </c>
      <c r="X410" s="80">
        <v>158</v>
      </c>
      <c r="Y410" s="53"/>
      <c r="Z410" s="51"/>
      <c r="AA410" s="53"/>
      <c r="AB410" s="53"/>
      <c r="AC410" s="53"/>
      <c r="AD410" s="53"/>
      <c r="AE410" s="66">
        <f t="shared" si="228"/>
        <v>0</v>
      </c>
      <c r="AF410" s="61">
        <f t="shared" si="229"/>
        <v>0</v>
      </c>
      <c r="AG410" s="56">
        <f t="shared" si="223"/>
        <v>0</v>
      </c>
      <c r="AH410" s="67">
        <f t="shared" si="224"/>
        <v>0</v>
      </c>
      <c r="AI410" s="68">
        <f t="shared" si="224"/>
        <v>0</v>
      </c>
      <c r="AJ410" s="68">
        <f t="shared" si="224"/>
        <v>0</v>
      </c>
      <c r="AK410" s="57">
        <f t="shared" si="224"/>
        <v>0</v>
      </c>
      <c r="AL410" s="67">
        <f t="shared" si="230"/>
        <v>0</v>
      </c>
      <c r="AM410" s="57">
        <f t="shared" si="231"/>
        <v>0</v>
      </c>
      <c r="AN410" s="52"/>
      <c r="AO410" s="69"/>
      <c r="AP410" s="52"/>
      <c r="AQ410" s="70"/>
      <c r="AR410" s="52"/>
      <c r="AS410" s="52"/>
      <c r="AT410" s="52"/>
      <c r="AU410" s="61" t="str">
        <f t="shared" si="241"/>
        <v/>
      </c>
      <c r="AV410" s="61" t="str">
        <f t="shared" ca="1" si="242"/>
        <v/>
      </c>
      <c r="AW410" s="61" t="str">
        <f t="shared" si="232"/>
        <v/>
      </c>
      <c r="AX410" s="61" t="str">
        <f t="shared" ca="1" si="233"/>
        <v/>
      </c>
      <c r="AY410" s="71"/>
      <c r="AZ410" s="71"/>
      <c r="BA410" s="61" t="str">
        <f t="shared" si="243"/>
        <v/>
      </c>
      <c r="BB410" s="71"/>
      <c r="BC410" s="71"/>
      <c r="BD410" s="61" t="str">
        <f t="shared" si="244"/>
        <v/>
      </c>
      <c r="BE410" s="52"/>
      <c r="BS410" s="118"/>
      <c r="BT410" s="118"/>
      <c r="BU410" s="118"/>
      <c r="BV410" s="118"/>
      <c r="BW410" s="118"/>
      <c r="BX410" s="118"/>
      <c r="BZ410" s="118"/>
      <c r="CB410" s="118"/>
      <c r="CC410" s="118"/>
      <c r="CD410" s="118"/>
    </row>
    <row r="411" spans="1:82" ht="17.399999999999999" customHeight="1">
      <c r="A411" s="87">
        <f t="shared" si="245"/>
        <v>58.2</v>
      </c>
      <c r="B411" s="111">
        <f t="shared" si="226"/>
        <v>401</v>
      </c>
      <c r="C411" s="60"/>
      <c r="D411" s="74"/>
      <c r="E411" s="75"/>
      <c r="F411" s="74"/>
      <c r="G411" s="54">
        <f t="shared" si="234"/>
        <v>0</v>
      </c>
      <c r="H411" s="55">
        <f t="shared" si="234"/>
        <v>0</v>
      </c>
      <c r="I411" s="76">
        <f t="shared" si="235"/>
        <v>0</v>
      </c>
      <c r="J411" s="58">
        <f t="shared" si="236"/>
        <v>0</v>
      </c>
      <c r="K411" s="58">
        <f t="shared" si="237"/>
        <v>0</v>
      </c>
      <c r="L411" s="58">
        <f t="shared" si="238"/>
        <v>0</v>
      </c>
      <c r="M411" s="58" t="str">
        <f t="shared" ca="1" si="239"/>
        <v/>
      </c>
      <c r="N411" s="58" t="str">
        <f t="shared" ca="1" si="239"/>
        <v/>
      </c>
      <c r="O411" s="58">
        <f t="shared" si="240"/>
        <v>5.0000000000000001E-4</v>
      </c>
      <c r="P411" s="77"/>
      <c r="Q411" s="60"/>
      <c r="R411" s="77"/>
      <c r="S411" s="78">
        <f t="shared" si="227"/>
        <v>0</v>
      </c>
      <c r="T411" s="55">
        <f t="shared" si="227"/>
        <v>0</v>
      </c>
      <c r="U411" s="79">
        <f t="shared" si="246"/>
        <v>0</v>
      </c>
      <c r="V411" s="63">
        <f t="shared" si="247"/>
        <v>0</v>
      </c>
      <c r="W411" s="64">
        <f t="shared" ref="W411:X423" si="249">W410</f>
        <v>150</v>
      </c>
      <c r="X411" s="80">
        <f t="shared" si="249"/>
        <v>158</v>
      </c>
      <c r="Y411" s="75"/>
      <c r="Z411" s="60"/>
      <c r="AA411" s="75"/>
      <c r="AB411" s="75"/>
      <c r="AC411" s="75"/>
      <c r="AD411" s="75"/>
      <c r="AE411" s="81">
        <f t="shared" si="228"/>
        <v>0</v>
      </c>
      <c r="AF411" s="55">
        <f t="shared" si="229"/>
        <v>0</v>
      </c>
      <c r="AG411" s="76">
        <f t="shared" si="223"/>
        <v>0</v>
      </c>
      <c r="AH411" s="82">
        <f t="shared" si="224"/>
        <v>0</v>
      </c>
      <c r="AI411" s="83">
        <f t="shared" si="224"/>
        <v>0</v>
      </c>
      <c r="AJ411" s="83">
        <f t="shared" si="224"/>
        <v>0</v>
      </c>
      <c r="AK411" s="58">
        <f t="shared" si="224"/>
        <v>0</v>
      </c>
      <c r="AL411" s="82">
        <f t="shared" si="230"/>
        <v>0</v>
      </c>
      <c r="AM411" s="58">
        <f t="shared" si="231"/>
        <v>0</v>
      </c>
      <c r="AN411" s="74"/>
      <c r="AO411" s="84"/>
      <c r="AP411" s="74"/>
      <c r="AQ411" s="85"/>
      <c r="AR411" s="74"/>
      <c r="AS411" s="74"/>
      <c r="AT411" s="74"/>
      <c r="AU411" s="55" t="str">
        <f t="shared" si="241"/>
        <v/>
      </c>
      <c r="AV411" s="55" t="str">
        <f t="shared" ca="1" si="242"/>
        <v/>
      </c>
      <c r="AW411" s="55" t="str">
        <f t="shared" si="232"/>
        <v/>
      </c>
      <c r="AX411" s="55" t="str">
        <f t="shared" ca="1" si="233"/>
        <v/>
      </c>
      <c r="AY411" s="86"/>
      <c r="AZ411" s="86"/>
      <c r="BA411" s="55" t="str">
        <f t="shared" si="243"/>
        <v/>
      </c>
      <c r="BB411" s="86"/>
      <c r="BC411" s="86"/>
      <c r="BD411" s="55" t="str">
        <f t="shared" si="244"/>
        <v/>
      </c>
      <c r="BE411" s="74"/>
      <c r="BS411" s="118"/>
      <c r="BT411" s="118"/>
      <c r="BU411" s="118"/>
      <c r="BV411" s="118"/>
      <c r="BW411" s="118"/>
      <c r="BX411" s="118"/>
      <c r="BZ411" s="118"/>
      <c r="CB411" s="118"/>
      <c r="CC411" s="118"/>
      <c r="CD411" s="118"/>
    </row>
    <row r="412" spans="1:82" ht="17.399999999999999" customHeight="1">
      <c r="A412" s="72">
        <f t="shared" si="245"/>
        <v>58.3</v>
      </c>
      <c r="B412" s="111">
        <f t="shared" si="226"/>
        <v>402</v>
      </c>
      <c r="C412" s="60"/>
      <c r="D412" s="74"/>
      <c r="E412" s="75"/>
      <c r="F412" s="74"/>
      <c r="G412" s="54">
        <f t="shared" ref="G412:H427" si="250">G411-E412-C412</f>
        <v>0</v>
      </c>
      <c r="H412" s="55">
        <f t="shared" si="250"/>
        <v>0</v>
      </c>
      <c r="I412" s="76">
        <f t="shared" si="235"/>
        <v>0</v>
      </c>
      <c r="J412" s="58">
        <f t="shared" si="236"/>
        <v>0</v>
      </c>
      <c r="K412" s="58">
        <f t="shared" si="237"/>
        <v>0</v>
      </c>
      <c r="L412" s="58">
        <f t="shared" si="238"/>
        <v>0</v>
      </c>
      <c r="M412" s="58" t="str">
        <f t="shared" ca="1" si="239"/>
        <v/>
      </c>
      <c r="N412" s="58" t="str">
        <f t="shared" ca="1" si="239"/>
        <v/>
      </c>
      <c r="O412" s="58">
        <f t="shared" si="240"/>
        <v>5.0000000000000001E-4</v>
      </c>
      <c r="P412" s="77"/>
      <c r="Q412" s="60"/>
      <c r="R412" s="77"/>
      <c r="S412" s="78">
        <f t="shared" si="227"/>
        <v>0</v>
      </c>
      <c r="T412" s="55">
        <f t="shared" si="227"/>
        <v>0</v>
      </c>
      <c r="U412" s="79">
        <f t="shared" si="246"/>
        <v>0</v>
      </c>
      <c r="V412" s="63">
        <f t="shared" si="247"/>
        <v>0</v>
      </c>
      <c r="W412" s="64">
        <f t="shared" si="249"/>
        <v>150</v>
      </c>
      <c r="X412" s="80">
        <f t="shared" si="249"/>
        <v>158</v>
      </c>
      <c r="Y412" s="75"/>
      <c r="Z412" s="60"/>
      <c r="AA412" s="75"/>
      <c r="AB412" s="75"/>
      <c r="AC412" s="75"/>
      <c r="AD412" s="75"/>
      <c r="AE412" s="81">
        <f t="shared" si="228"/>
        <v>0</v>
      </c>
      <c r="AF412" s="55">
        <f t="shared" si="229"/>
        <v>0</v>
      </c>
      <c r="AG412" s="76">
        <f t="shared" si="223"/>
        <v>0</v>
      </c>
      <c r="AH412" s="82">
        <f t="shared" si="224"/>
        <v>0</v>
      </c>
      <c r="AI412" s="83">
        <f t="shared" si="224"/>
        <v>0</v>
      </c>
      <c r="AJ412" s="83">
        <f t="shared" si="224"/>
        <v>0</v>
      </c>
      <c r="AK412" s="58">
        <f t="shared" si="224"/>
        <v>0</v>
      </c>
      <c r="AL412" s="82">
        <f t="shared" si="230"/>
        <v>0</v>
      </c>
      <c r="AM412" s="58">
        <f t="shared" si="231"/>
        <v>0</v>
      </c>
      <c r="AN412" s="74"/>
      <c r="AO412" s="84"/>
      <c r="AP412" s="74"/>
      <c r="AQ412" s="85"/>
      <c r="AR412" s="74"/>
      <c r="AS412" s="74"/>
      <c r="AT412" s="74"/>
      <c r="AU412" s="55" t="str">
        <f t="shared" si="241"/>
        <v/>
      </c>
      <c r="AV412" s="55" t="str">
        <f t="shared" ca="1" si="242"/>
        <v/>
      </c>
      <c r="AW412" s="55" t="str">
        <f t="shared" si="232"/>
        <v/>
      </c>
      <c r="AX412" s="55" t="str">
        <f t="shared" ca="1" si="233"/>
        <v/>
      </c>
      <c r="AY412" s="86"/>
      <c r="AZ412" s="86"/>
      <c r="BA412" s="55" t="str">
        <f t="shared" si="243"/>
        <v/>
      </c>
      <c r="BB412" s="86"/>
      <c r="BC412" s="86"/>
      <c r="BD412" s="55" t="str">
        <f t="shared" si="244"/>
        <v/>
      </c>
      <c r="BE412" s="74"/>
      <c r="BS412" s="118"/>
      <c r="BT412" s="118"/>
      <c r="BU412" s="118"/>
      <c r="BV412" s="118"/>
      <c r="BW412" s="118"/>
      <c r="BX412" s="118"/>
      <c r="BZ412" s="118"/>
      <c r="CB412" s="118"/>
      <c r="CC412" s="118"/>
      <c r="CD412" s="118"/>
    </row>
    <row r="413" spans="1:82" ht="17.399999999999999" customHeight="1">
      <c r="A413" s="87">
        <f t="shared" si="245"/>
        <v>58.4</v>
      </c>
      <c r="B413" s="111">
        <f t="shared" si="226"/>
        <v>403</v>
      </c>
      <c r="C413" s="60"/>
      <c r="D413" s="74"/>
      <c r="E413" s="75"/>
      <c r="F413" s="74"/>
      <c r="G413" s="54">
        <f t="shared" si="250"/>
        <v>0</v>
      </c>
      <c r="H413" s="55">
        <f t="shared" si="250"/>
        <v>0</v>
      </c>
      <c r="I413" s="76">
        <f t="shared" si="235"/>
        <v>0</v>
      </c>
      <c r="J413" s="58">
        <f t="shared" si="236"/>
        <v>0</v>
      </c>
      <c r="K413" s="58">
        <f t="shared" si="237"/>
        <v>0</v>
      </c>
      <c r="L413" s="58">
        <f t="shared" si="238"/>
        <v>0</v>
      </c>
      <c r="M413" s="58" t="str">
        <f t="shared" ca="1" si="239"/>
        <v/>
      </c>
      <c r="N413" s="58" t="str">
        <f t="shared" ca="1" si="239"/>
        <v/>
      </c>
      <c r="O413" s="58">
        <f t="shared" si="240"/>
        <v>5.0000000000000001E-4</v>
      </c>
      <c r="P413" s="77"/>
      <c r="Q413" s="60"/>
      <c r="R413" s="77"/>
      <c r="S413" s="78">
        <f t="shared" si="227"/>
        <v>0</v>
      </c>
      <c r="T413" s="55">
        <f t="shared" si="227"/>
        <v>0</v>
      </c>
      <c r="U413" s="79">
        <f t="shared" si="246"/>
        <v>0</v>
      </c>
      <c r="V413" s="63">
        <f t="shared" si="247"/>
        <v>0</v>
      </c>
      <c r="W413" s="64">
        <f t="shared" si="249"/>
        <v>150</v>
      </c>
      <c r="X413" s="80">
        <f t="shared" si="249"/>
        <v>158</v>
      </c>
      <c r="Y413" s="75"/>
      <c r="Z413" s="60"/>
      <c r="AA413" s="75"/>
      <c r="AB413" s="75"/>
      <c r="AC413" s="75"/>
      <c r="AD413" s="75"/>
      <c r="AE413" s="81">
        <f t="shared" si="228"/>
        <v>0</v>
      </c>
      <c r="AF413" s="55">
        <f t="shared" si="229"/>
        <v>0</v>
      </c>
      <c r="AG413" s="76">
        <f t="shared" si="223"/>
        <v>0</v>
      </c>
      <c r="AH413" s="82">
        <f t="shared" si="224"/>
        <v>0</v>
      </c>
      <c r="AI413" s="83">
        <f t="shared" si="224"/>
        <v>0</v>
      </c>
      <c r="AJ413" s="83">
        <f t="shared" si="224"/>
        <v>0</v>
      </c>
      <c r="AK413" s="58">
        <f t="shared" si="224"/>
        <v>0</v>
      </c>
      <c r="AL413" s="82">
        <f t="shared" si="230"/>
        <v>0</v>
      </c>
      <c r="AM413" s="58">
        <f t="shared" si="231"/>
        <v>0</v>
      </c>
      <c r="AN413" s="74"/>
      <c r="AO413" s="84"/>
      <c r="AP413" s="74"/>
      <c r="AQ413" s="85"/>
      <c r="AR413" s="74"/>
      <c r="AS413" s="74"/>
      <c r="AT413" s="74"/>
      <c r="AU413" s="55" t="str">
        <f t="shared" si="241"/>
        <v/>
      </c>
      <c r="AV413" s="55" t="str">
        <f t="shared" ca="1" si="242"/>
        <v/>
      </c>
      <c r="AW413" s="55" t="str">
        <f t="shared" si="232"/>
        <v/>
      </c>
      <c r="AX413" s="55" t="str">
        <f t="shared" ca="1" si="233"/>
        <v/>
      </c>
      <c r="AY413" s="86"/>
      <c r="AZ413" s="86"/>
      <c r="BA413" s="55" t="str">
        <f t="shared" si="243"/>
        <v/>
      </c>
      <c r="BB413" s="86"/>
      <c r="BC413" s="86"/>
      <c r="BD413" s="55" t="str">
        <f t="shared" si="244"/>
        <v/>
      </c>
      <c r="BE413" s="74"/>
      <c r="BS413" s="118"/>
      <c r="BT413" s="118"/>
      <c r="BU413" s="118"/>
      <c r="BV413" s="118"/>
      <c r="BW413" s="118"/>
      <c r="BX413" s="118"/>
      <c r="BZ413" s="118"/>
      <c r="CB413" s="118"/>
      <c r="CC413" s="118"/>
      <c r="CD413" s="118"/>
    </row>
    <row r="414" spans="1:82" ht="17.399999999999999" customHeight="1">
      <c r="A414" s="72">
        <f t="shared" si="245"/>
        <v>58.5</v>
      </c>
      <c r="B414" s="111">
        <f t="shared" si="226"/>
        <v>404</v>
      </c>
      <c r="C414" s="60"/>
      <c r="D414" s="74"/>
      <c r="E414" s="75"/>
      <c r="F414" s="74"/>
      <c r="G414" s="54">
        <f t="shared" si="250"/>
        <v>0</v>
      </c>
      <c r="H414" s="55">
        <f t="shared" si="250"/>
        <v>0</v>
      </c>
      <c r="I414" s="76">
        <f t="shared" si="235"/>
        <v>0</v>
      </c>
      <c r="J414" s="58">
        <f t="shared" si="236"/>
        <v>0</v>
      </c>
      <c r="K414" s="58">
        <f t="shared" si="237"/>
        <v>0</v>
      </c>
      <c r="L414" s="58">
        <f t="shared" si="238"/>
        <v>0</v>
      </c>
      <c r="M414" s="58" t="str">
        <f t="shared" ca="1" si="239"/>
        <v/>
      </c>
      <c r="N414" s="58" t="str">
        <f t="shared" ca="1" si="239"/>
        <v/>
      </c>
      <c r="O414" s="58">
        <f t="shared" si="240"/>
        <v>5.0000000000000001E-4</v>
      </c>
      <c r="P414" s="77"/>
      <c r="Q414" s="60"/>
      <c r="R414" s="77"/>
      <c r="S414" s="78">
        <f t="shared" si="227"/>
        <v>0</v>
      </c>
      <c r="T414" s="55">
        <f t="shared" si="227"/>
        <v>0</v>
      </c>
      <c r="U414" s="79">
        <f t="shared" si="246"/>
        <v>0</v>
      </c>
      <c r="V414" s="63">
        <f t="shared" si="247"/>
        <v>0</v>
      </c>
      <c r="W414" s="64">
        <f t="shared" si="249"/>
        <v>150</v>
      </c>
      <c r="X414" s="80">
        <f t="shared" si="249"/>
        <v>158</v>
      </c>
      <c r="Y414" s="75"/>
      <c r="Z414" s="60"/>
      <c r="AA414" s="75"/>
      <c r="AB414" s="75"/>
      <c r="AC414" s="75"/>
      <c r="AD414" s="75"/>
      <c r="AE414" s="81">
        <f t="shared" si="228"/>
        <v>0</v>
      </c>
      <c r="AF414" s="55">
        <f t="shared" si="229"/>
        <v>0</v>
      </c>
      <c r="AG414" s="76">
        <f t="shared" si="223"/>
        <v>0</v>
      </c>
      <c r="AH414" s="82">
        <f t="shared" si="224"/>
        <v>0</v>
      </c>
      <c r="AI414" s="83">
        <f t="shared" si="224"/>
        <v>0</v>
      </c>
      <c r="AJ414" s="83">
        <f t="shared" si="224"/>
        <v>0</v>
      </c>
      <c r="AK414" s="58">
        <f t="shared" si="224"/>
        <v>0</v>
      </c>
      <c r="AL414" s="82">
        <f t="shared" si="230"/>
        <v>0</v>
      </c>
      <c r="AM414" s="58">
        <f t="shared" si="231"/>
        <v>0</v>
      </c>
      <c r="AN414" s="74"/>
      <c r="AO414" s="84"/>
      <c r="AP414" s="74"/>
      <c r="AQ414" s="85"/>
      <c r="AR414" s="74"/>
      <c r="AS414" s="74"/>
      <c r="AT414" s="74"/>
      <c r="AU414" s="55" t="str">
        <f t="shared" si="241"/>
        <v/>
      </c>
      <c r="AV414" s="55" t="str">
        <f t="shared" ca="1" si="242"/>
        <v/>
      </c>
      <c r="AW414" s="55" t="str">
        <f t="shared" si="232"/>
        <v/>
      </c>
      <c r="AX414" s="55" t="str">
        <f t="shared" ca="1" si="233"/>
        <v/>
      </c>
      <c r="AY414" s="86"/>
      <c r="AZ414" s="86"/>
      <c r="BA414" s="55" t="str">
        <f t="shared" si="243"/>
        <v/>
      </c>
      <c r="BB414" s="86"/>
      <c r="BC414" s="86"/>
      <c r="BD414" s="55" t="str">
        <f t="shared" si="244"/>
        <v/>
      </c>
      <c r="BE414" s="74"/>
      <c r="BS414" s="118"/>
      <c r="BT414" s="118"/>
      <c r="BU414" s="118"/>
      <c r="BV414" s="118"/>
      <c r="BW414" s="118"/>
      <c r="BX414" s="118"/>
      <c r="BZ414" s="118"/>
      <c r="CB414" s="118"/>
      <c r="CC414" s="118"/>
      <c r="CD414" s="118"/>
    </row>
    <row r="415" spans="1:82" ht="17.399999999999999" customHeight="1">
      <c r="A415" s="87">
        <f t="shared" si="245"/>
        <v>58.6</v>
      </c>
      <c r="B415" s="111">
        <f t="shared" si="226"/>
        <v>405</v>
      </c>
      <c r="C415" s="60"/>
      <c r="D415" s="74"/>
      <c r="E415" s="75"/>
      <c r="F415" s="74"/>
      <c r="G415" s="54">
        <f t="shared" si="250"/>
        <v>0</v>
      </c>
      <c r="H415" s="55">
        <f t="shared" si="250"/>
        <v>0</v>
      </c>
      <c r="I415" s="76">
        <f t="shared" si="235"/>
        <v>0</v>
      </c>
      <c r="J415" s="58">
        <f t="shared" si="236"/>
        <v>0</v>
      </c>
      <c r="K415" s="58">
        <f t="shared" si="237"/>
        <v>0</v>
      </c>
      <c r="L415" s="58">
        <f t="shared" si="238"/>
        <v>0</v>
      </c>
      <c r="M415" s="58" t="str">
        <f t="shared" ca="1" si="239"/>
        <v/>
      </c>
      <c r="N415" s="58" t="str">
        <f t="shared" ca="1" si="239"/>
        <v/>
      </c>
      <c r="O415" s="58">
        <f t="shared" si="240"/>
        <v>5.0000000000000001E-4</v>
      </c>
      <c r="P415" s="77"/>
      <c r="Q415" s="60"/>
      <c r="R415" s="77"/>
      <c r="S415" s="78">
        <f t="shared" si="227"/>
        <v>0</v>
      </c>
      <c r="T415" s="55">
        <f t="shared" si="227"/>
        <v>0</v>
      </c>
      <c r="U415" s="79">
        <f t="shared" si="246"/>
        <v>0</v>
      </c>
      <c r="V415" s="63">
        <f t="shared" si="247"/>
        <v>0</v>
      </c>
      <c r="W415" s="64">
        <f t="shared" si="249"/>
        <v>150</v>
      </c>
      <c r="X415" s="80">
        <f t="shared" si="249"/>
        <v>158</v>
      </c>
      <c r="Y415" s="75"/>
      <c r="Z415" s="60"/>
      <c r="AA415" s="75"/>
      <c r="AB415" s="75"/>
      <c r="AC415" s="75"/>
      <c r="AD415" s="75"/>
      <c r="AE415" s="81">
        <f t="shared" si="228"/>
        <v>0</v>
      </c>
      <c r="AF415" s="55">
        <f t="shared" si="229"/>
        <v>0</v>
      </c>
      <c r="AG415" s="76">
        <f t="shared" si="223"/>
        <v>0</v>
      </c>
      <c r="AH415" s="82">
        <f t="shared" si="224"/>
        <v>0</v>
      </c>
      <c r="AI415" s="83">
        <f t="shared" si="224"/>
        <v>0</v>
      </c>
      <c r="AJ415" s="83">
        <f t="shared" si="224"/>
        <v>0</v>
      </c>
      <c r="AK415" s="58">
        <f t="shared" si="224"/>
        <v>0</v>
      </c>
      <c r="AL415" s="82">
        <f t="shared" si="230"/>
        <v>0</v>
      </c>
      <c r="AM415" s="58">
        <f t="shared" si="231"/>
        <v>0</v>
      </c>
      <c r="AN415" s="74"/>
      <c r="AO415" s="84"/>
      <c r="AP415" s="74"/>
      <c r="AQ415" s="85"/>
      <c r="AR415" s="74"/>
      <c r="AS415" s="74"/>
      <c r="AT415" s="74"/>
      <c r="AU415" s="55" t="str">
        <f t="shared" si="241"/>
        <v/>
      </c>
      <c r="AV415" s="55" t="str">
        <f t="shared" ca="1" si="242"/>
        <v/>
      </c>
      <c r="AW415" s="55" t="str">
        <f t="shared" si="232"/>
        <v/>
      </c>
      <c r="AX415" s="55" t="str">
        <f t="shared" ca="1" si="233"/>
        <v/>
      </c>
      <c r="AY415" s="86"/>
      <c r="AZ415" s="86"/>
      <c r="BA415" s="55" t="str">
        <f t="shared" si="243"/>
        <v/>
      </c>
      <c r="BB415" s="86"/>
      <c r="BC415" s="86"/>
      <c r="BD415" s="55" t="str">
        <f t="shared" si="244"/>
        <v/>
      </c>
      <c r="BE415" s="74"/>
      <c r="BS415" s="118"/>
      <c r="BT415" s="118"/>
      <c r="BU415" s="118"/>
      <c r="BV415" s="118"/>
      <c r="BW415" s="118"/>
      <c r="BX415" s="118"/>
      <c r="BZ415" s="118"/>
      <c r="CB415" s="118"/>
      <c r="CC415" s="118"/>
      <c r="CD415" s="118"/>
    </row>
    <row r="416" spans="1:82" ht="17.399999999999999" customHeight="1" thickBot="1">
      <c r="A416" s="72">
        <f t="shared" si="245"/>
        <v>58.7</v>
      </c>
      <c r="B416" s="113">
        <f t="shared" si="226"/>
        <v>406</v>
      </c>
      <c r="C416" s="89"/>
      <c r="D416" s="90"/>
      <c r="E416" s="91"/>
      <c r="F416" s="90"/>
      <c r="G416" s="92">
        <f t="shared" si="250"/>
        <v>0</v>
      </c>
      <c r="H416" s="93">
        <f t="shared" si="250"/>
        <v>0</v>
      </c>
      <c r="I416" s="94">
        <f t="shared" si="235"/>
        <v>0</v>
      </c>
      <c r="J416" s="95">
        <f t="shared" si="236"/>
        <v>0</v>
      </c>
      <c r="K416" s="95">
        <f t="shared" si="237"/>
        <v>0</v>
      </c>
      <c r="L416" s="95">
        <f t="shared" si="238"/>
        <v>0</v>
      </c>
      <c r="M416" s="95" t="str">
        <f t="shared" ca="1" si="239"/>
        <v/>
      </c>
      <c r="N416" s="95" t="str">
        <f t="shared" ca="1" si="239"/>
        <v/>
      </c>
      <c r="O416" s="95">
        <f t="shared" si="240"/>
        <v>5.0000000000000001E-4</v>
      </c>
      <c r="P416" s="96"/>
      <c r="Q416" s="89"/>
      <c r="R416" s="96"/>
      <c r="S416" s="78">
        <f t="shared" si="227"/>
        <v>0</v>
      </c>
      <c r="T416" s="55">
        <f t="shared" si="227"/>
        <v>0</v>
      </c>
      <c r="U416" s="97">
        <f t="shared" si="246"/>
        <v>0</v>
      </c>
      <c r="V416" s="98">
        <f t="shared" si="247"/>
        <v>0</v>
      </c>
      <c r="W416" s="99">
        <f t="shared" si="249"/>
        <v>150</v>
      </c>
      <c r="X416" s="100">
        <f t="shared" si="249"/>
        <v>158</v>
      </c>
      <c r="Y416" s="91"/>
      <c r="Z416" s="60"/>
      <c r="AA416" s="75"/>
      <c r="AB416" s="75"/>
      <c r="AC416" s="75"/>
      <c r="AD416" s="75"/>
      <c r="AE416" s="101">
        <f t="shared" si="228"/>
        <v>0</v>
      </c>
      <c r="AF416" s="93">
        <f t="shared" si="229"/>
        <v>0</v>
      </c>
      <c r="AG416" s="94">
        <f t="shared" si="223"/>
        <v>0</v>
      </c>
      <c r="AH416" s="102">
        <f t="shared" si="224"/>
        <v>0</v>
      </c>
      <c r="AI416" s="103">
        <f t="shared" si="224"/>
        <v>0</v>
      </c>
      <c r="AJ416" s="103">
        <f t="shared" si="224"/>
        <v>0</v>
      </c>
      <c r="AK416" s="95">
        <f t="shared" si="224"/>
        <v>0</v>
      </c>
      <c r="AL416" s="102">
        <f t="shared" si="230"/>
        <v>0</v>
      </c>
      <c r="AM416" s="95">
        <f t="shared" si="231"/>
        <v>0</v>
      </c>
      <c r="AN416" s="90"/>
      <c r="AO416" s="104"/>
      <c r="AP416" s="90"/>
      <c r="AQ416" s="105"/>
      <c r="AR416" s="90"/>
      <c r="AS416" s="90"/>
      <c r="AT416" s="90"/>
      <c r="AU416" s="93" t="str">
        <f t="shared" si="241"/>
        <v/>
      </c>
      <c r="AV416" s="93" t="str">
        <f t="shared" ca="1" si="242"/>
        <v/>
      </c>
      <c r="AW416" s="93" t="str">
        <f t="shared" si="232"/>
        <v/>
      </c>
      <c r="AX416" s="93" t="str">
        <f t="shared" ca="1" si="233"/>
        <v/>
      </c>
      <c r="AY416" s="106"/>
      <c r="AZ416" s="106"/>
      <c r="BA416" s="93" t="str">
        <f t="shared" si="243"/>
        <v/>
      </c>
      <c r="BB416" s="106"/>
      <c r="BC416" s="106"/>
      <c r="BD416" s="93" t="str">
        <f t="shared" si="244"/>
        <v/>
      </c>
      <c r="BE416" s="90"/>
      <c r="BS416" s="118"/>
      <c r="BT416" s="118"/>
      <c r="BU416" s="118"/>
      <c r="BV416" s="118"/>
      <c r="BW416" s="118"/>
      <c r="BX416" s="118"/>
      <c r="BZ416" s="118"/>
      <c r="CB416" s="118"/>
      <c r="CC416" s="118"/>
      <c r="CD416" s="118"/>
    </row>
    <row r="417" spans="1:82" ht="17.399999999999999" customHeight="1" thickTop="1">
      <c r="A417" s="49">
        <f>A410+1</f>
        <v>59.1</v>
      </c>
      <c r="B417" s="108">
        <f>B416+1</f>
        <v>407</v>
      </c>
      <c r="C417" s="51"/>
      <c r="D417" s="52"/>
      <c r="E417" s="53"/>
      <c r="F417" s="52"/>
      <c r="G417" s="54">
        <f t="shared" si="250"/>
        <v>0</v>
      </c>
      <c r="H417" s="55">
        <f t="shared" si="250"/>
        <v>0</v>
      </c>
      <c r="I417" s="56">
        <f t="shared" si="235"/>
        <v>0</v>
      </c>
      <c r="J417" s="57">
        <f t="shared" si="236"/>
        <v>0</v>
      </c>
      <c r="K417" s="57">
        <f t="shared" si="237"/>
        <v>0</v>
      </c>
      <c r="L417" s="57">
        <f t="shared" si="238"/>
        <v>0</v>
      </c>
      <c r="M417" s="58" t="str">
        <f t="shared" ca="1" si="239"/>
        <v/>
      </c>
      <c r="N417" s="58" t="str">
        <f t="shared" ca="1" si="239"/>
        <v/>
      </c>
      <c r="O417" s="58">
        <f t="shared" si="240"/>
        <v>5.0000000000000001E-4</v>
      </c>
      <c r="P417" s="77"/>
      <c r="Q417" s="60"/>
      <c r="R417" s="77"/>
      <c r="S417" s="109">
        <f t="shared" si="227"/>
        <v>0</v>
      </c>
      <c r="T417" s="61">
        <f t="shared" si="227"/>
        <v>0</v>
      </c>
      <c r="U417" s="62">
        <f t="shared" si="246"/>
        <v>0</v>
      </c>
      <c r="V417" s="63">
        <f t="shared" si="247"/>
        <v>0</v>
      </c>
      <c r="W417" s="64">
        <f t="shared" si="249"/>
        <v>150</v>
      </c>
      <c r="X417" s="80">
        <f t="shared" si="249"/>
        <v>158</v>
      </c>
      <c r="Y417" s="53"/>
      <c r="Z417" s="51"/>
      <c r="AA417" s="53"/>
      <c r="AB417" s="53"/>
      <c r="AC417" s="53"/>
      <c r="AD417" s="53"/>
      <c r="AE417" s="66">
        <f t="shared" si="228"/>
        <v>0</v>
      </c>
      <c r="AF417" s="61">
        <f t="shared" si="229"/>
        <v>0</v>
      </c>
      <c r="AG417" s="56">
        <f t="shared" si="223"/>
        <v>0</v>
      </c>
      <c r="AH417" s="67">
        <f t="shared" si="224"/>
        <v>0</v>
      </c>
      <c r="AI417" s="68">
        <f t="shared" si="224"/>
        <v>0</v>
      </c>
      <c r="AJ417" s="68">
        <f t="shared" si="224"/>
        <v>0</v>
      </c>
      <c r="AK417" s="57">
        <f t="shared" si="224"/>
        <v>0</v>
      </c>
      <c r="AL417" s="67">
        <f t="shared" si="230"/>
        <v>0</v>
      </c>
      <c r="AM417" s="57">
        <f t="shared" si="231"/>
        <v>0</v>
      </c>
      <c r="AN417" s="52"/>
      <c r="AO417" s="69"/>
      <c r="AP417" s="52"/>
      <c r="AQ417" s="70"/>
      <c r="AR417" s="52"/>
      <c r="AS417" s="52"/>
      <c r="AT417" s="52"/>
      <c r="AU417" s="61" t="str">
        <f t="shared" si="241"/>
        <v/>
      </c>
      <c r="AV417" s="61" t="str">
        <f t="shared" ca="1" si="242"/>
        <v/>
      </c>
      <c r="AW417" s="61" t="str">
        <f t="shared" si="232"/>
        <v/>
      </c>
      <c r="AX417" s="61" t="str">
        <f t="shared" ca="1" si="233"/>
        <v/>
      </c>
      <c r="AY417" s="71"/>
      <c r="AZ417" s="71"/>
      <c r="BA417" s="61" t="str">
        <f t="shared" si="243"/>
        <v/>
      </c>
      <c r="BB417" s="71"/>
      <c r="BC417" s="71"/>
      <c r="BD417" s="61" t="str">
        <f t="shared" si="244"/>
        <v/>
      </c>
      <c r="BE417" s="52"/>
      <c r="BS417" s="118"/>
      <c r="BT417" s="118"/>
      <c r="BU417" s="118"/>
      <c r="BV417" s="118"/>
      <c r="BW417" s="118"/>
      <c r="BX417" s="118"/>
      <c r="BZ417" s="118"/>
      <c r="CB417" s="118"/>
      <c r="CC417" s="118"/>
      <c r="CD417" s="118"/>
    </row>
    <row r="418" spans="1:82" ht="17.399999999999999" customHeight="1">
      <c r="A418" s="72">
        <f t="shared" si="245"/>
        <v>59.2</v>
      </c>
      <c r="B418" s="111">
        <f t="shared" si="226"/>
        <v>408</v>
      </c>
      <c r="C418" s="60"/>
      <c r="D418" s="74"/>
      <c r="E418" s="75"/>
      <c r="F418" s="74"/>
      <c r="G418" s="54">
        <f t="shared" si="250"/>
        <v>0</v>
      </c>
      <c r="H418" s="55">
        <f t="shared" si="250"/>
        <v>0</v>
      </c>
      <c r="I418" s="76">
        <f t="shared" si="235"/>
        <v>0</v>
      </c>
      <c r="J418" s="58">
        <f t="shared" si="236"/>
        <v>0</v>
      </c>
      <c r="K418" s="58">
        <f t="shared" si="237"/>
        <v>0</v>
      </c>
      <c r="L418" s="58">
        <f t="shared" si="238"/>
        <v>0</v>
      </c>
      <c r="M418" s="58" t="str">
        <f t="shared" ca="1" si="239"/>
        <v/>
      </c>
      <c r="N418" s="58" t="str">
        <f t="shared" ca="1" si="239"/>
        <v/>
      </c>
      <c r="O418" s="58">
        <f t="shared" si="240"/>
        <v>5.0000000000000001E-4</v>
      </c>
      <c r="P418" s="77"/>
      <c r="Q418" s="60"/>
      <c r="R418" s="77"/>
      <c r="S418" s="78">
        <f t="shared" si="227"/>
        <v>0</v>
      </c>
      <c r="T418" s="55">
        <f t="shared" si="227"/>
        <v>0</v>
      </c>
      <c r="U418" s="79">
        <f t="shared" si="246"/>
        <v>0</v>
      </c>
      <c r="V418" s="63">
        <f t="shared" si="247"/>
        <v>0</v>
      </c>
      <c r="W418" s="64">
        <f t="shared" si="249"/>
        <v>150</v>
      </c>
      <c r="X418" s="80">
        <f t="shared" si="249"/>
        <v>158</v>
      </c>
      <c r="Y418" s="75"/>
      <c r="Z418" s="60"/>
      <c r="AA418" s="75"/>
      <c r="AB418" s="75"/>
      <c r="AC418" s="75"/>
      <c r="AD418" s="75"/>
      <c r="AE418" s="81">
        <f t="shared" si="228"/>
        <v>0</v>
      </c>
      <c r="AF418" s="55">
        <f t="shared" si="229"/>
        <v>0</v>
      </c>
      <c r="AG418" s="76">
        <f t="shared" si="223"/>
        <v>0</v>
      </c>
      <c r="AH418" s="82">
        <f t="shared" si="224"/>
        <v>0</v>
      </c>
      <c r="AI418" s="83">
        <f t="shared" si="224"/>
        <v>0</v>
      </c>
      <c r="AJ418" s="83">
        <f t="shared" si="224"/>
        <v>0</v>
      </c>
      <c r="AK418" s="58">
        <f t="shared" si="224"/>
        <v>0</v>
      </c>
      <c r="AL418" s="82">
        <f t="shared" si="230"/>
        <v>0</v>
      </c>
      <c r="AM418" s="58">
        <f t="shared" si="231"/>
        <v>0</v>
      </c>
      <c r="AN418" s="74"/>
      <c r="AO418" s="84"/>
      <c r="AP418" s="74"/>
      <c r="AQ418" s="85"/>
      <c r="AR418" s="74"/>
      <c r="AS418" s="74"/>
      <c r="AT418" s="74"/>
      <c r="AU418" s="55" t="str">
        <f t="shared" si="241"/>
        <v/>
      </c>
      <c r="AV418" s="55" t="str">
        <f t="shared" ca="1" si="242"/>
        <v/>
      </c>
      <c r="AW418" s="55" t="str">
        <f t="shared" si="232"/>
        <v/>
      </c>
      <c r="AX418" s="55" t="str">
        <f t="shared" ca="1" si="233"/>
        <v/>
      </c>
      <c r="AY418" s="86"/>
      <c r="AZ418" s="86"/>
      <c r="BA418" s="55" t="str">
        <f t="shared" si="243"/>
        <v/>
      </c>
      <c r="BB418" s="86"/>
      <c r="BC418" s="86"/>
      <c r="BD418" s="55" t="str">
        <f t="shared" si="244"/>
        <v/>
      </c>
      <c r="BE418" s="74"/>
      <c r="BS418" s="118"/>
      <c r="BT418" s="118"/>
      <c r="BU418" s="118"/>
      <c r="BV418" s="118"/>
      <c r="BW418" s="118"/>
      <c r="BX418" s="118"/>
      <c r="BZ418" s="118"/>
      <c r="CB418" s="118"/>
      <c r="CC418" s="118"/>
      <c r="CD418" s="118"/>
    </row>
    <row r="419" spans="1:82" ht="17.399999999999999" customHeight="1">
      <c r="A419" s="87">
        <f t="shared" si="245"/>
        <v>59.3</v>
      </c>
      <c r="B419" s="111">
        <f t="shared" si="226"/>
        <v>409</v>
      </c>
      <c r="C419" s="60"/>
      <c r="D419" s="74"/>
      <c r="E419" s="75"/>
      <c r="F419" s="74"/>
      <c r="G419" s="54">
        <f t="shared" si="250"/>
        <v>0</v>
      </c>
      <c r="H419" s="55">
        <f t="shared" si="250"/>
        <v>0</v>
      </c>
      <c r="I419" s="76">
        <f t="shared" si="235"/>
        <v>0</v>
      </c>
      <c r="J419" s="58">
        <f t="shared" si="236"/>
        <v>0</v>
      </c>
      <c r="K419" s="58">
        <f t="shared" si="237"/>
        <v>0</v>
      </c>
      <c r="L419" s="58">
        <f t="shared" si="238"/>
        <v>0</v>
      </c>
      <c r="M419" s="58" t="str">
        <f t="shared" ca="1" si="239"/>
        <v/>
      </c>
      <c r="N419" s="58" t="str">
        <f t="shared" ca="1" si="239"/>
        <v/>
      </c>
      <c r="O419" s="58">
        <f t="shared" si="240"/>
        <v>5.0000000000000001E-4</v>
      </c>
      <c r="P419" s="77"/>
      <c r="Q419" s="60"/>
      <c r="R419" s="77"/>
      <c r="S419" s="78">
        <f t="shared" si="227"/>
        <v>0</v>
      </c>
      <c r="T419" s="55">
        <f t="shared" si="227"/>
        <v>0</v>
      </c>
      <c r="U419" s="79">
        <f t="shared" si="246"/>
        <v>0</v>
      </c>
      <c r="V419" s="63">
        <f t="shared" si="247"/>
        <v>0</v>
      </c>
      <c r="W419" s="64">
        <f t="shared" si="249"/>
        <v>150</v>
      </c>
      <c r="X419" s="80">
        <f t="shared" si="249"/>
        <v>158</v>
      </c>
      <c r="Y419" s="75"/>
      <c r="Z419" s="60"/>
      <c r="AA419" s="75"/>
      <c r="AB419" s="75"/>
      <c r="AC419" s="75"/>
      <c r="AD419" s="75"/>
      <c r="AE419" s="81">
        <f t="shared" si="228"/>
        <v>0</v>
      </c>
      <c r="AF419" s="55">
        <f t="shared" si="229"/>
        <v>0</v>
      </c>
      <c r="AG419" s="76">
        <f t="shared" si="223"/>
        <v>0</v>
      </c>
      <c r="AH419" s="82">
        <f t="shared" si="224"/>
        <v>0</v>
      </c>
      <c r="AI419" s="83">
        <f t="shared" si="224"/>
        <v>0</v>
      </c>
      <c r="AJ419" s="83">
        <f t="shared" si="224"/>
        <v>0</v>
      </c>
      <c r="AK419" s="58">
        <f t="shared" si="224"/>
        <v>0</v>
      </c>
      <c r="AL419" s="82">
        <f t="shared" si="230"/>
        <v>0</v>
      </c>
      <c r="AM419" s="58">
        <f t="shared" si="231"/>
        <v>0</v>
      </c>
      <c r="AN419" s="74"/>
      <c r="AO419" s="84"/>
      <c r="AP419" s="74"/>
      <c r="AQ419" s="85"/>
      <c r="AR419" s="74"/>
      <c r="AS419" s="74"/>
      <c r="AT419" s="74"/>
      <c r="AU419" s="55" t="str">
        <f t="shared" si="241"/>
        <v/>
      </c>
      <c r="AV419" s="55" t="str">
        <f t="shared" ca="1" si="242"/>
        <v/>
      </c>
      <c r="AW419" s="55" t="str">
        <f t="shared" si="232"/>
        <v/>
      </c>
      <c r="AX419" s="55" t="str">
        <f t="shared" ca="1" si="233"/>
        <v/>
      </c>
      <c r="AY419" s="86"/>
      <c r="AZ419" s="86"/>
      <c r="BA419" s="55" t="str">
        <f t="shared" si="243"/>
        <v/>
      </c>
      <c r="BB419" s="86"/>
      <c r="BC419" s="86"/>
      <c r="BD419" s="55" t="str">
        <f t="shared" si="244"/>
        <v/>
      </c>
      <c r="BE419" s="74"/>
      <c r="BS419" s="118"/>
      <c r="BT419" s="118"/>
      <c r="BU419" s="118"/>
      <c r="BV419" s="118"/>
      <c r="BW419" s="118"/>
      <c r="BX419" s="118"/>
      <c r="BZ419" s="118"/>
      <c r="CB419" s="118"/>
      <c r="CC419" s="118"/>
      <c r="CD419" s="118"/>
    </row>
    <row r="420" spans="1:82" ht="17.399999999999999" customHeight="1">
      <c r="A420" s="72">
        <f t="shared" si="245"/>
        <v>59.4</v>
      </c>
      <c r="B420" s="111">
        <f t="shared" si="226"/>
        <v>410</v>
      </c>
      <c r="C420" s="60"/>
      <c r="D420" s="74"/>
      <c r="E420" s="75"/>
      <c r="F420" s="74"/>
      <c r="G420" s="54">
        <f t="shared" si="250"/>
        <v>0</v>
      </c>
      <c r="H420" s="55">
        <f t="shared" si="250"/>
        <v>0</v>
      </c>
      <c r="I420" s="76">
        <f t="shared" si="235"/>
        <v>0</v>
      </c>
      <c r="J420" s="58">
        <f t="shared" si="236"/>
        <v>0</v>
      </c>
      <c r="K420" s="58">
        <f t="shared" si="237"/>
        <v>0</v>
      </c>
      <c r="L420" s="58">
        <f t="shared" si="238"/>
        <v>0</v>
      </c>
      <c r="M420" s="58" t="str">
        <f t="shared" ca="1" si="239"/>
        <v/>
      </c>
      <c r="N420" s="58" t="str">
        <f t="shared" ca="1" si="239"/>
        <v/>
      </c>
      <c r="O420" s="58">
        <f t="shared" si="240"/>
        <v>5.0000000000000001E-4</v>
      </c>
      <c r="P420" s="77"/>
      <c r="Q420" s="60"/>
      <c r="R420" s="77"/>
      <c r="S420" s="78">
        <f t="shared" si="227"/>
        <v>0</v>
      </c>
      <c r="T420" s="55">
        <f t="shared" si="227"/>
        <v>0</v>
      </c>
      <c r="U420" s="79">
        <f t="shared" si="246"/>
        <v>0</v>
      </c>
      <c r="V420" s="63">
        <f t="shared" si="247"/>
        <v>0</v>
      </c>
      <c r="W420" s="64">
        <f t="shared" si="249"/>
        <v>150</v>
      </c>
      <c r="X420" s="80">
        <f t="shared" si="249"/>
        <v>158</v>
      </c>
      <c r="Y420" s="75"/>
      <c r="Z420" s="60"/>
      <c r="AA420" s="75"/>
      <c r="AB420" s="75"/>
      <c r="AC420" s="75"/>
      <c r="AD420" s="75"/>
      <c r="AE420" s="81">
        <f t="shared" si="228"/>
        <v>0</v>
      </c>
      <c r="AF420" s="55">
        <f t="shared" si="229"/>
        <v>0</v>
      </c>
      <c r="AG420" s="76">
        <f t="shared" si="223"/>
        <v>0</v>
      </c>
      <c r="AH420" s="82">
        <f t="shared" si="224"/>
        <v>0</v>
      </c>
      <c r="AI420" s="83">
        <f t="shared" si="224"/>
        <v>0</v>
      </c>
      <c r="AJ420" s="83">
        <f t="shared" si="224"/>
        <v>0</v>
      </c>
      <c r="AK420" s="58">
        <f t="shared" si="224"/>
        <v>0</v>
      </c>
      <c r="AL420" s="82">
        <f t="shared" si="230"/>
        <v>0</v>
      </c>
      <c r="AM420" s="58">
        <f t="shared" si="231"/>
        <v>0</v>
      </c>
      <c r="AN420" s="74"/>
      <c r="AO420" s="84"/>
      <c r="AP420" s="74"/>
      <c r="AQ420" s="85"/>
      <c r="AR420" s="74"/>
      <c r="AS420" s="74"/>
      <c r="AT420" s="74"/>
      <c r="AU420" s="55" t="str">
        <f t="shared" si="241"/>
        <v/>
      </c>
      <c r="AV420" s="55" t="str">
        <f t="shared" ca="1" si="242"/>
        <v/>
      </c>
      <c r="AW420" s="55" t="str">
        <f t="shared" si="232"/>
        <v/>
      </c>
      <c r="AX420" s="55" t="str">
        <f t="shared" ca="1" si="233"/>
        <v/>
      </c>
      <c r="AY420" s="86"/>
      <c r="AZ420" s="86"/>
      <c r="BA420" s="55" t="str">
        <f t="shared" si="243"/>
        <v/>
      </c>
      <c r="BB420" s="86"/>
      <c r="BC420" s="86"/>
      <c r="BD420" s="55" t="str">
        <f t="shared" si="244"/>
        <v/>
      </c>
      <c r="BE420" s="74"/>
      <c r="BS420" s="118"/>
      <c r="BT420" s="118"/>
      <c r="BU420" s="118"/>
      <c r="BV420" s="118"/>
      <c r="BW420" s="118"/>
      <c r="BX420" s="118"/>
      <c r="BZ420" s="118"/>
      <c r="CB420" s="118"/>
      <c r="CC420" s="118"/>
      <c r="CD420" s="118"/>
    </row>
    <row r="421" spans="1:82" ht="17.399999999999999" customHeight="1">
      <c r="A421" s="87">
        <f t="shared" si="245"/>
        <v>59.5</v>
      </c>
      <c r="B421" s="111">
        <f t="shared" si="226"/>
        <v>411</v>
      </c>
      <c r="C421" s="60"/>
      <c r="D421" s="74"/>
      <c r="E421" s="75"/>
      <c r="F421" s="74"/>
      <c r="G421" s="54">
        <f t="shared" si="250"/>
        <v>0</v>
      </c>
      <c r="H421" s="55">
        <f t="shared" si="250"/>
        <v>0</v>
      </c>
      <c r="I421" s="76">
        <f t="shared" si="235"/>
        <v>0</v>
      </c>
      <c r="J421" s="58">
        <f t="shared" si="236"/>
        <v>0</v>
      </c>
      <c r="K421" s="58">
        <f t="shared" si="237"/>
        <v>0</v>
      </c>
      <c r="L421" s="58">
        <f t="shared" si="238"/>
        <v>0</v>
      </c>
      <c r="M421" s="58" t="str">
        <f t="shared" ca="1" si="239"/>
        <v/>
      </c>
      <c r="N421" s="58" t="str">
        <f t="shared" ca="1" si="239"/>
        <v/>
      </c>
      <c r="O421" s="58">
        <f t="shared" si="240"/>
        <v>5.0000000000000001E-4</v>
      </c>
      <c r="P421" s="77"/>
      <c r="Q421" s="60"/>
      <c r="R421" s="77"/>
      <c r="S421" s="78">
        <f t="shared" si="227"/>
        <v>0</v>
      </c>
      <c r="T421" s="55">
        <f t="shared" si="227"/>
        <v>0</v>
      </c>
      <c r="U421" s="79">
        <f t="shared" si="246"/>
        <v>0</v>
      </c>
      <c r="V421" s="63">
        <f t="shared" si="247"/>
        <v>0</v>
      </c>
      <c r="W421" s="64">
        <f t="shared" si="249"/>
        <v>150</v>
      </c>
      <c r="X421" s="80">
        <f t="shared" si="249"/>
        <v>158</v>
      </c>
      <c r="Y421" s="75"/>
      <c r="Z421" s="60"/>
      <c r="AA421" s="75"/>
      <c r="AB421" s="75"/>
      <c r="AC421" s="75"/>
      <c r="AD421" s="75"/>
      <c r="AE421" s="81">
        <f t="shared" si="228"/>
        <v>0</v>
      </c>
      <c r="AF421" s="55">
        <f t="shared" si="229"/>
        <v>0</v>
      </c>
      <c r="AG421" s="76">
        <f t="shared" si="223"/>
        <v>0</v>
      </c>
      <c r="AH421" s="82">
        <f t="shared" si="224"/>
        <v>0</v>
      </c>
      <c r="AI421" s="83">
        <f t="shared" si="224"/>
        <v>0</v>
      </c>
      <c r="AJ421" s="83">
        <f t="shared" si="224"/>
        <v>0</v>
      </c>
      <c r="AK421" s="58">
        <f t="shared" si="224"/>
        <v>0</v>
      </c>
      <c r="AL421" s="82">
        <f t="shared" si="230"/>
        <v>0</v>
      </c>
      <c r="AM421" s="58">
        <f t="shared" si="231"/>
        <v>0</v>
      </c>
      <c r="AN421" s="74"/>
      <c r="AO421" s="84"/>
      <c r="AP421" s="74"/>
      <c r="AQ421" s="85"/>
      <c r="AR421" s="74"/>
      <c r="AS421" s="74"/>
      <c r="AT421" s="74"/>
      <c r="AU421" s="55" t="str">
        <f t="shared" si="241"/>
        <v/>
      </c>
      <c r="AV421" s="55" t="str">
        <f t="shared" ca="1" si="242"/>
        <v/>
      </c>
      <c r="AW421" s="55" t="str">
        <f t="shared" si="232"/>
        <v/>
      </c>
      <c r="AX421" s="55" t="str">
        <f t="shared" ca="1" si="233"/>
        <v/>
      </c>
      <c r="AY421" s="86"/>
      <c r="AZ421" s="86"/>
      <c r="BA421" s="55" t="str">
        <f t="shared" si="243"/>
        <v/>
      </c>
      <c r="BB421" s="86"/>
      <c r="BC421" s="86"/>
      <c r="BD421" s="55" t="str">
        <f t="shared" si="244"/>
        <v/>
      </c>
      <c r="BE421" s="74"/>
      <c r="BS421" s="118"/>
      <c r="BT421" s="118"/>
      <c r="BU421" s="118"/>
      <c r="BV421" s="118"/>
      <c r="BW421" s="118"/>
      <c r="BX421" s="118"/>
      <c r="BZ421" s="118"/>
      <c r="CB421" s="118"/>
      <c r="CC421" s="118"/>
      <c r="CD421" s="118"/>
    </row>
    <row r="422" spans="1:82" ht="17.399999999999999" customHeight="1">
      <c r="A422" s="72">
        <f t="shared" si="245"/>
        <v>59.6</v>
      </c>
      <c r="B422" s="111">
        <f t="shared" si="226"/>
        <v>412</v>
      </c>
      <c r="C422" s="60"/>
      <c r="D422" s="74"/>
      <c r="E422" s="75"/>
      <c r="F422" s="74"/>
      <c r="G422" s="54">
        <f t="shared" si="250"/>
        <v>0</v>
      </c>
      <c r="H422" s="55">
        <f t="shared" si="250"/>
        <v>0</v>
      </c>
      <c r="I422" s="76">
        <f t="shared" si="235"/>
        <v>0</v>
      </c>
      <c r="J422" s="58">
        <f t="shared" si="236"/>
        <v>0</v>
      </c>
      <c r="K422" s="58">
        <f t="shared" si="237"/>
        <v>0</v>
      </c>
      <c r="L422" s="58">
        <f t="shared" si="238"/>
        <v>0</v>
      </c>
      <c r="M422" s="58" t="str">
        <f t="shared" ca="1" si="239"/>
        <v/>
      </c>
      <c r="N422" s="58" t="str">
        <f t="shared" ca="1" si="239"/>
        <v/>
      </c>
      <c r="O422" s="58">
        <f t="shared" si="240"/>
        <v>5.0000000000000001E-4</v>
      </c>
      <c r="P422" s="77"/>
      <c r="Q422" s="60"/>
      <c r="R422" s="77"/>
      <c r="S422" s="78">
        <f t="shared" si="227"/>
        <v>0</v>
      </c>
      <c r="T422" s="55">
        <f t="shared" si="227"/>
        <v>0</v>
      </c>
      <c r="U422" s="79">
        <f t="shared" si="246"/>
        <v>0</v>
      </c>
      <c r="V422" s="63">
        <f t="shared" si="247"/>
        <v>0</v>
      </c>
      <c r="W422" s="64">
        <f t="shared" si="249"/>
        <v>150</v>
      </c>
      <c r="X422" s="80">
        <f t="shared" si="249"/>
        <v>158</v>
      </c>
      <c r="Y422" s="75"/>
      <c r="Z422" s="60"/>
      <c r="AA422" s="75"/>
      <c r="AB422" s="75"/>
      <c r="AC422" s="75"/>
      <c r="AD422" s="75"/>
      <c r="AE422" s="81">
        <f t="shared" si="228"/>
        <v>0</v>
      </c>
      <c r="AF422" s="55">
        <f t="shared" si="229"/>
        <v>0</v>
      </c>
      <c r="AG422" s="76">
        <f t="shared" si="223"/>
        <v>0</v>
      </c>
      <c r="AH422" s="82">
        <f t="shared" si="224"/>
        <v>0</v>
      </c>
      <c r="AI422" s="83">
        <f t="shared" si="224"/>
        <v>0</v>
      </c>
      <c r="AJ422" s="83">
        <f t="shared" si="224"/>
        <v>0</v>
      </c>
      <c r="AK422" s="58">
        <f t="shared" si="224"/>
        <v>0</v>
      </c>
      <c r="AL422" s="82">
        <f t="shared" si="230"/>
        <v>0</v>
      </c>
      <c r="AM422" s="58">
        <f t="shared" si="231"/>
        <v>0</v>
      </c>
      <c r="AN422" s="74"/>
      <c r="AO422" s="84"/>
      <c r="AP422" s="74"/>
      <c r="AQ422" s="85"/>
      <c r="AR422" s="74"/>
      <c r="AS422" s="74"/>
      <c r="AT422" s="74"/>
      <c r="AU422" s="55" t="str">
        <f t="shared" si="241"/>
        <v/>
      </c>
      <c r="AV422" s="55" t="str">
        <f t="shared" ca="1" si="242"/>
        <v/>
      </c>
      <c r="AW422" s="55" t="str">
        <f t="shared" si="232"/>
        <v/>
      </c>
      <c r="AX422" s="55" t="str">
        <f t="shared" ca="1" si="233"/>
        <v/>
      </c>
      <c r="AY422" s="86"/>
      <c r="AZ422" s="86"/>
      <c r="BA422" s="55" t="str">
        <f t="shared" si="243"/>
        <v/>
      </c>
      <c r="BB422" s="86"/>
      <c r="BC422" s="86"/>
      <c r="BD422" s="55" t="str">
        <f t="shared" si="244"/>
        <v/>
      </c>
      <c r="BE422" s="74"/>
      <c r="BS422" s="118"/>
      <c r="BT422" s="118"/>
      <c r="BU422" s="118"/>
      <c r="BV422" s="118"/>
      <c r="BW422" s="118"/>
      <c r="BX422" s="118"/>
      <c r="BZ422" s="118"/>
      <c r="CB422" s="118"/>
      <c r="CC422" s="118"/>
      <c r="CD422" s="118"/>
    </row>
    <row r="423" spans="1:82" ht="17.399999999999999" customHeight="1" thickBot="1">
      <c r="A423" s="87">
        <f t="shared" si="245"/>
        <v>59.7</v>
      </c>
      <c r="B423" s="113">
        <f t="shared" si="226"/>
        <v>413</v>
      </c>
      <c r="C423" s="89"/>
      <c r="D423" s="90"/>
      <c r="E423" s="91"/>
      <c r="F423" s="90"/>
      <c r="G423" s="92">
        <f t="shared" si="250"/>
        <v>0</v>
      </c>
      <c r="H423" s="93">
        <f t="shared" si="250"/>
        <v>0</v>
      </c>
      <c r="I423" s="94">
        <f t="shared" si="235"/>
        <v>0</v>
      </c>
      <c r="J423" s="95">
        <f t="shared" si="236"/>
        <v>0</v>
      </c>
      <c r="K423" s="95">
        <f t="shared" si="237"/>
        <v>0</v>
      </c>
      <c r="L423" s="95">
        <f t="shared" si="238"/>
        <v>0</v>
      </c>
      <c r="M423" s="95" t="str">
        <f t="shared" ca="1" si="239"/>
        <v/>
      </c>
      <c r="N423" s="95" t="str">
        <f t="shared" ca="1" si="239"/>
        <v/>
      </c>
      <c r="O423" s="95">
        <f t="shared" si="240"/>
        <v>5.0000000000000001E-4</v>
      </c>
      <c r="P423" s="96"/>
      <c r="Q423" s="89"/>
      <c r="R423" s="96"/>
      <c r="S423" s="78">
        <f t="shared" si="227"/>
        <v>0</v>
      </c>
      <c r="T423" s="55">
        <f t="shared" si="227"/>
        <v>0</v>
      </c>
      <c r="U423" s="97">
        <f t="shared" si="246"/>
        <v>0</v>
      </c>
      <c r="V423" s="98">
        <f t="shared" si="247"/>
        <v>0</v>
      </c>
      <c r="W423" s="99">
        <f t="shared" si="249"/>
        <v>150</v>
      </c>
      <c r="X423" s="100">
        <f t="shared" si="249"/>
        <v>158</v>
      </c>
      <c r="Y423" s="91"/>
      <c r="Z423" s="60"/>
      <c r="AA423" s="75"/>
      <c r="AB423" s="75"/>
      <c r="AC423" s="75"/>
      <c r="AD423" s="75"/>
      <c r="AE423" s="101">
        <f t="shared" si="228"/>
        <v>0</v>
      </c>
      <c r="AF423" s="93">
        <f t="shared" si="229"/>
        <v>0</v>
      </c>
      <c r="AG423" s="94">
        <f t="shared" si="223"/>
        <v>0</v>
      </c>
      <c r="AH423" s="102">
        <f t="shared" si="224"/>
        <v>0</v>
      </c>
      <c r="AI423" s="103">
        <f t="shared" si="224"/>
        <v>0</v>
      </c>
      <c r="AJ423" s="103">
        <f t="shared" si="224"/>
        <v>0</v>
      </c>
      <c r="AK423" s="95">
        <f t="shared" si="224"/>
        <v>0</v>
      </c>
      <c r="AL423" s="102">
        <f t="shared" si="230"/>
        <v>0</v>
      </c>
      <c r="AM423" s="95">
        <f t="shared" si="231"/>
        <v>0</v>
      </c>
      <c r="AN423" s="90"/>
      <c r="AO423" s="104"/>
      <c r="AP423" s="90"/>
      <c r="AQ423" s="105"/>
      <c r="AR423" s="90"/>
      <c r="AS423" s="90"/>
      <c r="AT423" s="90"/>
      <c r="AU423" s="93" t="str">
        <f t="shared" si="241"/>
        <v/>
      </c>
      <c r="AV423" s="93" t="str">
        <f t="shared" ca="1" si="242"/>
        <v/>
      </c>
      <c r="AW423" s="93" t="str">
        <f t="shared" si="232"/>
        <v/>
      </c>
      <c r="AX423" s="93" t="str">
        <f t="shared" ca="1" si="233"/>
        <v/>
      </c>
      <c r="AY423" s="106"/>
      <c r="AZ423" s="106"/>
      <c r="BA423" s="93" t="str">
        <f t="shared" si="243"/>
        <v/>
      </c>
      <c r="BB423" s="106"/>
      <c r="BC423" s="106"/>
      <c r="BD423" s="93" t="str">
        <f t="shared" si="244"/>
        <v/>
      </c>
      <c r="BE423" s="90"/>
      <c r="BS423" s="118"/>
      <c r="BT423" s="118"/>
      <c r="BU423" s="118"/>
      <c r="BV423" s="118"/>
      <c r="BW423" s="118"/>
      <c r="BX423" s="118"/>
      <c r="BZ423" s="118"/>
      <c r="CB423" s="118"/>
      <c r="CC423" s="118"/>
      <c r="CD423" s="118"/>
    </row>
    <row r="424" spans="1:82" ht="17.399999999999999" customHeight="1" thickTop="1">
      <c r="A424" s="107">
        <f>A417+1</f>
        <v>60.1</v>
      </c>
      <c r="B424" s="108">
        <f>B423+1</f>
        <v>414</v>
      </c>
      <c r="C424" s="51"/>
      <c r="D424" s="52"/>
      <c r="E424" s="53"/>
      <c r="F424" s="52"/>
      <c r="G424" s="54">
        <f t="shared" si="250"/>
        <v>0</v>
      </c>
      <c r="H424" s="55">
        <f t="shared" si="250"/>
        <v>0</v>
      </c>
      <c r="I424" s="56">
        <f t="shared" si="235"/>
        <v>0</v>
      </c>
      <c r="J424" s="57">
        <f t="shared" si="236"/>
        <v>0</v>
      </c>
      <c r="K424" s="57">
        <f t="shared" si="237"/>
        <v>0</v>
      </c>
      <c r="L424" s="57">
        <f t="shared" si="238"/>
        <v>0</v>
      </c>
      <c r="M424" s="58" t="str">
        <f t="shared" ca="1" si="239"/>
        <v/>
      </c>
      <c r="N424" s="58" t="str">
        <f t="shared" ca="1" si="239"/>
        <v/>
      </c>
      <c r="O424" s="58">
        <f t="shared" si="240"/>
        <v>5.0000000000000001E-4</v>
      </c>
      <c r="P424" s="77"/>
      <c r="Q424" s="60"/>
      <c r="R424" s="77"/>
      <c r="S424" s="109">
        <f t="shared" si="227"/>
        <v>0</v>
      </c>
      <c r="T424" s="61">
        <f t="shared" si="227"/>
        <v>0</v>
      </c>
      <c r="U424" s="62">
        <f t="shared" si="246"/>
        <v>0</v>
      </c>
      <c r="V424" s="63">
        <f t="shared" si="247"/>
        <v>0</v>
      </c>
      <c r="W424" s="64">
        <v>151</v>
      </c>
      <c r="X424" s="80">
        <v>157</v>
      </c>
      <c r="Y424" s="53"/>
      <c r="Z424" s="51"/>
      <c r="AA424" s="53"/>
      <c r="AB424" s="53"/>
      <c r="AC424" s="53"/>
      <c r="AD424" s="53"/>
      <c r="AE424" s="66">
        <f t="shared" si="228"/>
        <v>0</v>
      </c>
      <c r="AF424" s="61">
        <f t="shared" si="229"/>
        <v>0</v>
      </c>
      <c r="AG424" s="56">
        <f t="shared" si="223"/>
        <v>0</v>
      </c>
      <c r="AH424" s="67">
        <f t="shared" si="224"/>
        <v>0</v>
      </c>
      <c r="AI424" s="68">
        <f t="shared" si="224"/>
        <v>0</v>
      </c>
      <c r="AJ424" s="68">
        <f t="shared" si="224"/>
        <v>0</v>
      </c>
      <c r="AK424" s="57">
        <f t="shared" si="224"/>
        <v>0</v>
      </c>
      <c r="AL424" s="67">
        <f t="shared" si="230"/>
        <v>0</v>
      </c>
      <c r="AM424" s="57">
        <f t="shared" si="231"/>
        <v>0</v>
      </c>
      <c r="AN424" s="52"/>
      <c r="AO424" s="69"/>
      <c r="AP424" s="52"/>
      <c r="AQ424" s="70"/>
      <c r="AR424" s="52"/>
      <c r="AS424" s="52"/>
      <c r="AT424" s="52"/>
      <c r="AU424" s="61" t="str">
        <f t="shared" si="241"/>
        <v/>
      </c>
      <c r="AV424" s="61" t="str">
        <f t="shared" ca="1" si="242"/>
        <v/>
      </c>
      <c r="AW424" s="61" t="str">
        <f t="shared" si="232"/>
        <v/>
      </c>
      <c r="AX424" s="61" t="str">
        <f t="shared" ca="1" si="233"/>
        <v/>
      </c>
      <c r="AY424" s="71"/>
      <c r="AZ424" s="71"/>
      <c r="BA424" s="61" t="str">
        <f t="shared" si="243"/>
        <v/>
      </c>
      <c r="BB424" s="71"/>
      <c r="BC424" s="71"/>
      <c r="BD424" s="61" t="str">
        <f t="shared" si="244"/>
        <v/>
      </c>
      <c r="BE424" s="52"/>
      <c r="BS424" s="118"/>
      <c r="BT424" s="118"/>
      <c r="BU424" s="118"/>
      <c r="BV424" s="118"/>
      <c r="BW424" s="118"/>
      <c r="BX424" s="118"/>
      <c r="BZ424" s="118"/>
      <c r="CB424" s="118"/>
      <c r="CC424" s="118"/>
      <c r="CD424" s="118"/>
    </row>
    <row r="425" spans="1:82" ht="17.399999999999999" customHeight="1">
      <c r="A425" s="87">
        <f t="shared" si="245"/>
        <v>60.2</v>
      </c>
      <c r="B425" s="111">
        <f t="shared" si="226"/>
        <v>415</v>
      </c>
      <c r="C425" s="60"/>
      <c r="D425" s="74"/>
      <c r="E425" s="75"/>
      <c r="F425" s="74"/>
      <c r="G425" s="54">
        <f t="shared" si="250"/>
        <v>0</v>
      </c>
      <c r="H425" s="55">
        <f t="shared" si="250"/>
        <v>0</v>
      </c>
      <c r="I425" s="76">
        <f t="shared" si="235"/>
        <v>0</v>
      </c>
      <c r="J425" s="58">
        <f t="shared" si="236"/>
        <v>0</v>
      </c>
      <c r="K425" s="58">
        <f t="shared" si="237"/>
        <v>0</v>
      </c>
      <c r="L425" s="58">
        <f t="shared" si="238"/>
        <v>0</v>
      </c>
      <c r="M425" s="58" t="str">
        <f t="shared" ca="1" si="239"/>
        <v/>
      </c>
      <c r="N425" s="58" t="str">
        <f t="shared" ca="1" si="239"/>
        <v/>
      </c>
      <c r="O425" s="58">
        <f t="shared" si="240"/>
        <v>5.0000000000000001E-4</v>
      </c>
      <c r="P425" s="77"/>
      <c r="Q425" s="60"/>
      <c r="R425" s="77"/>
      <c r="S425" s="78">
        <f t="shared" si="227"/>
        <v>0</v>
      </c>
      <c r="T425" s="55">
        <f t="shared" si="227"/>
        <v>0</v>
      </c>
      <c r="U425" s="79">
        <f t="shared" si="246"/>
        <v>0</v>
      </c>
      <c r="V425" s="63">
        <f t="shared" si="247"/>
        <v>0</v>
      </c>
      <c r="W425" s="64">
        <f t="shared" ref="W425:X437" si="251">W424</f>
        <v>151</v>
      </c>
      <c r="X425" s="80">
        <f t="shared" si="251"/>
        <v>157</v>
      </c>
      <c r="Y425" s="75"/>
      <c r="Z425" s="60"/>
      <c r="AA425" s="75"/>
      <c r="AB425" s="75"/>
      <c r="AC425" s="75"/>
      <c r="AD425" s="75"/>
      <c r="AE425" s="81">
        <f t="shared" si="228"/>
        <v>0</v>
      </c>
      <c r="AF425" s="55">
        <f t="shared" si="229"/>
        <v>0</v>
      </c>
      <c r="AG425" s="76">
        <f t="shared" si="223"/>
        <v>0</v>
      </c>
      <c r="AH425" s="82">
        <f t="shared" si="224"/>
        <v>0</v>
      </c>
      <c r="AI425" s="83">
        <f t="shared" si="224"/>
        <v>0</v>
      </c>
      <c r="AJ425" s="83">
        <f t="shared" si="224"/>
        <v>0</v>
      </c>
      <c r="AK425" s="58">
        <f t="shared" si="224"/>
        <v>0</v>
      </c>
      <c r="AL425" s="82">
        <f t="shared" si="230"/>
        <v>0</v>
      </c>
      <c r="AM425" s="58">
        <f t="shared" si="231"/>
        <v>0</v>
      </c>
      <c r="AN425" s="74"/>
      <c r="AO425" s="84"/>
      <c r="AP425" s="74"/>
      <c r="AQ425" s="85"/>
      <c r="AR425" s="74"/>
      <c r="AS425" s="74"/>
      <c r="AT425" s="74"/>
      <c r="AU425" s="55" t="str">
        <f t="shared" si="241"/>
        <v/>
      </c>
      <c r="AV425" s="55" t="str">
        <f t="shared" ca="1" si="242"/>
        <v/>
      </c>
      <c r="AW425" s="55" t="str">
        <f t="shared" si="232"/>
        <v/>
      </c>
      <c r="AX425" s="55" t="str">
        <f t="shared" ca="1" si="233"/>
        <v/>
      </c>
      <c r="AY425" s="86"/>
      <c r="AZ425" s="86"/>
      <c r="BA425" s="55" t="str">
        <f t="shared" si="243"/>
        <v/>
      </c>
      <c r="BB425" s="86"/>
      <c r="BC425" s="86"/>
      <c r="BD425" s="55" t="str">
        <f t="shared" si="244"/>
        <v/>
      </c>
      <c r="BE425" s="74"/>
      <c r="BS425" s="118"/>
      <c r="BT425" s="118"/>
      <c r="BU425" s="118"/>
      <c r="BV425" s="118"/>
      <c r="BW425" s="118"/>
      <c r="BX425" s="118"/>
      <c r="BZ425" s="118"/>
      <c r="CB425" s="118"/>
      <c r="CC425" s="118"/>
      <c r="CD425" s="118"/>
    </row>
    <row r="426" spans="1:82" ht="17.399999999999999" customHeight="1">
      <c r="A426" s="72">
        <f t="shared" si="245"/>
        <v>60.3</v>
      </c>
      <c r="B426" s="111">
        <f t="shared" si="226"/>
        <v>416</v>
      </c>
      <c r="C426" s="60"/>
      <c r="D426" s="74"/>
      <c r="E426" s="75"/>
      <c r="F426" s="74"/>
      <c r="G426" s="54">
        <f t="shared" si="250"/>
        <v>0</v>
      </c>
      <c r="H426" s="55">
        <f t="shared" si="250"/>
        <v>0</v>
      </c>
      <c r="I426" s="76">
        <f t="shared" si="235"/>
        <v>0</v>
      </c>
      <c r="J426" s="58">
        <f t="shared" si="236"/>
        <v>0</v>
      </c>
      <c r="K426" s="58">
        <f t="shared" si="237"/>
        <v>0</v>
      </c>
      <c r="L426" s="58">
        <f t="shared" si="238"/>
        <v>0</v>
      </c>
      <c r="M426" s="58" t="str">
        <f t="shared" ca="1" si="239"/>
        <v/>
      </c>
      <c r="N426" s="58" t="str">
        <f t="shared" ca="1" si="239"/>
        <v/>
      </c>
      <c r="O426" s="58">
        <f t="shared" si="240"/>
        <v>5.0000000000000001E-4</v>
      </c>
      <c r="P426" s="77"/>
      <c r="Q426" s="60"/>
      <c r="R426" s="77"/>
      <c r="S426" s="78">
        <f t="shared" si="227"/>
        <v>0</v>
      </c>
      <c r="T426" s="55">
        <f t="shared" si="227"/>
        <v>0</v>
      </c>
      <c r="U426" s="79">
        <f t="shared" si="246"/>
        <v>0</v>
      </c>
      <c r="V426" s="63">
        <f t="shared" si="247"/>
        <v>0</v>
      </c>
      <c r="W426" s="64">
        <f t="shared" si="251"/>
        <v>151</v>
      </c>
      <c r="X426" s="80">
        <f t="shared" si="251"/>
        <v>157</v>
      </c>
      <c r="Y426" s="75"/>
      <c r="Z426" s="60"/>
      <c r="AA426" s="75"/>
      <c r="AB426" s="75"/>
      <c r="AC426" s="75"/>
      <c r="AD426" s="75"/>
      <c r="AE426" s="81">
        <f t="shared" si="228"/>
        <v>0</v>
      </c>
      <c r="AF426" s="55">
        <f t="shared" si="229"/>
        <v>0</v>
      </c>
      <c r="AG426" s="76">
        <f t="shared" si="223"/>
        <v>0</v>
      </c>
      <c r="AH426" s="82">
        <f t="shared" si="224"/>
        <v>0</v>
      </c>
      <c r="AI426" s="83">
        <f t="shared" si="224"/>
        <v>0</v>
      </c>
      <c r="AJ426" s="83">
        <f t="shared" si="224"/>
        <v>0</v>
      </c>
      <c r="AK426" s="58">
        <f t="shared" si="224"/>
        <v>0</v>
      </c>
      <c r="AL426" s="82">
        <f t="shared" si="230"/>
        <v>0</v>
      </c>
      <c r="AM426" s="58">
        <f t="shared" si="231"/>
        <v>0</v>
      </c>
      <c r="AN426" s="74"/>
      <c r="AO426" s="84"/>
      <c r="AP426" s="74"/>
      <c r="AQ426" s="85"/>
      <c r="AR426" s="74"/>
      <c r="AS426" s="74"/>
      <c r="AT426" s="74"/>
      <c r="AU426" s="55" t="str">
        <f t="shared" si="241"/>
        <v/>
      </c>
      <c r="AV426" s="55" t="str">
        <f t="shared" ca="1" si="242"/>
        <v/>
      </c>
      <c r="AW426" s="55" t="str">
        <f t="shared" si="232"/>
        <v/>
      </c>
      <c r="AX426" s="55" t="str">
        <f t="shared" ca="1" si="233"/>
        <v/>
      </c>
      <c r="AY426" s="86"/>
      <c r="AZ426" s="86"/>
      <c r="BA426" s="55" t="str">
        <f t="shared" si="243"/>
        <v/>
      </c>
      <c r="BB426" s="86"/>
      <c r="BC426" s="86"/>
      <c r="BD426" s="55" t="str">
        <f t="shared" si="244"/>
        <v/>
      </c>
      <c r="BE426" s="74"/>
      <c r="BS426" s="118"/>
      <c r="BT426" s="118"/>
      <c r="BU426" s="118"/>
      <c r="BV426" s="118"/>
      <c r="BW426" s="118"/>
      <c r="BX426" s="118"/>
      <c r="BZ426" s="118"/>
      <c r="CB426" s="118"/>
      <c r="CC426" s="118"/>
      <c r="CD426" s="118"/>
    </row>
    <row r="427" spans="1:82" ht="17.399999999999999" customHeight="1">
      <c r="A427" s="87">
        <f t="shared" si="245"/>
        <v>60.4</v>
      </c>
      <c r="B427" s="111">
        <f t="shared" si="226"/>
        <v>417</v>
      </c>
      <c r="C427" s="60"/>
      <c r="D427" s="74"/>
      <c r="E427" s="75"/>
      <c r="F427" s="74"/>
      <c r="G427" s="54">
        <f t="shared" si="250"/>
        <v>0</v>
      </c>
      <c r="H427" s="55">
        <f t="shared" si="250"/>
        <v>0</v>
      </c>
      <c r="I427" s="76">
        <f t="shared" si="235"/>
        <v>0</v>
      </c>
      <c r="J427" s="58">
        <f t="shared" si="236"/>
        <v>0</v>
      </c>
      <c r="K427" s="58">
        <f t="shared" si="237"/>
        <v>0</v>
      </c>
      <c r="L427" s="58">
        <f t="shared" si="238"/>
        <v>0</v>
      </c>
      <c r="M427" s="58" t="str">
        <f t="shared" ca="1" si="239"/>
        <v/>
      </c>
      <c r="N427" s="58" t="str">
        <f t="shared" ca="1" si="239"/>
        <v/>
      </c>
      <c r="O427" s="58">
        <f t="shared" si="240"/>
        <v>5.0000000000000001E-4</v>
      </c>
      <c r="P427" s="77"/>
      <c r="Q427" s="60"/>
      <c r="R427" s="77"/>
      <c r="S427" s="78">
        <f t="shared" si="227"/>
        <v>0</v>
      </c>
      <c r="T427" s="55">
        <f t="shared" si="227"/>
        <v>0</v>
      </c>
      <c r="U427" s="79">
        <f t="shared" si="246"/>
        <v>0</v>
      </c>
      <c r="V427" s="63">
        <f t="shared" si="247"/>
        <v>0</v>
      </c>
      <c r="W427" s="64">
        <f t="shared" si="251"/>
        <v>151</v>
      </c>
      <c r="X427" s="80">
        <f t="shared" si="251"/>
        <v>157</v>
      </c>
      <c r="Y427" s="75"/>
      <c r="Z427" s="60"/>
      <c r="AA427" s="75"/>
      <c r="AB427" s="75"/>
      <c r="AC427" s="75"/>
      <c r="AD427" s="75"/>
      <c r="AE427" s="81">
        <f t="shared" si="228"/>
        <v>0</v>
      </c>
      <c r="AF427" s="55">
        <f t="shared" si="229"/>
        <v>0</v>
      </c>
      <c r="AG427" s="76">
        <f t="shared" si="223"/>
        <v>0</v>
      </c>
      <c r="AH427" s="82">
        <f t="shared" si="224"/>
        <v>0</v>
      </c>
      <c r="AI427" s="83">
        <f t="shared" si="224"/>
        <v>0</v>
      </c>
      <c r="AJ427" s="83">
        <f t="shared" si="224"/>
        <v>0</v>
      </c>
      <c r="AK427" s="58">
        <f t="shared" si="224"/>
        <v>0</v>
      </c>
      <c r="AL427" s="82">
        <f t="shared" si="230"/>
        <v>0</v>
      </c>
      <c r="AM427" s="58">
        <f t="shared" si="231"/>
        <v>0</v>
      </c>
      <c r="AN427" s="74"/>
      <c r="AO427" s="84"/>
      <c r="AP427" s="74"/>
      <c r="AQ427" s="85"/>
      <c r="AR427" s="74"/>
      <c r="AS427" s="74"/>
      <c r="AT427" s="74"/>
      <c r="AU427" s="55" t="str">
        <f t="shared" si="241"/>
        <v/>
      </c>
      <c r="AV427" s="55" t="str">
        <f t="shared" ca="1" si="242"/>
        <v/>
      </c>
      <c r="AW427" s="55" t="str">
        <f t="shared" si="232"/>
        <v/>
      </c>
      <c r="AX427" s="55" t="str">
        <f t="shared" ca="1" si="233"/>
        <v/>
      </c>
      <c r="AY427" s="86"/>
      <c r="AZ427" s="86"/>
      <c r="BA427" s="55" t="str">
        <f t="shared" si="243"/>
        <v/>
      </c>
      <c r="BB427" s="86"/>
      <c r="BC427" s="86"/>
      <c r="BD427" s="55" t="str">
        <f t="shared" si="244"/>
        <v/>
      </c>
      <c r="BE427" s="74"/>
      <c r="BS427" s="118"/>
      <c r="BT427" s="118"/>
      <c r="BU427" s="118"/>
      <c r="BV427" s="118"/>
      <c r="BW427" s="118"/>
      <c r="BX427" s="118"/>
      <c r="BZ427" s="118"/>
      <c r="CB427" s="118"/>
      <c r="CC427" s="118"/>
      <c r="CD427" s="118"/>
    </row>
    <row r="428" spans="1:82" ht="17.399999999999999" customHeight="1">
      <c r="A428" s="72">
        <f t="shared" si="245"/>
        <v>60.5</v>
      </c>
      <c r="B428" s="111">
        <f t="shared" si="226"/>
        <v>418</v>
      </c>
      <c r="C428" s="60"/>
      <c r="D428" s="74"/>
      <c r="E428" s="75"/>
      <c r="F428" s="74"/>
      <c r="G428" s="54">
        <f t="shared" ref="G428:H443" si="252">G427-E428-C428</f>
        <v>0</v>
      </c>
      <c r="H428" s="55">
        <f t="shared" si="252"/>
        <v>0</v>
      </c>
      <c r="I428" s="76">
        <f t="shared" si="235"/>
        <v>0</v>
      </c>
      <c r="J428" s="58">
        <f t="shared" si="236"/>
        <v>0</v>
      </c>
      <c r="K428" s="58">
        <f t="shared" si="237"/>
        <v>0</v>
      </c>
      <c r="L428" s="58">
        <f t="shared" si="238"/>
        <v>0</v>
      </c>
      <c r="M428" s="58" t="str">
        <f t="shared" ca="1" si="239"/>
        <v/>
      </c>
      <c r="N428" s="58" t="str">
        <f t="shared" ca="1" si="239"/>
        <v/>
      </c>
      <c r="O428" s="58">
        <f t="shared" si="240"/>
        <v>5.0000000000000001E-4</v>
      </c>
      <c r="P428" s="77"/>
      <c r="Q428" s="60"/>
      <c r="R428" s="77"/>
      <c r="S428" s="78">
        <f t="shared" si="227"/>
        <v>0</v>
      </c>
      <c r="T428" s="55">
        <f t="shared" si="227"/>
        <v>0</v>
      </c>
      <c r="U428" s="79">
        <f t="shared" si="246"/>
        <v>0</v>
      </c>
      <c r="V428" s="63">
        <f t="shared" si="247"/>
        <v>0</v>
      </c>
      <c r="W428" s="64">
        <f t="shared" si="251"/>
        <v>151</v>
      </c>
      <c r="X428" s="80">
        <f t="shared" si="251"/>
        <v>157</v>
      </c>
      <c r="Y428" s="75"/>
      <c r="Z428" s="60"/>
      <c r="AA428" s="75"/>
      <c r="AB428" s="75"/>
      <c r="AC428" s="75"/>
      <c r="AD428" s="75"/>
      <c r="AE428" s="81">
        <f t="shared" si="228"/>
        <v>0</v>
      </c>
      <c r="AF428" s="55">
        <f t="shared" si="229"/>
        <v>0</v>
      </c>
      <c r="AG428" s="76">
        <f t="shared" si="223"/>
        <v>0</v>
      </c>
      <c r="AH428" s="82">
        <f t="shared" si="224"/>
        <v>0</v>
      </c>
      <c r="AI428" s="83">
        <f t="shared" si="224"/>
        <v>0</v>
      </c>
      <c r="AJ428" s="83">
        <f t="shared" si="224"/>
        <v>0</v>
      </c>
      <c r="AK428" s="58">
        <f t="shared" si="224"/>
        <v>0</v>
      </c>
      <c r="AL428" s="82">
        <f t="shared" si="230"/>
        <v>0</v>
      </c>
      <c r="AM428" s="58">
        <f t="shared" si="231"/>
        <v>0</v>
      </c>
      <c r="AN428" s="74"/>
      <c r="AO428" s="84"/>
      <c r="AP428" s="74"/>
      <c r="AQ428" s="85"/>
      <c r="AR428" s="74"/>
      <c r="AS428" s="74"/>
      <c r="AT428" s="74"/>
      <c r="AU428" s="55" t="str">
        <f t="shared" si="241"/>
        <v/>
      </c>
      <c r="AV428" s="55" t="str">
        <f t="shared" ca="1" si="242"/>
        <v/>
      </c>
      <c r="AW428" s="55" t="str">
        <f t="shared" si="232"/>
        <v/>
      </c>
      <c r="AX428" s="55" t="str">
        <f t="shared" ca="1" si="233"/>
        <v/>
      </c>
      <c r="AY428" s="86"/>
      <c r="AZ428" s="86"/>
      <c r="BA428" s="55" t="str">
        <f t="shared" si="243"/>
        <v/>
      </c>
      <c r="BB428" s="86"/>
      <c r="BC428" s="86"/>
      <c r="BD428" s="55" t="str">
        <f t="shared" si="244"/>
        <v/>
      </c>
      <c r="BE428" s="74"/>
      <c r="BS428" s="118"/>
      <c r="BT428" s="118"/>
      <c r="BU428" s="118"/>
      <c r="BV428" s="118"/>
      <c r="BW428" s="118"/>
      <c r="BX428" s="118"/>
      <c r="BZ428" s="118"/>
      <c r="CB428" s="118"/>
      <c r="CC428" s="118"/>
      <c r="CD428" s="118"/>
    </row>
    <row r="429" spans="1:82" ht="17.399999999999999" customHeight="1">
      <c r="A429" s="87">
        <f t="shared" si="245"/>
        <v>60.6</v>
      </c>
      <c r="B429" s="111">
        <f t="shared" si="226"/>
        <v>419</v>
      </c>
      <c r="C429" s="60"/>
      <c r="D429" s="74"/>
      <c r="E429" s="75"/>
      <c r="F429" s="74"/>
      <c r="G429" s="54">
        <f t="shared" si="252"/>
        <v>0</v>
      </c>
      <c r="H429" s="55">
        <f t="shared" si="252"/>
        <v>0</v>
      </c>
      <c r="I429" s="76">
        <f t="shared" si="235"/>
        <v>0</v>
      </c>
      <c r="J429" s="58">
        <f t="shared" si="236"/>
        <v>0</v>
      </c>
      <c r="K429" s="58">
        <f t="shared" si="237"/>
        <v>0</v>
      </c>
      <c r="L429" s="58">
        <f t="shared" si="238"/>
        <v>0</v>
      </c>
      <c r="M429" s="58" t="str">
        <f t="shared" ca="1" si="239"/>
        <v/>
      </c>
      <c r="N429" s="58" t="str">
        <f t="shared" ca="1" si="239"/>
        <v/>
      </c>
      <c r="O429" s="58">
        <f t="shared" si="240"/>
        <v>5.0000000000000001E-4</v>
      </c>
      <c r="P429" s="77"/>
      <c r="Q429" s="60"/>
      <c r="R429" s="77"/>
      <c r="S429" s="78">
        <f t="shared" si="227"/>
        <v>0</v>
      </c>
      <c r="T429" s="55">
        <f t="shared" si="227"/>
        <v>0</v>
      </c>
      <c r="U429" s="79">
        <f t="shared" si="246"/>
        <v>0</v>
      </c>
      <c r="V429" s="63">
        <f t="shared" si="247"/>
        <v>0</v>
      </c>
      <c r="W429" s="64">
        <f t="shared" si="251"/>
        <v>151</v>
      </c>
      <c r="X429" s="80">
        <f t="shared" si="251"/>
        <v>157</v>
      </c>
      <c r="Y429" s="75"/>
      <c r="Z429" s="60"/>
      <c r="AA429" s="75"/>
      <c r="AB429" s="75"/>
      <c r="AC429" s="75"/>
      <c r="AD429" s="75"/>
      <c r="AE429" s="81">
        <f t="shared" si="228"/>
        <v>0</v>
      </c>
      <c r="AF429" s="55">
        <f t="shared" si="229"/>
        <v>0</v>
      </c>
      <c r="AG429" s="76">
        <f t="shared" si="223"/>
        <v>0</v>
      </c>
      <c r="AH429" s="82">
        <f t="shared" si="224"/>
        <v>0</v>
      </c>
      <c r="AI429" s="83">
        <f t="shared" si="224"/>
        <v>0</v>
      </c>
      <c r="AJ429" s="83">
        <f t="shared" si="224"/>
        <v>0</v>
      </c>
      <c r="AK429" s="58">
        <f t="shared" si="224"/>
        <v>0</v>
      </c>
      <c r="AL429" s="82">
        <f t="shared" si="230"/>
        <v>0</v>
      </c>
      <c r="AM429" s="58">
        <f t="shared" si="231"/>
        <v>0</v>
      </c>
      <c r="AN429" s="74"/>
      <c r="AO429" s="84"/>
      <c r="AP429" s="74"/>
      <c r="AQ429" s="85"/>
      <c r="AR429" s="74"/>
      <c r="AS429" s="74"/>
      <c r="AT429" s="74"/>
      <c r="AU429" s="55" t="str">
        <f t="shared" si="241"/>
        <v/>
      </c>
      <c r="AV429" s="55" t="str">
        <f t="shared" ca="1" si="242"/>
        <v/>
      </c>
      <c r="AW429" s="55" t="str">
        <f t="shared" si="232"/>
        <v/>
      </c>
      <c r="AX429" s="55" t="str">
        <f t="shared" ca="1" si="233"/>
        <v/>
      </c>
      <c r="AY429" s="86"/>
      <c r="AZ429" s="86"/>
      <c r="BA429" s="55" t="str">
        <f t="shared" si="243"/>
        <v/>
      </c>
      <c r="BB429" s="86"/>
      <c r="BC429" s="86"/>
      <c r="BD429" s="55" t="str">
        <f t="shared" si="244"/>
        <v/>
      </c>
      <c r="BE429" s="74"/>
      <c r="BS429" s="118"/>
      <c r="BT429" s="118"/>
      <c r="BU429" s="118"/>
      <c r="BV429" s="118"/>
      <c r="BW429" s="118"/>
      <c r="BX429" s="118"/>
      <c r="BZ429" s="118"/>
      <c r="CB429" s="118"/>
      <c r="CC429" s="118"/>
      <c r="CD429" s="118"/>
    </row>
    <row r="430" spans="1:82" ht="17.399999999999999" customHeight="1" thickBot="1">
      <c r="A430" s="72">
        <f t="shared" si="245"/>
        <v>60.7</v>
      </c>
      <c r="B430" s="113">
        <f t="shared" si="226"/>
        <v>420</v>
      </c>
      <c r="C430" s="89"/>
      <c r="D430" s="90"/>
      <c r="E430" s="91"/>
      <c r="F430" s="90"/>
      <c r="G430" s="92">
        <f t="shared" si="252"/>
        <v>0</v>
      </c>
      <c r="H430" s="93">
        <f t="shared" si="252"/>
        <v>0</v>
      </c>
      <c r="I430" s="94">
        <f t="shared" si="235"/>
        <v>0</v>
      </c>
      <c r="J430" s="95">
        <f t="shared" si="236"/>
        <v>0</v>
      </c>
      <c r="K430" s="95">
        <f t="shared" si="237"/>
        <v>0</v>
      </c>
      <c r="L430" s="95">
        <f t="shared" si="238"/>
        <v>0</v>
      </c>
      <c r="M430" s="95" t="str">
        <f t="shared" ca="1" si="239"/>
        <v/>
      </c>
      <c r="N430" s="95" t="str">
        <f t="shared" ca="1" si="239"/>
        <v/>
      </c>
      <c r="O430" s="95">
        <f t="shared" si="240"/>
        <v>5.0000000000000001E-4</v>
      </c>
      <c r="P430" s="96"/>
      <c r="Q430" s="89"/>
      <c r="R430" s="96"/>
      <c r="S430" s="78">
        <f t="shared" si="227"/>
        <v>0</v>
      </c>
      <c r="T430" s="55">
        <f t="shared" si="227"/>
        <v>0</v>
      </c>
      <c r="U430" s="97">
        <f t="shared" si="246"/>
        <v>0</v>
      </c>
      <c r="V430" s="98">
        <f t="shared" si="247"/>
        <v>0</v>
      </c>
      <c r="W430" s="99">
        <f t="shared" si="251"/>
        <v>151</v>
      </c>
      <c r="X430" s="100">
        <f t="shared" si="251"/>
        <v>157</v>
      </c>
      <c r="Y430" s="91"/>
      <c r="Z430" s="60"/>
      <c r="AA430" s="75"/>
      <c r="AB430" s="75"/>
      <c r="AC430" s="75"/>
      <c r="AD430" s="75"/>
      <c r="AE430" s="101">
        <f t="shared" si="228"/>
        <v>0</v>
      </c>
      <c r="AF430" s="93">
        <f t="shared" si="229"/>
        <v>0</v>
      </c>
      <c r="AG430" s="94">
        <f t="shared" si="223"/>
        <v>0</v>
      </c>
      <c r="AH430" s="102">
        <f t="shared" si="224"/>
        <v>0</v>
      </c>
      <c r="AI430" s="103">
        <f t="shared" si="224"/>
        <v>0</v>
      </c>
      <c r="AJ430" s="103">
        <f t="shared" si="224"/>
        <v>0</v>
      </c>
      <c r="AK430" s="95">
        <f t="shared" si="224"/>
        <v>0</v>
      </c>
      <c r="AL430" s="102">
        <f t="shared" si="230"/>
        <v>0</v>
      </c>
      <c r="AM430" s="95">
        <f t="shared" si="231"/>
        <v>0</v>
      </c>
      <c r="AN430" s="90"/>
      <c r="AO430" s="104"/>
      <c r="AP430" s="90"/>
      <c r="AQ430" s="105"/>
      <c r="AR430" s="90"/>
      <c r="AS430" s="90"/>
      <c r="AT430" s="90"/>
      <c r="AU430" s="93" t="str">
        <f t="shared" si="241"/>
        <v/>
      </c>
      <c r="AV430" s="93" t="str">
        <f t="shared" ca="1" si="242"/>
        <v/>
      </c>
      <c r="AW430" s="93" t="str">
        <f t="shared" si="232"/>
        <v/>
      </c>
      <c r="AX430" s="93" t="str">
        <f t="shared" ca="1" si="233"/>
        <v/>
      </c>
      <c r="AY430" s="106"/>
      <c r="AZ430" s="106"/>
      <c r="BA430" s="93" t="str">
        <f t="shared" si="243"/>
        <v/>
      </c>
      <c r="BB430" s="106"/>
      <c r="BC430" s="106"/>
      <c r="BD430" s="93" t="str">
        <f t="shared" si="244"/>
        <v/>
      </c>
      <c r="BE430" s="90"/>
      <c r="BS430" s="118"/>
      <c r="BT430" s="118"/>
      <c r="BU430" s="118"/>
      <c r="BV430" s="118"/>
      <c r="BW430" s="118"/>
      <c r="BX430" s="118"/>
      <c r="BZ430" s="118"/>
      <c r="CB430" s="118"/>
      <c r="CC430" s="118"/>
      <c r="CD430" s="118"/>
    </row>
    <row r="431" spans="1:82" ht="17.399999999999999" customHeight="1" thickTop="1">
      <c r="A431" s="49">
        <f>A424+1</f>
        <v>61.1</v>
      </c>
      <c r="B431" s="108">
        <f>B430+1</f>
        <v>421</v>
      </c>
      <c r="C431" s="51"/>
      <c r="D431" s="52"/>
      <c r="E431" s="53"/>
      <c r="F431" s="52"/>
      <c r="G431" s="54">
        <f t="shared" si="252"/>
        <v>0</v>
      </c>
      <c r="H431" s="55">
        <f t="shared" si="252"/>
        <v>0</v>
      </c>
      <c r="I431" s="56">
        <f t="shared" si="235"/>
        <v>0</v>
      </c>
      <c r="J431" s="57">
        <f t="shared" si="236"/>
        <v>0</v>
      </c>
      <c r="K431" s="57">
        <f t="shared" si="237"/>
        <v>0</v>
      </c>
      <c r="L431" s="57">
        <f t="shared" si="238"/>
        <v>0</v>
      </c>
      <c r="M431" s="58" t="str">
        <f t="shared" ca="1" si="239"/>
        <v/>
      </c>
      <c r="N431" s="58" t="str">
        <f t="shared" ca="1" si="239"/>
        <v/>
      </c>
      <c r="O431" s="58">
        <f t="shared" si="240"/>
        <v>5.0000000000000001E-4</v>
      </c>
      <c r="P431" s="77"/>
      <c r="Q431" s="60"/>
      <c r="R431" s="77"/>
      <c r="S431" s="109">
        <f t="shared" si="227"/>
        <v>0</v>
      </c>
      <c r="T431" s="61">
        <f t="shared" si="227"/>
        <v>0</v>
      </c>
      <c r="U431" s="62">
        <f t="shared" si="246"/>
        <v>0</v>
      </c>
      <c r="V431" s="63">
        <f t="shared" si="247"/>
        <v>0</v>
      </c>
      <c r="W431" s="64">
        <f t="shared" si="251"/>
        <v>151</v>
      </c>
      <c r="X431" s="80">
        <f t="shared" si="251"/>
        <v>157</v>
      </c>
      <c r="Y431" s="53"/>
      <c r="Z431" s="51"/>
      <c r="AA431" s="53"/>
      <c r="AB431" s="53"/>
      <c r="AC431" s="53"/>
      <c r="AD431" s="53"/>
      <c r="AE431" s="66">
        <f t="shared" si="228"/>
        <v>0</v>
      </c>
      <c r="AF431" s="61">
        <f t="shared" si="229"/>
        <v>0</v>
      </c>
      <c r="AG431" s="56">
        <f t="shared" si="223"/>
        <v>0</v>
      </c>
      <c r="AH431" s="67">
        <f t="shared" si="224"/>
        <v>0</v>
      </c>
      <c r="AI431" s="68">
        <f t="shared" si="224"/>
        <v>0</v>
      </c>
      <c r="AJ431" s="68">
        <f t="shared" si="224"/>
        <v>0</v>
      </c>
      <c r="AK431" s="57">
        <f t="shared" si="224"/>
        <v>0</v>
      </c>
      <c r="AL431" s="67">
        <f t="shared" si="230"/>
        <v>0</v>
      </c>
      <c r="AM431" s="57">
        <f t="shared" si="231"/>
        <v>0</v>
      </c>
      <c r="AN431" s="52"/>
      <c r="AO431" s="69"/>
      <c r="AP431" s="52"/>
      <c r="AQ431" s="70"/>
      <c r="AR431" s="52"/>
      <c r="AS431" s="52"/>
      <c r="AT431" s="52"/>
      <c r="AU431" s="61" t="str">
        <f t="shared" si="241"/>
        <v/>
      </c>
      <c r="AV431" s="61" t="str">
        <f t="shared" ca="1" si="242"/>
        <v/>
      </c>
      <c r="AW431" s="61" t="str">
        <f t="shared" si="232"/>
        <v/>
      </c>
      <c r="AX431" s="61" t="str">
        <f t="shared" ca="1" si="233"/>
        <v/>
      </c>
      <c r="AY431" s="71"/>
      <c r="AZ431" s="71"/>
      <c r="BA431" s="61" t="str">
        <f t="shared" si="243"/>
        <v/>
      </c>
      <c r="BB431" s="71"/>
      <c r="BC431" s="71"/>
      <c r="BD431" s="61" t="str">
        <f t="shared" si="244"/>
        <v/>
      </c>
      <c r="BE431" s="52"/>
      <c r="BS431" s="118"/>
      <c r="BT431" s="118"/>
      <c r="BU431" s="118"/>
      <c r="BV431" s="118"/>
      <c r="BW431" s="118"/>
      <c r="BX431" s="118"/>
      <c r="BZ431" s="118"/>
      <c r="CB431" s="118"/>
      <c r="CC431" s="118"/>
      <c r="CD431" s="118"/>
    </row>
    <row r="432" spans="1:82" ht="17.399999999999999" customHeight="1">
      <c r="A432" s="72">
        <f t="shared" si="245"/>
        <v>61.2</v>
      </c>
      <c r="B432" s="111">
        <f t="shared" si="226"/>
        <v>422</v>
      </c>
      <c r="C432" s="60"/>
      <c r="D432" s="74"/>
      <c r="E432" s="75"/>
      <c r="F432" s="74"/>
      <c r="G432" s="54">
        <f t="shared" si="252"/>
        <v>0</v>
      </c>
      <c r="H432" s="55">
        <f t="shared" si="252"/>
        <v>0</v>
      </c>
      <c r="I432" s="76">
        <f t="shared" si="235"/>
        <v>0</v>
      </c>
      <c r="J432" s="58">
        <f t="shared" si="236"/>
        <v>0</v>
      </c>
      <c r="K432" s="58">
        <f t="shared" si="237"/>
        <v>0</v>
      </c>
      <c r="L432" s="58">
        <f t="shared" si="238"/>
        <v>0</v>
      </c>
      <c r="M432" s="58" t="str">
        <f t="shared" ca="1" si="239"/>
        <v/>
      </c>
      <c r="N432" s="58" t="str">
        <f t="shared" ca="1" si="239"/>
        <v/>
      </c>
      <c r="O432" s="58">
        <f t="shared" si="240"/>
        <v>5.0000000000000001E-4</v>
      </c>
      <c r="P432" s="77"/>
      <c r="Q432" s="60"/>
      <c r="R432" s="77"/>
      <c r="S432" s="78">
        <f t="shared" si="227"/>
        <v>0</v>
      </c>
      <c r="T432" s="55">
        <f t="shared" si="227"/>
        <v>0</v>
      </c>
      <c r="U432" s="79">
        <f t="shared" si="246"/>
        <v>0</v>
      </c>
      <c r="V432" s="63">
        <f t="shared" si="247"/>
        <v>0</v>
      </c>
      <c r="W432" s="64">
        <f t="shared" si="251"/>
        <v>151</v>
      </c>
      <c r="X432" s="80">
        <f t="shared" si="251"/>
        <v>157</v>
      </c>
      <c r="Y432" s="75"/>
      <c r="Z432" s="60"/>
      <c r="AA432" s="75"/>
      <c r="AB432" s="75"/>
      <c r="AC432" s="75"/>
      <c r="AD432" s="75"/>
      <c r="AE432" s="81">
        <f t="shared" si="228"/>
        <v>0</v>
      </c>
      <c r="AF432" s="55">
        <f t="shared" si="229"/>
        <v>0</v>
      </c>
      <c r="AG432" s="76">
        <f t="shared" si="223"/>
        <v>0</v>
      </c>
      <c r="AH432" s="82">
        <f t="shared" si="224"/>
        <v>0</v>
      </c>
      <c r="AI432" s="83">
        <f t="shared" si="224"/>
        <v>0</v>
      </c>
      <c r="AJ432" s="83">
        <f t="shared" si="224"/>
        <v>0</v>
      </c>
      <c r="AK432" s="58">
        <f t="shared" si="224"/>
        <v>0</v>
      </c>
      <c r="AL432" s="82">
        <f t="shared" si="230"/>
        <v>0</v>
      </c>
      <c r="AM432" s="58">
        <f t="shared" si="231"/>
        <v>0</v>
      </c>
      <c r="AN432" s="74"/>
      <c r="AO432" s="84"/>
      <c r="AP432" s="74"/>
      <c r="AQ432" s="85"/>
      <c r="AR432" s="74"/>
      <c r="AS432" s="74"/>
      <c r="AT432" s="74"/>
      <c r="AU432" s="55" t="str">
        <f t="shared" si="241"/>
        <v/>
      </c>
      <c r="AV432" s="55" t="str">
        <f t="shared" ca="1" si="242"/>
        <v/>
      </c>
      <c r="AW432" s="55" t="str">
        <f t="shared" si="232"/>
        <v/>
      </c>
      <c r="AX432" s="55" t="str">
        <f t="shared" ca="1" si="233"/>
        <v/>
      </c>
      <c r="AY432" s="86"/>
      <c r="AZ432" s="86"/>
      <c r="BA432" s="55" t="str">
        <f t="shared" si="243"/>
        <v/>
      </c>
      <c r="BB432" s="86"/>
      <c r="BC432" s="86"/>
      <c r="BD432" s="55" t="str">
        <f t="shared" si="244"/>
        <v/>
      </c>
      <c r="BE432" s="74"/>
      <c r="BS432" s="118"/>
      <c r="BT432" s="118"/>
      <c r="BU432" s="118"/>
      <c r="BV432" s="118"/>
      <c r="BW432" s="118"/>
      <c r="BX432" s="118"/>
      <c r="BZ432" s="118"/>
      <c r="CB432" s="118"/>
      <c r="CC432" s="118"/>
      <c r="CD432" s="118"/>
    </row>
    <row r="433" spans="1:82" ht="17.399999999999999" customHeight="1">
      <c r="A433" s="87">
        <f t="shared" si="245"/>
        <v>61.3</v>
      </c>
      <c r="B433" s="111">
        <f t="shared" si="226"/>
        <v>423</v>
      </c>
      <c r="C433" s="60"/>
      <c r="D433" s="74"/>
      <c r="E433" s="75"/>
      <c r="F433" s="74"/>
      <c r="G433" s="54">
        <f t="shared" si="252"/>
        <v>0</v>
      </c>
      <c r="H433" s="55">
        <f t="shared" si="252"/>
        <v>0</v>
      </c>
      <c r="I433" s="76">
        <f t="shared" si="235"/>
        <v>0</v>
      </c>
      <c r="J433" s="58">
        <f t="shared" si="236"/>
        <v>0</v>
      </c>
      <c r="K433" s="58">
        <f t="shared" si="237"/>
        <v>0</v>
      </c>
      <c r="L433" s="58">
        <f t="shared" si="238"/>
        <v>0</v>
      </c>
      <c r="M433" s="58" t="str">
        <f t="shared" ca="1" si="239"/>
        <v/>
      </c>
      <c r="N433" s="58" t="str">
        <f t="shared" ca="1" si="239"/>
        <v/>
      </c>
      <c r="O433" s="58">
        <f t="shared" si="240"/>
        <v>5.0000000000000001E-4</v>
      </c>
      <c r="P433" s="77"/>
      <c r="Q433" s="60"/>
      <c r="R433" s="77"/>
      <c r="S433" s="78">
        <f t="shared" si="227"/>
        <v>0</v>
      </c>
      <c r="T433" s="55">
        <f t="shared" si="227"/>
        <v>0</v>
      </c>
      <c r="U433" s="79">
        <f t="shared" si="246"/>
        <v>0</v>
      </c>
      <c r="V433" s="63">
        <f t="shared" si="247"/>
        <v>0</v>
      </c>
      <c r="W433" s="64">
        <f t="shared" si="251"/>
        <v>151</v>
      </c>
      <c r="X433" s="80">
        <f t="shared" si="251"/>
        <v>157</v>
      </c>
      <c r="Y433" s="75"/>
      <c r="Z433" s="60"/>
      <c r="AA433" s="75"/>
      <c r="AB433" s="75"/>
      <c r="AC433" s="75"/>
      <c r="AD433" s="75"/>
      <c r="AE433" s="81">
        <f t="shared" si="228"/>
        <v>0</v>
      </c>
      <c r="AF433" s="55">
        <f t="shared" si="229"/>
        <v>0</v>
      </c>
      <c r="AG433" s="76">
        <f t="shared" si="223"/>
        <v>0</v>
      </c>
      <c r="AH433" s="82">
        <f t="shared" si="224"/>
        <v>0</v>
      </c>
      <c r="AI433" s="83">
        <f t="shared" si="224"/>
        <v>0</v>
      </c>
      <c r="AJ433" s="83">
        <f t="shared" si="224"/>
        <v>0</v>
      </c>
      <c r="AK433" s="58">
        <f t="shared" si="224"/>
        <v>0</v>
      </c>
      <c r="AL433" s="82">
        <f t="shared" si="230"/>
        <v>0</v>
      </c>
      <c r="AM433" s="58">
        <f t="shared" si="231"/>
        <v>0</v>
      </c>
      <c r="AN433" s="74"/>
      <c r="AO433" s="84"/>
      <c r="AP433" s="74"/>
      <c r="AQ433" s="85"/>
      <c r="AR433" s="74"/>
      <c r="AS433" s="74"/>
      <c r="AT433" s="74"/>
      <c r="AU433" s="55" t="str">
        <f t="shared" si="241"/>
        <v/>
      </c>
      <c r="AV433" s="55" t="str">
        <f t="shared" ca="1" si="242"/>
        <v/>
      </c>
      <c r="AW433" s="55" t="str">
        <f t="shared" si="232"/>
        <v/>
      </c>
      <c r="AX433" s="55" t="str">
        <f t="shared" ca="1" si="233"/>
        <v/>
      </c>
      <c r="AY433" s="86"/>
      <c r="AZ433" s="86"/>
      <c r="BA433" s="55" t="str">
        <f t="shared" si="243"/>
        <v/>
      </c>
      <c r="BB433" s="86"/>
      <c r="BC433" s="86"/>
      <c r="BD433" s="55" t="str">
        <f t="shared" si="244"/>
        <v/>
      </c>
      <c r="BE433" s="74"/>
      <c r="BS433" s="118"/>
      <c r="BT433" s="118"/>
      <c r="BU433" s="118"/>
      <c r="BV433" s="118"/>
      <c r="BW433" s="118"/>
      <c r="BX433" s="118"/>
      <c r="BZ433" s="118"/>
      <c r="CB433" s="118"/>
      <c r="CC433" s="118"/>
      <c r="CD433" s="118"/>
    </row>
    <row r="434" spans="1:82" ht="17.399999999999999" customHeight="1">
      <c r="A434" s="72">
        <f t="shared" si="245"/>
        <v>61.4</v>
      </c>
      <c r="B434" s="111">
        <f t="shared" si="226"/>
        <v>424</v>
      </c>
      <c r="C434" s="60"/>
      <c r="D434" s="74"/>
      <c r="E434" s="75"/>
      <c r="F434" s="74"/>
      <c r="G434" s="54">
        <f t="shared" si="252"/>
        <v>0</v>
      </c>
      <c r="H434" s="55">
        <f t="shared" si="252"/>
        <v>0</v>
      </c>
      <c r="I434" s="76">
        <f t="shared" si="235"/>
        <v>0</v>
      </c>
      <c r="J434" s="58">
        <f t="shared" si="236"/>
        <v>0</v>
      </c>
      <c r="K434" s="58">
        <f t="shared" si="237"/>
        <v>0</v>
      </c>
      <c r="L434" s="58">
        <f t="shared" si="238"/>
        <v>0</v>
      </c>
      <c r="M434" s="58" t="str">
        <f t="shared" ca="1" si="239"/>
        <v/>
      </c>
      <c r="N434" s="58" t="str">
        <f t="shared" ca="1" si="239"/>
        <v/>
      </c>
      <c r="O434" s="58">
        <f t="shared" si="240"/>
        <v>5.0000000000000001E-4</v>
      </c>
      <c r="P434" s="77"/>
      <c r="Q434" s="60"/>
      <c r="R434" s="77"/>
      <c r="S434" s="78">
        <f t="shared" si="227"/>
        <v>0</v>
      </c>
      <c r="T434" s="55">
        <f t="shared" si="227"/>
        <v>0</v>
      </c>
      <c r="U434" s="79">
        <f t="shared" si="246"/>
        <v>0</v>
      </c>
      <c r="V434" s="63">
        <f t="shared" si="247"/>
        <v>0</v>
      </c>
      <c r="W434" s="64">
        <f t="shared" si="251"/>
        <v>151</v>
      </c>
      <c r="X434" s="80">
        <f t="shared" si="251"/>
        <v>157</v>
      </c>
      <c r="Y434" s="75"/>
      <c r="Z434" s="60"/>
      <c r="AA434" s="75"/>
      <c r="AB434" s="75"/>
      <c r="AC434" s="75"/>
      <c r="AD434" s="75"/>
      <c r="AE434" s="81">
        <f t="shared" si="228"/>
        <v>0</v>
      </c>
      <c r="AF434" s="55">
        <f t="shared" si="229"/>
        <v>0</v>
      </c>
      <c r="AG434" s="76">
        <f t="shared" si="223"/>
        <v>0</v>
      </c>
      <c r="AH434" s="82">
        <f t="shared" si="224"/>
        <v>0</v>
      </c>
      <c r="AI434" s="83">
        <f t="shared" si="224"/>
        <v>0</v>
      </c>
      <c r="AJ434" s="83">
        <f t="shared" si="224"/>
        <v>0</v>
      </c>
      <c r="AK434" s="58">
        <f t="shared" si="224"/>
        <v>0</v>
      </c>
      <c r="AL434" s="82">
        <f t="shared" si="230"/>
        <v>0</v>
      </c>
      <c r="AM434" s="58">
        <f t="shared" si="231"/>
        <v>0</v>
      </c>
      <c r="AN434" s="74"/>
      <c r="AO434" s="84"/>
      <c r="AP434" s="74"/>
      <c r="AQ434" s="85"/>
      <c r="AR434" s="74"/>
      <c r="AS434" s="74"/>
      <c r="AT434" s="74"/>
      <c r="AU434" s="55" t="str">
        <f t="shared" si="241"/>
        <v/>
      </c>
      <c r="AV434" s="55" t="str">
        <f t="shared" ca="1" si="242"/>
        <v/>
      </c>
      <c r="AW434" s="55" t="str">
        <f t="shared" si="232"/>
        <v/>
      </c>
      <c r="AX434" s="55" t="str">
        <f t="shared" ca="1" si="233"/>
        <v/>
      </c>
      <c r="AY434" s="86"/>
      <c r="AZ434" s="86"/>
      <c r="BA434" s="55" t="str">
        <f t="shared" si="243"/>
        <v/>
      </c>
      <c r="BB434" s="86"/>
      <c r="BC434" s="86"/>
      <c r="BD434" s="55" t="str">
        <f t="shared" si="244"/>
        <v/>
      </c>
      <c r="BE434" s="74"/>
      <c r="BS434" s="118"/>
      <c r="BT434" s="118"/>
      <c r="BU434" s="118"/>
      <c r="BV434" s="118"/>
      <c r="BW434" s="118"/>
      <c r="BX434" s="118"/>
      <c r="BZ434" s="118"/>
      <c r="CB434" s="118"/>
      <c r="CC434" s="118"/>
      <c r="CD434" s="118"/>
    </row>
    <row r="435" spans="1:82" ht="17.399999999999999" customHeight="1">
      <c r="A435" s="87">
        <f t="shared" si="245"/>
        <v>61.5</v>
      </c>
      <c r="B435" s="111">
        <f t="shared" si="226"/>
        <v>425</v>
      </c>
      <c r="C435" s="60"/>
      <c r="D435" s="74"/>
      <c r="E435" s="75"/>
      <c r="F435" s="74"/>
      <c r="G435" s="54">
        <f t="shared" si="252"/>
        <v>0</v>
      </c>
      <c r="H435" s="55">
        <f t="shared" si="252"/>
        <v>0</v>
      </c>
      <c r="I435" s="76">
        <f t="shared" si="235"/>
        <v>0</v>
      </c>
      <c r="J435" s="58">
        <f t="shared" si="236"/>
        <v>0</v>
      </c>
      <c r="K435" s="58">
        <f t="shared" si="237"/>
        <v>0</v>
      </c>
      <c r="L435" s="58">
        <f t="shared" si="238"/>
        <v>0</v>
      </c>
      <c r="M435" s="58" t="str">
        <f t="shared" ca="1" si="239"/>
        <v/>
      </c>
      <c r="N435" s="58" t="str">
        <f t="shared" ca="1" si="239"/>
        <v/>
      </c>
      <c r="O435" s="58">
        <f t="shared" si="240"/>
        <v>5.0000000000000001E-4</v>
      </c>
      <c r="P435" s="77"/>
      <c r="Q435" s="60"/>
      <c r="R435" s="77"/>
      <c r="S435" s="78">
        <f t="shared" si="227"/>
        <v>0</v>
      </c>
      <c r="T435" s="55">
        <f t="shared" si="227"/>
        <v>0</v>
      </c>
      <c r="U435" s="79">
        <f t="shared" si="246"/>
        <v>0</v>
      </c>
      <c r="V435" s="63">
        <f t="shared" si="247"/>
        <v>0</v>
      </c>
      <c r="W435" s="64">
        <f t="shared" si="251"/>
        <v>151</v>
      </c>
      <c r="X435" s="80">
        <f t="shared" si="251"/>
        <v>157</v>
      </c>
      <c r="Y435" s="75"/>
      <c r="Z435" s="60"/>
      <c r="AA435" s="75"/>
      <c r="AB435" s="75"/>
      <c r="AC435" s="75"/>
      <c r="AD435" s="75"/>
      <c r="AE435" s="81">
        <f t="shared" si="228"/>
        <v>0</v>
      </c>
      <c r="AF435" s="55">
        <f t="shared" si="229"/>
        <v>0</v>
      </c>
      <c r="AG435" s="76">
        <f t="shared" si="223"/>
        <v>0</v>
      </c>
      <c r="AH435" s="82">
        <f t="shared" si="224"/>
        <v>0</v>
      </c>
      <c r="AI435" s="83">
        <f t="shared" si="224"/>
        <v>0</v>
      </c>
      <c r="AJ435" s="83">
        <f t="shared" si="224"/>
        <v>0</v>
      </c>
      <c r="AK435" s="58">
        <f t="shared" si="224"/>
        <v>0</v>
      </c>
      <c r="AL435" s="82">
        <f t="shared" si="230"/>
        <v>0</v>
      </c>
      <c r="AM435" s="58">
        <f t="shared" si="231"/>
        <v>0</v>
      </c>
      <c r="AN435" s="74"/>
      <c r="AO435" s="84"/>
      <c r="AP435" s="74"/>
      <c r="AQ435" s="85"/>
      <c r="AR435" s="74"/>
      <c r="AS435" s="74"/>
      <c r="AT435" s="74"/>
      <c r="AU435" s="55" t="str">
        <f t="shared" si="241"/>
        <v/>
      </c>
      <c r="AV435" s="55" t="str">
        <f t="shared" ca="1" si="242"/>
        <v/>
      </c>
      <c r="AW435" s="55" t="str">
        <f t="shared" si="232"/>
        <v/>
      </c>
      <c r="AX435" s="55" t="str">
        <f t="shared" ca="1" si="233"/>
        <v/>
      </c>
      <c r="AY435" s="86"/>
      <c r="AZ435" s="86"/>
      <c r="BA435" s="55" t="str">
        <f t="shared" si="243"/>
        <v/>
      </c>
      <c r="BB435" s="86"/>
      <c r="BC435" s="86"/>
      <c r="BD435" s="55" t="str">
        <f t="shared" si="244"/>
        <v/>
      </c>
      <c r="BE435" s="74"/>
      <c r="BS435" s="118"/>
      <c r="BT435" s="118"/>
      <c r="BU435" s="118"/>
      <c r="BV435" s="118"/>
      <c r="BW435" s="118"/>
      <c r="BX435" s="118"/>
      <c r="BZ435" s="118"/>
      <c r="CB435" s="118"/>
      <c r="CC435" s="118"/>
      <c r="CD435" s="118"/>
    </row>
    <row r="436" spans="1:82" ht="17.399999999999999" customHeight="1">
      <c r="A436" s="72">
        <f t="shared" si="245"/>
        <v>61.6</v>
      </c>
      <c r="B436" s="111">
        <f t="shared" si="226"/>
        <v>426</v>
      </c>
      <c r="C436" s="60"/>
      <c r="D436" s="74"/>
      <c r="E436" s="75"/>
      <c r="F436" s="74"/>
      <c r="G436" s="54">
        <f t="shared" si="252"/>
        <v>0</v>
      </c>
      <c r="H436" s="55">
        <f t="shared" si="252"/>
        <v>0</v>
      </c>
      <c r="I436" s="76">
        <f t="shared" si="235"/>
        <v>0</v>
      </c>
      <c r="J436" s="58">
        <f t="shared" si="236"/>
        <v>0</v>
      </c>
      <c r="K436" s="58">
        <f t="shared" si="237"/>
        <v>0</v>
      </c>
      <c r="L436" s="58">
        <f t="shared" si="238"/>
        <v>0</v>
      </c>
      <c r="M436" s="58" t="str">
        <f t="shared" ca="1" si="239"/>
        <v/>
      </c>
      <c r="N436" s="58" t="str">
        <f t="shared" ca="1" si="239"/>
        <v/>
      </c>
      <c r="O436" s="58">
        <f t="shared" si="240"/>
        <v>5.0000000000000001E-4</v>
      </c>
      <c r="P436" s="77"/>
      <c r="Q436" s="60"/>
      <c r="R436" s="77"/>
      <c r="S436" s="78">
        <f t="shared" si="227"/>
        <v>0</v>
      </c>
      <c r="T436" s="55">
        <f t="shared" si="227"/>
        <v>0</v>
      </c>
      <c r="U436" s="79">
        <f t="shared" si="246"/>
        <v>0</v>
      </c>
      <c r="V436" s="63">
        <f t="shared" si="247"/>
        <v>0</v>
      </c>
      <c r="W436" s="64">
        <f t="shared" si="251"/>
        <v>151</v>
      </c>
      <c r="X436" s="80">
        <f t="shared" si="251"/>
        <v>157</v>
      </c>
      <c r="Y436" s="75"/>
      <c r="Z436" s="60"/>
      <c r="AA436" s="75"/>
      <c r="AB436" s="75"/>
      <c r="AC436" s="75"/>
      <c r="AD436" s="75"/>
      <c r="AE436" s="81">
        <f t="shared" si="228"/>
        <v>0</v>
      </c>
      <c r="AF436" s="55">
        <f t="shared" si="229"/>
        <v>0</v>
      </c>
      <c r="AG436" s="76">
        <f t="shared" si="223"/>
        <v>0</v>
      </c>
      <c r="AH436" s="82">
        <f t="shared" si="224"/>
        <v>0</v>
      </c>
      <c r="AI436" s="83">
        <f t="shared" si="224"/>
        <v>0</v>
      </c>
      <c r="AJ436" s="83">
        <f t="shared" si="224"/>
        <v>0</v>
      </c>
      <c r="AK436" s="58">
        <f t="shared" si="224"/>
        <v>0</v>
      </c>
      <c r="AL436" s="82">
        <f t="shared" si="230"/>
        <v>0</v>
      </c>
      <c r="AM436" s="58">
        <f t="shared" si="231"/>
        <v>0</v>
      </c>
      <c r="AN436" s="74"/>
      <c r="AO436" s="84"/>
      <c r="AP436" s="74"/>
      <c r="AQ436" s="85"/>
      <c r="AR436" s="74"/>
      <c r="AS436" s="74"/>
      <c r="AT436" s="74"/>
      <c r="AU436" s="55" t="str">
        <f t="shared" si="241"/>
        <v/>
      </c>
      <c r="AV436" s="55" t="str">
        <f t="shared" ca="1" si="242"/>
        <v/>
      </c>
      <c r="AW436" s="55" t="str">
        <f t="shared" si="232"/>
        <v/>
      </c>
      <c r="AX436" s="55" t="str">
        <f t="shared" ca="1" si="233"/>
        <v/>
      </c>
      <c r="AY436" s="86"/>
      <c r="AZ436" s="86"/>
      <c r="BA436" s="55" t="str">
        <f t="shared" si="243"/>
        <v/>
      </c>
      <c r="BB436" s="86"/>
      <c r="BC436" s="86"/>
      <c r="BD436" s="55" t="str">
        <f t="shared" si="244"/>
        <v/>
      </c>
      <c r="BE436" s="74"/>
      <c r="BS436" s="118"/>
      <c r="BT436" s="118"/>
      <c r="BU436" s="118"/>
      <c r="BV436" s="118"/>
      <c r="BW436" s="118"/>
      <c r="BX436" s="118"/>
      <c r="BZ436" s="118"/>
      <c r="CB436" s="118"/>
      <c r="CC436" s="118"/>
      <c r="CD436" s="118"/>
    </row>
    <row r="437" spans="1:82" ht="17.399999999999999" customHeight="1" thickBot="1">
      <c r="A437" s="87">
        <f t="shared" si="245"/>
        <v>61.7</v>
      </c>
      <c r="B437" s="113">
        <f t="shared" si="226"/>
        <v>427</v>
      </c>
      <c r="C437" s="89"/>
      <c r="D437" s="90"/>
      <c r="E437" s="91"/>
      <c r="F437" s="90"/>
      <c r="G437" s="92">
        <f t="shared" si="252"/>
        <v>0</v>
      </c>
      <c r="H437" s="93">
        <f t="shared" si="252"/>
        <v>0</v>
      </c>
      <c r="I437" s="94">
        <f t="shared" si="235"/>
        <v>0</v>
      </c>
      <c r="J437" s="95">
        <f t="shared" si="236"/>
        <v>0</v>
      </c>
      <c r="K437" s="95">
        <f t="shared" si="237"/>
        <v>0</v>
      </c>
      <c r="L437" s="95">
        <f t="shared" si="238"/>
        <v>0</v>
      </c>
      <c r="M437" s="95" t="str">
        <f t="shared" ca="1" si="239"/>
        <v/>
      </c>
      <c r="N437" s="95" t="str">
        <f t="shared" ca="1" si="239"/>
        <v/>
      </c>
      <c r="O437" s="95">
        <f t="shared" si="240"/>
        <v>5.0000000000000001E-4</v>
      </c>
      <c r="P437" s="96"/>
      <c r="Q437" s="89"/>
      <c r="R437" s="96"/>
      <c r="S437" s="78">
        <f t="shared" si="227"/>
        <v>0</v>
      </c>
      <c r="T437" s="55">
        <f t="shared" si="227"/>
        <v>0</v>
      </c>
      <c r="U437" s="97">
        <f t="shared" si="246"/>
        <v>0</v>
      </c>
      <c r="V437" s="98">
        <f t="shared" si="247"/>
        <v>0</v>
      </c>
      <c r="W437" s="99">
        <f t="shared" si="251"/>
        <v>151</v>
      </c>
      <c r="X437" s="100">
        <f t="shared" si="251"/>
        <v>157</v>
      </c>
      <c r="Y437" s="91"/>
      <c r="Z437" s="60"/>
      <c r="AA437" s="75"/>
      <c r="AB437" s="75"/>
      <c r="AC437" s="75"/>
      <c r="AD437" s="75"/>
      <c r="AE437" s="101">
        <f t="shared" si="228"/>
        <v>0</v>
      </c>
      <c r="AF437" s="93">
        <f t="shared" si="229"/>
        <v>0</v>
      </c>
      <c r="AG437" s="94">
        <f t="shared" si="223"/>
        <v>0</v>
      </c>
      <c r="AH437" s="102">
        <f t="shared" si="224"/>
        <v>0</v>
      </c>
      <c r="AI437" s="103">
        <f t="shared" si="224"/>
        <v>0</v>
      </c>
      <c r="AJ437" s="103">
        <f t="shared" si="224"/>
        <v>0</v>
      </c>
      <c r="AK437" s="95">
        <f t="shared" si="224"/>
        <v>0</v>
      </c>
      <c r="AL437" s="102">
        <f t="shared" si="230"/>
        <v>0</v>
      </c>
      <c r="AM437" s="95">
        <f t="shared" si="231"/>
        <v>0</v>
      </c>
      <c r="AN437" s="90"/>
      <c r="AO437" s="104"/>
      <c r="AP437" s="90"/>
      <c r="AQ437" s="105"/>
      <c r="AR437" s="90"/>
      <c r="AS437" s="90"/>
      <c r="AT437" s="90"/>
      <c r="AU437" s="93" t="str">
        <f t="shared" si="241"/>
        <v/>
      </c>
      <c r="AV437" s="93" t="str">
        <f t="shared" ca="1" si="242"/>
        <v/>
      </c>
      <c r="AW437" s="93" t="str">
        <f t="shared" si="232"/>
        <v/>
      </c>
      <c r="AX437" s="93" t="str">
        <f t="shared" ca="1" si="233"/>
        <v/>
      </c>
      <c r="AY437" s="106"/>
      <c r="AZ437" s="106"/>
      <c r="BA437" s="93" t="str">
        <f t="shared" si="243"/>
        <v/>
      </c>
      <c r="BB437" s="106"/>
      <c r="BC437" s="106"/>
      <c r="BD437" s="93" t="str">
        <f t="shared" si="244"/>
        <v/>
      </c>
      <c r="BE437" s="90"/>
      <c r="BS437" s="118"/>
      <c r="BT437" s="118"/>
      <c r="BU437" s="118"/>
      <c r="BV437" s="118"/>
      <c r="BW437" s="118"/>
      <c r="BX437" s="118"/>
      <c r="BZ437" s="118"/>
      <c r="CB437" s="118"/>
      <c r="CC437" s="118"/>
      <c r="CD437" s="118"/>
    </row>
    <row r="438" spans="1:82" ht="17.399999999999999" customHeight="1" thickTop="1">
      <c r="A438" s="107">
        <f>A431+1</f>
        <v>62.1</v>
      </c>
      <c r="B438" s="108">
        <f>B437+1</f>
        <v>428</v>
      </c>
      <c r="C438" s="51"/>
      <c r="D438" s="52"/>
      <c r="E438" s="53"/>
      <c r="F438" s="52"/>
      <c r="G438" s="54">
        <f t="shared" si="252"/>
        <v>0</v>
      </c>
      <c r="H438" s="55">
        <f t="shared" si="252"/>
        <v>0</v>
      </c>
      <c r="I438" s="56">
        <f t="shared" si="235"/>
        <v>0</v>
      </c>
      <c r="J438" s="57">
        <f t="shared" si="236"/>
        <v>0</v>
      </c>
      <c r="K438" s="57">
        <f t="shared" si="237"/>
        <v>0</v>
      </c>
      <c r="L438" s="57">
        <f t="shared" si="238"/>
        <v>0</v>
      </c>
      <c r="M438" s="58" t="str">
        <f t="shared" ca="1" si="239"/>
        <v/>
      </c>
      <c r="N438" s="58" t="str">
        <f t="shared" ca="1" si="239"/>
        <v/>
      </c>
      <c r="O438" s="58">
        <f t="shared" si="240"/>
        <v>5.0000000000000001E-4</v>
      </c>
      <c r="P438" s="77"/>
      <c r="Q438" s="60"/>
      <c r="R438" s="77"/>
      <c r="S438" s="109">
        <f t="shared" si="227"/>
        <v>0</v>
      </c>
      <c r="T438" s="61">
        <f t="shared" si="227"/>
        <v>0</v>
      </c>
      <c r="U438" s="62">
        <f t="shared" si="246"/>
        <v>0</v>
      </c>
      <c r="V438" s="63">
        <f t="shared" si="247"/>
        <v>0</v>
      </c>
      <c r="W438" s="64">
        <v>152</v>
      </c>
      <c r="X438" s="80">
        <v>156</v>
      </c>
      <c r="Y438" s="53"/>
      <c r="Z438" s="51"/>
      <c r="AA438" s="53"/>
      <c r="AB438" s="53"/>
      <c r="AC438" s="53"/>
      <c r="AD438" s="53"/>
      <c r="AE438" s="66">
        <f t="shared" si="228"/>
        <v>0</v>
      </c>
      <c r="AF438" s="61">
        <f t="shared" si="229"/>
        <v>0</v>
      </c>
      <c r="AG438" s="56">
        <f t="shared" si="223"/>
        <v>0</v>
      </c>
      <c r="AH438" s="67">
        <f t="shared" si="224"/>
        <v>0</v>
      </c>
      <c r="AI438" s="68">
        <f t="shared" si="224"/>
        <v>0</v>
      </c>
      <c r="AJ438" s="68">
        <f t="shared" si="224"/>
        <v>0</v>
      </c>
      <c r="AK438" s="57">
        <f t="shared" si="224"/>
        <v>0</v>
      </c>
      <c r="AL438" s="67">
        <f t="shared" si="230"/>
        <v>0</v>
      </c>
      <c r="AM438" s="57">
        <f t="shared" si="231"/>
        <v>0</v>
      </c>
      <c r="AN438" s="52"/>
      <c r="AO438" s="69"/>
      <c r="AP438" s="52"/>
      <c r="AQ438" s="70"/>
      <c r="AR438" s="52"/>
      <c r="AS438" s="52"/>
      <c r="AT438" s="52"/>
      <c r="AU438" s="61" t="str">
        <f t="shared" si="241"/>
        <v/>
      </c>
      <c r="AV438" s="61" t="str">
        <f t="shared" ca="1" si="242"/>
        <v/>
      </c>
      <c r="AW438" s="61" t="str">
        <f t="shared" si="232"/>
        <v/>
      </c>
      <c r="AX438" s="61" t="str">
        <f t="shared" ca="1" si="233"/>
        <v/>
      </c>
      <c r="AY438" s="71"/>
      <c r="AZ438" s="71"/>
      <c r="BA438" s="61" t="str">
        <f t="shared" si="243"/>
        <v/>
      </c>
      <c r="BB438" s="71"/>
      <c r="BC438" s="71"/>
      <c r="BD438" s="61" t="str">
        <f t="shared" si="244"/>
        <v/>
      </c>
      <c r="BE438" s="52"/>
      <c r="BS438" s="118"/>
      <c r="BT438" s="118"/>
      <c r="BU438" s="118"/>
      <c r="BV438" s="118"/>
      <c r="BW438" s="118"/>
      <c r="BX438" s="118"/>
      <c r="BZ438" s="118"/>
      <c r="CB438" s="118"/>
      <c r="CC438" s="118"/>
      <c r="CD438" s="118"/>
    </row>
    <row r="439" spans="1:82" ht="17.399999999999999" customHeight="1">
      <c r="A439" s="87">
        <f t="shared" si="245"/>
        <v>62.2</v>
      </c>
      <c r="B439" s="111">
        <f t="shared" si="226"/>
        <v>429</v>
      </c>
      <c r="C439" s="60"/>
      <c r="D439" s="74"/>
      <c r="E439" s="75"/>
      <c r="F439" s="74"/>
      <c r="G439" s="54">
        <f t="shared" si="252"/>
        <v>0</v>
      </c>
      <c r="H439" s="55">
        <f t="shared" si="252"/>
        <v>0</v>
      </c>
      <c r="I439" s="76">
        <f t="shared" si="235"/>
        <v>0</v>
      </c>
      <c r="J439" s="58">
        <f t="shared" si="236"/>
        <v>0</v>
      </c>
      <c r="K439" s="58">
        <f t="shared" si="237"/>
        <v>0</v>
      </c>
      <c r="L439" s="58">
        <f t="shared" si="238"/>
        <v>0</v>
      </c>
      <c r="M439" s="58" t="str">
        <f t="shared" ca="1" si="239"/>
        <v/>
      </c>
      <c r="N439" s="58" t="str">
        <f t="shared" ca="1" si="239"/>
        <v/>
      </c>
      <c r="O439" s="58">
        <f t="shared" si="240"/>
        <v>5.0000000000000001E-4</v>
      </c>
      <c r="P439" s="77"/>
      <c r="Q439" s="60"/>
      <c r="R439" s="77"/>
      <c r="S439" s="78">
        <f t="shared" si="227"/>
        <v>0</v>
      </c>
      <c r="T439" s="55">
        <f t="shared" si="227"/>
        <v>0</v>
      </c>
      <c r="U439" s="79">
        <f t="shared" si="246"/>
        <v>0</v>
      </c>
      <c r="V439" s="63">
        <f t="shared" si="247"/>
        <v>0</v>
      </c>
      <c r="W439" s="64">
        <f t="shared" ref="W439:X454" si="253">W438</f>
        <v>152</v>
      </c>
      <c r="X439" s="80">
        <f t="shared" si="253"/>
        <v>156</v>
      </c>
      <c r="Y439" s="75"/>
      <c r="Z439" s="60"/>
      <c r="AA439" s="75"/>
      <c r="AB439" s="75"/>
      <c r="AC439" s="75"/>
      <c r="AD439" s="75"/>
      <c r="AE439" s="81">
        <f t="shared" si="228"/>
        <v>0</v>
      </c>
      <c r="AF439" s="55">
        <f t="shared" si="229"/>
        <v>0</v>
      </c>
      <c r="AG439" s="76">
        <f t="shared" si="223"/>
        <v>0</v>
      </c>
      <c r="AH439" s="82">
        <f t="shared" si="224"/>
        <v>0</v>
      </c>
      <c r="AI439" s="83">
        <f t="shared" si="224"/>
        <v>0</v>
      </c>
      <c r="AJ439" s="83">
        <f t="shared" si="224"/>
        <v>0</v>
      </c>
      <c r="AK439" s="58">
        <f t="shared" si="224"/>
        <v>0</v>
      </c>
      <c r="AL439" s="82">
        <f t="shared" si="230"/>
        <v>0</v>
      </c>
      <c r="AM439" s="58">
        <f t="shared" si="231"/>
        <v>0</v>
      </c>
      <c r="AN439" s="74"/>
      <c r="AO439" s="84"/>
      <c r="AP439" s="74"/>
      <c r="AQ439" s="85"/>
      <c r="AR439" s="74"/>
      <c r="AS439" s="74"/>
      <c r="AT439" s="74"/>
      <c r="AU439" s="55" t="str">
        <f t="shared" si="241"/>
        <v/>
      </c>
      <c r="AV439" s="55" t="str">
        <f t="shared" ca="1" si="242"/>
        <v/>
      </c>
      <c r="AW439" s="55" t="str">
        <f t="shared" si="232"/>
        <v/>
      </c>
      <c r="AX439" s="55" t="str">
        <f t="shared" ca="1" si="233"/>
        <v/>
      </c>
      <c r="AY439" s="86"/>
      <c r="AZ439" s="86"/>
      <c r="BA439" s="55" t="str">
        <f t="shared" si="243"/>
        <v/>
      </c>
      <c r="BB439" s="86"/>
      <c r="BC439" s="86"/>
      <c r="BD439" s="55" t="str">
        <f t="shared" si="244"/>
        <v/>
      </c>
      <c r="BE439" s="74"/>
      <c r="BS439" s="118"/>
      <c r="BT439" s="118"/>
      <c r="BU439" s="118"/>
      <c r="BV439" s="118"/>
      <c r="BW439" s="118"/>
      <c r="BX439" s="118"/>
      <c r="BZ439" s="118"/>
      <c r="CB439" s="118"/>
      <c r="CC439" s="118"/>
      <c r="CD439" s="118"/>
    </row>
    <row r="440" spans="1:82" ht="17.399999999999999" customHeight="1">
      <c r="A440" s="72">
        <f t="shared" si="245"/>
        <v>62.3</v>
      </c>
      <c r="B440" s="111">
        <f t="shared" si="226"/>
        <v>430</v>
      </c>
      <c r="C440" s="60"/>
      <c r="D440" s="74"/>
      <c r="E440" s="75"/>
      <c r="F440" s="74"/>
      <c r="G440" s="54">
        <f t="shared" si="252"/>
        <v>0</v>
      </c>
      <c r="H440" s="55">
        <f t="shared" si="252"/>
        <v>0</v>
      </c>
      <c r="I440" s="76">
        <f t="shared" si="235"/>
        <v>0</v>
      </c>
      <c r="J440" s="58">
        <f t="shared" si="236"/>
        <v>0</v>
      </c>
      <c r="K440" s="58">
        <f t="shared" si="237"/>
        <v>0</v>
      </c>
      <c r="L440" s="58">
        <f t="shared" si="238"/>
        <v>0</v>
      </c>
      <c r="M440" s="58" t="str">
        <f t="shared" ca="1" si="239"/>
        <v/>
      </c>
      <c r="N440" s="58" t="str">
        <f t="shared" ca="1" si="239"/>
        <v/>
      </c>
      <c r="O440" s="58">
        <f t="shared" si="240"/>
        <v>5.0000000000000001E-4</v>
      </c>
      <c r="P440" s="77"/>
      <c r="Q440" s="60"/>
      <c r="R440" s="77"/>
      <c r="S440" s="78">
        <f t="shared" si="227"/>
        <v>0</v>
      </c>
      <c r="T440" s="55">
        <f t="shared" si="227"/>
        <v>0</v>
      </c>
      <c r="U440" s="79">
        <f t="shared" si="246"/>
        <v>0</v>
      </c>
      <c r="V440" s="63">
        <f t="shared" si="247"/>
        <v>0</v>
      </c>
      <c r="W440" s="64">
        <f t="shared" si="253"/>
        <v>152</v>
      </c>
      <c r="X440" s="80">
        <f t="shared" si="253"/>
        <v>156</v>
      </c>
      <c r="Y440" s="75"/>
      <c r="Z440" s="60"/>
      <c r="AA440" s="75"/>
      <c r="AB440" s="75"/>
      <c r="AC440" s="75"/>
      <c r="AD440" s="75"/>
      <c r="AE440" s="81">
        <f t="shared" si="228"/>
        <v>0</v>
      </c>
      <c r="AF440" s="55">
        <f t="shared" si="229"/>
        <v>0</v>
      </c>
      <c r="AG440" s="76">
        <f t="shared" si="223"/>
        <v>0</v>
      </c>
      <c r="AH440" s="82">
        <f t="shared" si="224"/>
        <v>0</v>
      </c>
      <c r="AI440" s="83">
        <f t="shared" si="224"/>
        <v>0</v>
      </c>
      <c r="AJ440" s="83">
        <f t="shared" si="224"/>
        <v>0</v>
      </c>
      <c r="AK440" s="58">
        <f t="shared" si="224"/>
        <v>0</v>
      </c>
      <c r="AL440" s="82">
        <f t="shared" si="230"/>
        <v>0</v>
      </c>
      <c r="AM440" s="58">
        <f t="shared" si="231"/>
        <v>0</v>
      </c>
      <c r="AN440" s="74"/>
      <c r="AO440" s="84"/>
      <c r="AP440" s="74"/>
      <c r="AQ440" s="85"/>
      <c r="AR440" s="74"/>
      <c r="AS440" s="74"/>
      <c r="AT440" s="74"/>
      <c r="AU440" s="55" t="str">
        <f t="shared" si="241"/>
        <v/>
      </c>
      <c r="AV440" s="55" t="str">
        <f t="shared" ca="1" si="242"/>
        <v/>
      </c>
      <c r="AW440" s="55" t="str">
        <f t="shared" si="232"/>
        <v/>
      </c>
      <c r="AX440" s="55" t="str">
        <f t="shared" ca="1" si="233"/>
        <v/>
      </c>
      <c r="AY440" s="86"/>
      <c r="AZ440" s="86"/>
      <c r="BA440" s="55" t="str">
        <f t="shared" si="243"/>
        <v/>
      </c>
      <c r="BB440" s="86"/>
      <c r="BC440" s="86"/>
      <c r="BD440" s="55" t="str">
        <f t="shared" si="244"/>
        <v/>
      </c>
      <c r="BE440" s="74"/>
      <c r="BS440" s="118"/>
      <c r="BT440" s="118"/>
      <c r="BU440" s="118"/>
      <c r="BV440" s="118"/>
      <c r="BW440" s="118"/>
      <c r="BX440" s="118"/>
      <c r="BZ440" s="118"/>
      <c r="CB440" s="118"/>
      <c r="CC440" s="118"/>
      <c r="CD440" s="118"/>
    </row>
    <row r="441" spans="1:82" ht="17.399999999999999" customHeight="1">
      <c r="A441" s="87">
        <f t="shared" si="245"/>
        <v>62.4</v>
      </c>
      <c r="B441" s="111">
        <f t="shared" si="226"/>
        <v>431</v>
      </c>
      <c r="C441" s="60"/>
      <c r="D441" s="74"/>
      <c r="E441" s="75"/>
      <c r="F441" s="74"/>
      <c r="G441" s="54">
        <f t="shared" si="252"/>
        <v>0</v>
      </c>
      <c r="H441" s="55">
        <f t="shared" si="252"/>
        <v>0</v>
      </c>
      <c r="I441" s="76">
        <f t="shared" si="235"/>
        <v>0</v>
      </c>
      <c r="J441" s="58">
        <f t="shared" si="236"/>
        <v>0</v>
      </c>
      <c r="K441" s="58">
        <f t="shared" si="237"/>
        <v>0</v>
      </c>
      <c r="L441" s="58">
        <f t="shared" si="238"/>
        <v>0</v>
      </c>
      <c r="M441" s="58" t="str">
        <f t="shared" ca="1" si="239"/>
        <v/>
      </c>
      <c r="N441" s="58" t="str">
        <f t="shared" ca="1" si="239"/>
        <v/>
      </c>
      <c r="O441" s="58">
        <f t="shared" si="240"/>
        <v>5.0000000000000001E-4</v>
      </c>
      <c r="P441" s="77"/>
      <c r="Q441" s="60"/>
      <c r="R441" s="77"/>
      <c r="S441" s="78">
        <f t="shared" si="227"/>
        <v>0</v>
      </c>
      <c r="T441" s="55">
        <f t="shared" si="227"/>
        <v>0</v>
      </c>
      <c r="U441" s="79">
        <f t="shared" si="246"/>
        <v>0</v>
      </c>
      <c r="V441" s="63">
        <f t="shared" si="247"/>
        <v>0</v>
      </c>
      <c r="W441" s="64">
        <f t="shared" si="253"/>
        <v>152</v>
      </c>
      <c r="X441" s="80">
        <f t="shared" si="253"/>
        <v>156</v>
      </c>
      <c r="Y441" s="75"/>
      <c r="Z441" s="60"/>
      <c r="AA441" s="75"/>
      <c r="AB441" s="75"/>
      <c r="AC441" s="75"/>
      <c r="AD441" s="75"/>
      <c r="AE441" s="81">
        <f t="shared" si="228"/>
        <v>0</v>
      </c>
      <c r="AF441" s="55">
        <f t="shared" si="229"/>
        <v>0</v>
      </c>
      <c r="AG441" s="76">
        <f t="shared" si="223"/>
        <v>0</v>
      </c>
      <c r="AH441" s="82">
        <f t="shared" si="224"/>
        <v>0</v>
      </c>
      <c r="AI441" s="83">
        <f t="shared" si="224"/>
        <v>0</v>
      </c>
      <c r="AJ441" s="83">
        <f t="shared" si="224"/>
        <v>0</v>
      </c>
      <c r="AK441" s="58">
        <f t="shared" si="224"/>
        <v>0</v>
      </c>
      <c r="AL441" s="82">
        <f t="shared" si="230"/>
        <v>0</v>
      </c>
      <c r="AM441" s="58">
        <f t="shared" si="231"/>
        <v>0</v>
      </c>
      <c r="AN441" s="74"/>
      <c r="AO441" s="84"/>
      <c r="AP441" s="74"/>
      <c r="AQ441" s="85"/>
      <c r="AR441" s="74"/>
      <c r="AS441" s="74"/>
      <c r="AT441" s="74"/>
      <c r="AU441" s="55" t="str">
        <f t="shared" si="241"/>
        <v/>
      </c>
      <c r="AV441" s="55" t="str">
        <f t="shared" ca="1" si="242"/>
        <v/>
      </c>
      <c r="AW441" s="55" t="str">
        <f t="shared" si="232"/>
        <v/>
      </c>
      <c r="AX441" s="55" t="str">
        <f t="shared" ca="1" si="233"/>
        <v/>
      </c>
      <c r="AY441" s="86"/>
      <c r="AZ441" s="86"/>
      <c r="BA441" s="55" t="str">
        <f t="shared" si="243"/>
        <v/>
      </c>
      <c r="BB441" s="86"/>
      <c r="BC441" s="86"/>
      <c r="BD441" s="55" t="str">
        <f t="shared" si="244"/>
        <v/>
      </c>
      <c r="BE441" s="74"/>
      <c r="BS441" s="118"/>
      <c r="BT441" s="118"/>
      <c r="BU441" s="118"/>
      <c r="BV441" s="118"/>
      <c r="BW441" s="118"/>
      <c r="BX441" s="118"/>
      <c r="BZ441" s="118"/>
      <c r="CB441" s="118"/>
      <c r="CC441" s="118"/>
      <c r="CD441" s="118"/>
    </row>
    <row r="442" spans="1:82" ht="17.399999999999999" customHeight="1">
      <c r="A442" s="72">
        <f t="shared" si="245"/>
        <v>62.5</v>
      </c>
      <c r="B442" s="111">
        <f t="shared" si="226"/>
        <v>432</v>
      </c>
      <c r="C442" s="60"/>
      <c r="D442" s="74"/>
      <c r="E442" s="75"/>
      <c r="F442" s="74"/>
      <c r="G442" s="54">
        <f t="shared" si="252"/>
        <v>0</v>
      </c>
      <c r="H442" s="55">
        <f t="shared" si="252"/>
        <v>0</v>
      </c>
      <c r="I442" s="76">
        <f t="shared" si="235"/>
        <v>0</v>
      </c>
      <c r="J442" s="58">
        <f t="shared" si="236"/>
        <v>0</v>
      </c>
      <c r="K442" s="58">
        <f t="shared" si="237"/>
        <v>0</v>
      </c>
      <c r="L442" s="58">
        <f t="shared" si="238"/>
        <v>0</v>
      </c>
      <c r="M442" s="58" t="str">
        <f t="shared" ca="1" si="239"/>
        <v/>
      </c>
      <c r="N442" s="58" t="str">
        <f t="shared" ca="1" si="239"/>
        <v/>
      </c>
      <c r="O442" s="58">
        <f t="shared" si="240"/>
        <v>5.0000000000000001E-4</v>
      </c>
      <c r="P442" s="77"/>
      <c r="Q442" s="60"/>
      <c r="R442" s="77"/>
      <c r="S442" s="78">
        <f t="shared" si="227"/>
        <v>0</v>
      </c>
      <c r="T442" s="55">
        <f t="shared" si="227"/>
        <v>0</v>
      </c>
      <c r="U442" s="79">
        <f t="shared" si="246"/>
        <v>0</v>
      </c>
      <c r="V442" s="63">
        <f t="shared" si="247"/>
        <v>0</v>
      </c>
      <c r="W442" s="64">
        <f t="shared" si="253"/>
        <v>152</v>
      </c>
      <c r="X442" s="80">
        <f t="shared" si="253"/>
        <v>156</v>
      </c>
      <c r="Y442" s="75"/>
      <c r="Z442" s="60"/>
      <c r="AA442" s="75"/>
      <c r="AB442" s="75"/>
      <c r="AC442" s="75"/>
      <c r="AD442" s="75"/>
      <c r="AE442" s="81">
        <f t="shared" si="228"/>
        <v>0</v>
      </c>
      <c r="AF442" s="55">
        <f t="shared" si="229"/>
        <v>0</v>
      </c>
      <c r="AG442" s="76">
        <f t="shared" si="223"/>
        <v>0</v>
      </c>
      <c r="AH442" s="82">
        <f t="shared" si="224"/>
        <v>0</v>
      </c>
      <c r="AI442" s="83">
        <f t="shared" si="224"/>
        <v>0</v>
      </c>
      <c r="AJ442" s="83">
        <f t="shared" si="224"/>
        <v>0</v>
      </c>
      <c r="AK442" s="58">
        <f t="shared" si="224"/>
        <v>0</v>
      </c>
      <c r="AL442" s="82">
        <f t="shared" si="230"/>
        <v>0</v>
      </c>
      <c r="AM442" s="58">
        <f t="shared" si="231"/>
        <v>0</v>
      </c>
      <c r="AN442" s="74"/>
      <c r="AO442" s="84"/>
      <c r="AP442" s="74"/>
      <c r="AQ442" s="85"/>
      <c r="AR442" s="74"/>
      <c r="AS442" s="74"/>
      <c r="AT442" s="74"/>
      <c r="AU442" s="55" t="str">
        <f t="shared" si="241"/>
        <v/>
      </c>
      <c r="AV442" s="55" t="str">
        <f t="shared" ca="1" si="242"/>
        <v/>
      </c>
      <c r="AW442" s="55" t="str">
        <f t="shared" si="232"/>
        <v/>
      </c>
      <c r="AX442" s="55" t="str">
        <f t="shared" ca="1" si="233"/>
        <v/>
      </c>
      <c r="AY442" s="86"/>
      <c r="AZ442" s="86"/>
      <c r="BA442" s="55" t="str">
        <f t="shared" si="243"/>
        <v/>
      </c>
      <c r="BB442" s="86"/>
      <c r="BC442" s="86"/>
      <c r="BD442" s="55" t="str">
        <f t="shared" si="244"/>
        <v/>
      </c>
      <c r="BE442" s="74"/>
      <c r="BS442" s="118"/>
      <c r="BT442" s="118"/>
      <c r="BU442" s="118"/>
      <c r="BV442" s="118"/>
      <c r="BW442" s="118"/>
      <c r="BX442" s="118"/>
      <c r="BZ442" s="118"/>
      <c r="CB442" s="118"/>
      <c r="CC442" s="118"/>
      <c r="CD442" s="118"/>
    </row>
    <row r="443" spans="1:82" ht="17.399999999999999" customHeight="1">
      <c r="A443" s="87">
        <f t="shared" si="245"/>
        <v>62.6</v>
      </c>
      <c r="B443" s="111">
        <f t="shared" si="226"/>
        <v>433</v>
      </c>
      <c r="C443" s="60"/>
      <c r="D443" s="74"/>
      <c r="E443" s="75"/>
      <c r="F443" s="74"/>
      <c r="G443" s="54">
        <f t="shared" si="252"/>
        <v>0</v>
      </c>
      <c r="H443" s="55">
        <f t="shared" si="252"/>
        <v>0</v>
      </c>
      <c r="I443" s="76">
        <f t="shared" si="235"/>
        <v>0</v>
      </c>
      <c r="J443" s="58">
        <f t="shared" si="236"/>
        <v>0</v>
      </c>
      <c r="K443" s="58">
        <f t="shared" si="237"/>
        <v>0</v>
      </c>
      <c r="L443" s="58">
        <f t="shared" si="238"/>
        <v>0</v>
      </c>
      <c r="M443" s="58" t="str">
        <f t="shared" ca="1" si="239"/>
        <v/>
      </c>
      <c r="N443" s="58" t="str">
        <f t="shared" ca="1" si="239"/>
        <v/>
      </c>
      <c r="O443" s="58">
        <f t="shared" si="240"/>
        <v>5.0000000000000001E-4</v>
      </c>
      <c r="P443" s="77"/>
      <c r="Q443" s="60"/>
      <c r="R443" s="77"/>
      <c r="S443" s="78">
        <f t="shared" si="227"/>
        <v>0</v>
      </c>
      <c r="T443" s="55">
        <f t="shared" si="227"/>
        <v>0</v>
      </c>
      <c r="U443" s="79">
        <f t="shared" si="246"/>
        <v>0</v>
      </c>
      <c r="V443" s="63">
        <f t="shared" si="247"/>
        <v>0</v>
      </c>
      <c r="W443" s="64">
        <f t="shared" si="253"/>
        <v>152</v>
      </c>
      <c r="X443" s="80">
        <f t="shared" si="253"/>
        <v>156</v>
      </c>
      <c r="Y443" s="75"/>
      <c r="Z443" s="60"/>
      <c r="AA443" s="75"/>
      <c r="AB443" s="75"/>
      <c r="AC443" s="75"/>
      <c r="AD443" s="75"/>
      <c r="AE443" s="81">
        <f t="shared" si="228"/>
        <v>0</v>
      </c>
      <c r="AF443" s="55">
        <f t="shared" si="229"/>
        <v>0</v>
      </c>
      <c r="AG443" s="76">
        <f t="shared" si="223"/>
        <v>0</v>
      </c>
      <c r="AH443" s="82">
        <f t="shared" si="224"/>
        <v>0</v>
      </c>
      <c r="AI443" s="83">
        <f t="shared" si="224"/>
        <v>0</v>
      </c>
      <c r="AJ443" s="83">
        <f t="shared" si="224"/>
        <v>0</v>
      </c>
      <c r="AK443" s="58">
        <f t="shared" si="224"/>
        <v>0</v>
      </c>
      <c r="AL443" s="82">
        <f t="shared" si="230"/>
        <v>0</v>
      </c>
      <c r="AM443" s="58">
        <f t="shared" si="231"/>
        <v>0</v>
      </c>
      <c r="AN443" s="74"/>
      <c r="AO443" s="84"/>
      <c r="AP443" s="74"/>
      <c r="AQ443" s="85"/>
      <c r="AR443" s="74"/>
      <c r="AS443" s="74"/>
      <c r="AT443" s="74"/>
      <c r="AU443" s="55" t="str">
        <f t="shared" si="241"/>
        <v/>
      </c>
      <c r="AV443" s="55" t="str">
        <f t="shared" ca="1" si="242"/>
        <v/>
      </c>
      <c r="AW443" s="55" t="str">
        <f t="shared" si="232"/>
        <v/>
      </c>
      <c r="AX443" s="55" t="str">
        <f t="shared" ca="1" si="233"/>
        <v/>
      </c>
      <c r="AY443" s="86"/>
      <c r="AZ443" s="86"/>
      <c r="BA443" s="55" t="str">
        <f t="shared" si="243"/>
        <v/>
      </c>
      <c r="BB443" s="86"/>
      <c r="BC443" s="86"/>
      <c r="BD443" s="55" t="str">
        <f t="shared" si="244"/>
        <v/>
      </c>
      <c r="BE443" s="74"/>
      <c r="BS443" s="118"/>
      <c r="BT443" s="118"/>
      <c r="BU443" s="118"/>
      <c r="BV443" s="118"/>
      <c r="BW443" s="118"/>
      <c r="BX443" s="118"/>
      <c r="BZ443" s="118"/>
      <c r="CB443" s="118"/>
      <c r="CC443" s="118"/>
      <c r="CD443" s="118"/>
    </row>
    <row r="444" spans="1:82" ht="17.399999999999999" customHeight="1" thickBot="1">
      <c r="A444" s="72">
        <f t="shared" si="245"/>
        <v>62.7</v>
      </c>
      <c r="B444" s="113">
        <f t="shared" si="226"/>
        <v>434</v>
      </c>
      <c r="C444" s="89"/>
      <c r="D444" s="90"/>
      <c r="E444" s="91"/>
      <c r="F444" s="90"/>
      <c r="G444" s="92">
        <f t="shared" ref="G444:H459" si="254">G443-E444-C444</f>
        <v>0</v>
      </c>
      <c r="H444" s="93">
        <f t="shared" si="254"/>
        <v>0</v>
      </c>
      <c r="I444" s="94">
        <f t="shared" si="235"/>
        <v>0</v>
      </c>
      <c r="J444" s="95">
        <f t="shared" si="236"/>
        <v>0</v>
      </c>
      <c r="K444" s="95">
        <f t="shared" si="237"/>
        <v>0</v>
      </c>
      <c r="L444" s="95">
        <f t="shared" si="238"/>
        <v>0</v>
      </c>
      <c r="M444" s="95" t="str">
        <f t="shared" ca="1" si="239"/>
        <v/>
      </c>
      <c r="N444" s="95" t="str">
        <f t="shared" ca="1" si="239"/>
        <v/>
      </c>
      <c r="O444" s="95">
        <f t="shared" si="240"/>
        <v>5.0000000000000001E-4</v>
      </c>
      <c r="P444" s="96"/>
      <c r="Q444" s="89"/>
      <c r="R444" s="96"/>
      <c r="S444" s="78">
        <f t="shared" si="227"/>
        <v>0</v>
      </c>
      <c r="T444" s="55">
        <f t="shared" si="227"/>
        <v>0</v>
      </c>
      <c r="U444" s="97">
        <f t="shared" si="246"/>
        <v>0</v>
      </c>
      <c r="V444" s="98">
        <f t="shared" si="247"/>
        <v>0</v>
      </c>
      <c r="W444" s="99">
        <f t="shared" si="253"/>
        <v>152</v>
      </c>
      <c r="X444" s="100">
        <f t="shared" si="253"/>
        <v>156</v>
      </c>
      <c r="Y444" s="91"/>
      <c r="Z444" s="60"/>
      <c r="AA444" s="75"/>
      <c r="AB444" s="75"/>
      <c r="AC444" s="75"/>
      <c r="AD444" s="75"/>
      <c r="AE444" s="101">
        <f t="shared" si="228"/>
        <v>0</v>
      </c>
      <c r="AF444" s="93">
        <f t="shared" si="229"/>
        <v>0</v>
      </c>
      <c r="AG444" s="94">
        <f t="shared" si="223"/>
        <v>0</v>
      </c>
      <c r="AH444" s="102">
        <f t="shared" si="224"/>
        <v>0</v>
      </c>
      <c r="AI444" s="103">
        <f t="shared" si="224"/>
        <v>0</v>
      </c>
      <c r="AJ444" s="103">
        <f t="shared" si="224"/>
        <v>0</v>
      </c>
      <c r="AK444" s="95">
        <f t="shared" si="224"/>
        <v>0</v>
      </c>
      <c r="AL444" s="102">
        <f t="shared" si="230"/>
        <v>0</v>
      </c>
      <c r="AM444" s="95">
        <f t="shared" si="231"/>
        <v>0</v>
      </c>
      <c r="AN444" s="90"/>
      <c r="AO444" s="104"/>
      <c r="AP444" s="90"/>
      <c r="AQ444" s="105"/>
      <c r="AR444" s="90"/>
      <c r="AS444" s="90"/>
      <c r="AT444" s="90"/>
      <c r="AU444" s="93" t="str">
        <f t="shared" si="241"/>
        <v/>
      </c>
      <c r="AV444" s="93" t="str">
        <f t="shared" ca="1" si="242"/>
        <v/>
      </c>
      <c r="AW444" s="93" t="str">
        <f t="shared" si="232"/>
        <v/>
      </c>
      <c r="AX444" s="93" t="str">
        <f t="shared" ca="1" si="233"/>
        <v/>
      </c>
      <c r="AY444" s="106"/>
      <c r="AZ444" s="106"/>
      <c r="BA444" s="93" t="str">
        <f t="shared" si="243"/>
        <v/>
      </c>
      <c r="BB444" s="106"/>
      <c r="BC444" s="106"/>
      <c r="BD444" s="93" t="str">
        <f t="shared" si="244"/>
        <v/>
      </c>
      <c r="BE444" s="90"/>
      <c r="BS444" s="118"/>
      <c r="BT444" s="118"/>
      <c r="BU444" s="118"/>
      <c r="BV444" s="118"/>
      <c r="BW444" s="118"/>
      <c r="BX444" s="118"/>
      <c r="BZ444" s="118"/>
      <c r="CB444" s="118"/>
      <c r="CC444" s="118"/>
      <c r="CD444" s="118"/>
    </row>
    <row r="445" spans="1:82" ht="17.399999999999999" customHeight="1" thickTop="1">
      <c r="A445" s="49">
        <f>A438+1</f>
        <v>63.1</v>
      </c>
      <c r="B445" s="108">
        <f>B444+1</f>
        <v>435</v>
      </c>
      <c r="C445" s="51"/>
      <c r="D445" s="52"/>
      <c r="E445" s="53"/>
      <c r="F445" s="52"/>
      <c r="G445" s="54">
        <f t="shared" si="254"/>
        <v>0</v>
      </c>
      <c r="H445" s="55">
        <f t="shared" si="254"/>
        <v>0</v>
      </c>
      <c r="I445" s="56">
        <f t="shared" si="235"/>
        <v>0</v>
      </c>
      <c r="J445" s="57">
        <f t="shared" si="236"/>
        <v>0</v>
      </c>
      <c r="K445" s="57">
        <f t="shared" si="237"/>
        <v>0</v>
      </c>
      <c r="L445" s="57">
        <f t="shared" si="238"/>
        <v>0</v>
      </c>
      <c r="M445" s="58" t="str">
        <f t="shared" ca="1" si="239"/>
        <v/>
      </c>
      <c r="N445" s="58" t="str">
        <f t="shared" ca="1" si="239"/>
        <v/>
      </c>
      <c r="O445" s="58">
        <f t="shared" si="240"/>
        <v>5.0000000000000001E-4</v>
      </c>
      <c r="P445" s="77"/>
      <c r="Q445" s="60"/>
      <c r="R445" s="77"/>
      <c r="S445" s="109">
        <f t="shared" si="227"/>
        <v>0</v>
      </c>
      <c r="T445" s="61">
        <f t="shared" si="227"/>
        <v>0</v>
      </c>
      <c r="U445" s="62">
        <f t="shared" si="246"/>
        <v>0</v>
      </c>
      <c r="V445" s="63">
        <f t="shared" si="247"/>
        <v>0</v>
      </c>
      <c r="W445" s="64">
        <v>153</v>
      </c>
      <c r="X445" s="80">
        <f t="shared" si="253"/>
        <v>156</v>
      </c>
      <c r="Y445" s="53"/>
      <c r="Z445" s="51"/>
      <c r="AA445" s="53"/>
      <c r="AB445" s="53"/>
      <c r="AC445" s="53"/>
      <c r="AD445" s="53"/>
      <c r="AE445" s="66">
        <f t="shared" si="228"/>
        <v>0</v>
      </c>
      <c r="AF445" s="61">
        <f t="shared" si="229"/>
        <v>0</v>
      </c>
      <c r="AG445" s="56">
        <f t="shared" si="223"/>
        <v>0</v>
      </c>
      <c r="AH445" s="67">
        <f t="shared" si="224"/>
        <v>0</v>
      </c>
      <c r="AI445" s="68">
        <f t="shared" si="224"/>
        <v>0</v>
      </c>
      <c r="AJ445" s="68">
        <f t="shared" si="224"/>
        <v>0</v>
      </c>
      <c r="AK445" s="57">
        <f t="shared" si="224"/>
        <v>0</v>
      </c>
      <c r="AL445" s="67">
        <f t="shared" si="230"/>
        <v>0</v>
      </c>
      <c r="AM445" s="57">
        <f t="shared" si="231"/>
        <v>0</v>
      </c>
      <c r="AN445" s="52"/>
      <c r="AO445" s="69"/>
      <c r="AP445" s="52"/>
      <c r="AQ445" s="70"/>
      <c r="AR445" s="52"/>
      <c r="AS445" s="52"/>
      <c r="AT445" s="52"/>
      <c r="AU445" s="61" t="str">
        <f t="shared" si="241"/>
        <v/>
      </c>
      <c r="AV445" s="61" t="str">
        <f t="shared" ca="1" si="242"/>
        <v/>
      </c>
      <c r="AW445" s="61" t="str">
        <f t="shared" si="232"/>
        <v/>
      </c>
      <c r="AX445" s="61" t="str">
        <f t="shared" ca="1" si="233"/>
        <v/>
      </c>
      <c r="AY445" s="71"/>
      <c r="AZ445" s="71"/>
      <c r="BA445" s="61" t="str">
        <f t="shared" si="243"/>
        <v/>
      </c>
      <c r="BB445" s="71"/>
      <c r="BC445" s="71"/>
      <c r="BD445" s="61" t="str">
        <f t="shared" si="244"/>
        <v/>
      </c>
      <c r="BE445" s="52"/>
      <c r="BS445" s="118"/>
      <c r="BT445" s="118"/>
      <c r="BU445" s="118"/>
      <c r="BV445" s="118"/>
      <c r="BW445" s="118"/>
      <c r="BX445" s="118"/>
      <c r="BZ445" s="118"/>
      <c r="CB445" s="118"/>
      <c r="CC445" s="118"/>
      <c r="CD445" s="118"/>
    </row>
    <row r="446" spans="1:82" ht="17.399999999999999" customHeight="1">
      <c r="A446" s="72">
        <f t="shared" si="245"/>
        <v>63.2</v>
      </c>
      <c r="B446" s="111">
        <f t="shared" si="226"/>
        <v>436</v>
      </c>
      <c r="C446" s="60"/>
      <c r="D446" s="74"/>
      <c r="E446" s="75"/>
      <c r="F446" s="74"/>
      <c r="G446" s="54">
        <f t="shared" si="254"/>
        <v>0</v>
      </c>
      <c r="H446" s="55">
        <f t="shared" si="254"/>
        <v>0</v>
      </c>
      <c r="I446" s="76">
        <f t="shared" si="235"/>
        <v>0</v>
      </c>
      <c r="J446" s="58">
        <f t="shared" si="236"/>
        <v>0</v>
      </c>
      <c r="K446" s="58">
        <f t="shared" si="237"/>
        <v>0</v>
      </c>
      <c r="L446" s="58">
        <f t="shared" si="238"/>
        <v>0</v>
      </c>
      <c r="M446" s="58" t="str">
        <f t="shared" ca="1" si="239"/>
        <v/>
      </c>
      <c r="N446" s="58" t="str">
        <f t="shared" ca="1" si="239"/>
        <v/>
      </c>
      <c r="O446" s="58">
        <f t="shared" si="240"/>
        <v>5.0000000000000001E-4</v>
      </c>
      <c r="P446" s="77"/>
      <c r="Q446" s="60"/>
      <c r="R446" s="77"/>
      <c r="S446" s="78">
        <f t="shared" si="227"/>
        <v>0</v>
      </c>
      <c r="T446" s="55">
        <f t="shared" si="227"/>
        <v>0</v>
      </c>
      <c r="U446" s="79">
        <f t="shared" si="246"/>
        <v>0</v>
      </c>
      <c r="V446" s="63">
        <f t="shared" si="247"/>
        <v>0</v>
      </c>
      <c r="W446" s="64">
        <f t="shared" ref="W446:X461" si="255">W445</f>
        <v>153</v>
      </c>
      <c r="X446" s="80">
        <f t="shared" si="253"/>
        <v>156</v>
      </c>
      <c r="Y446" s="75"/>
      <c r="Z446" s="60"/>
      <c r="AA446" s="75"/>
      <c r="AB446" s="75"/>
      <c r="AC446" s="75"/>
      <c r="AD446" s="75"/>
      <c r="AE446" s="81">
        <f t="shared" si="228"/>
        <v>0</v>
      </c>
      <c r="AF446" s="55">
        <f t="shared" si="229"/>
        <v>0</v>
      </c>
      <c r="AG446" s="76">
        <f t="shared" si="223"/>
        <v>0</v>
      </c>
      <c r="AH446" s="82">
        <f t="shared" si="224"/>
        <v>0</v>
      </c>
      <c r="AI446" s="83">
        <f t="shared" si="224"/>
        <v>0</v>
      </c>
      <c r="AJ446" s="83">
        <f t="shared" si="224"/>
        <v>0</v>
      </c>
      <c r="AK446" s="58">
        <f t="shared" si="224"/>
        <v>0</v>
      </c>
      <c r="AL446" s="82">
        <f t="shared" si="230"/>
        <v>0</v>
      </c>
      <c r="AM446" s="58">
        <f t="shared" si="231"/>
        <v>0</v>
      </c>
      <c r="AN446" s="74"/>
      <c r="AO446" s="84"/>
      <c r="AP446" s="74"/>
      <c r="AQ446" s="85"/>
      <c r="AR446" s="74"/>
      <c r="AS446" s="74"/>
      <c r="AT446" s="74"/>
      <c r="AU446" s="55" t="str">
        <f t="shared" si="241"/>
        <v/>
      </c>
      <c r="AV446" s="55" t="str">
        <f t="shared" ca="1" si="242"/>
        <v/>
      </c>
      <c r="AW446" s="55" t="str">
        <f t="shared" si="232"/>
        <v/>
      </c>
      <c r="AX446" s="55" t="str">
        <f t="shared" ca="1" si="233"/>
        <v/>
      </c>
      <c r="AY446" s="86"/>
      <c r="AZ446" s="86"/>
      <c r="BA446" s="55" t="str">
        <f t="shared" si="243"/>
        <v/>
      </c>
      <c r="BB446" s="86"/>
      <c r="BC446" s="86"/>
      <c r="BD446" s="55" t="str">
        <f t="shared" si="244"/>
        <v/>
      </c>
      <c r="BE446" s="74"/>
      <c r="BS446" s="118"/>
      <c r="BT446" s="118"/>
      <c r="BU446" s="118"/>
      <c r="BV446" s="118"/>
      <c r="BW446" s="118"/>
      <c r="BX446" s="118"/>
      <c r="BZ446" s="118"/>
      <c r="CB446" s="118"/>
      <c r="CC446" s="118"/>
      <c r="CD446" s="118"/>
    </row>
    <row r="447" spans="1:82" ht="17.399999999999999" customHeight="1">
      <c r="A447" s="87">
        <f t="shared" si="245"/>
        <v>63.3</v>
      </c>
      <c r="B447" s="111">
        <f t="shared" si="226"/>
        <v>437</v>
      </c>
      <c r="C447" s="60"/>
      <c r="D447" s="74"/>
      <c r="E447" s="75"/>
      <c r="F447" s="74"/>
      <c r="G447" s="54">
        <f t="shared" si="254"/>
        <v>0</v>
      </c>
      <c r="H447" s="55">
        <f t="shared" si="254"/>
        <v>0</v>
      </c>
      <c r="I447" s="76">
        <f t="shared" si="235"/>
        <v>0</v>
      </c>
      <c r="J447" s="58">
        <f t="shared" si="236"/>
        <v>0</v>
      </c>
      <c r="K447" s="58">
        <f t="shared" si="237"/>
        <v>0</v>
      </c>
      <c r="L447" s="58">
        <f t="shared" si="238"/>
        <v>0</v>
      </c>
      <c r="M447" s="58" t="str">
        <f t="shared" ca="1" si="239"/>
        <v/>
      </c>
      <c r="N447" s="58" t="str">
        <f t="shared" ca="1" si="239"/>
        <v/>
      </c>
      <c r="O447" s="58">
        <f t="shared" si="240"/>
        <v>5.0000000000000001E-4</v>
      </c>
      <c r="P447" s="77"/>
      <c r="Q447" s="60"/>
      <c r="R447" s="77"/>
      <c r="S447" s="78">
        <f t="shared" si="227"/>
        <v>0</v>
      </c>
      <c r="T447" s="55">
        <f t="shared" si="227"/>
        <v>0</v>
      </c>
      <c r="U447" s="79">
        <f t="shared" si="246"/>
        <v>0</v>
      </c>
      <c r="V447" s="63">
        <f t="shared" si="247"/>
        <v>0</v>
      </c>
      <c r="W447" s="64">
        <f t="shared" si="255"/>
        <v>153</v>
      </c>
      <c r="X447" s="80">
        <f t="shared" si="253"/>
        <v>156</v>
      </c>
      <c r="Y447" s="75"/>
      <c r="Z447" s="60"/>
      <c r="AA447" s="75"/>
      <c r="AB447" s="75"/>
      <c r="AC447" s="75"/>
      <c r="AD447" s="75"/>
      <c r="AE447" s="81">
        <f t="shared" si="228"/>
        <v>0</v>
      </c>
      <c r="AF447" s="55">
        <f t="shared" si="229"/>
        <v>0</v>
      </c>
      <c r="AG447" s="76">
        <f t="shared" si="223"/>
        <v>0</v>
      </c>
      <c r="AH447" s="82">
        <f t="shared" si="224"/>
        <v>0</v>
      </c>
      <c r="AI447" s="83">
        <f t="shared" si="224"/>
        <v>0</v>
      </c>
      <c r="AJ447" s="83">
        <f t="shared" si="224"/>
        <v>0</v>
      </c>
      <c r="AK447" s="58">
        <f t="shared" si="224"/>
        <v>0</v>
      </c>
      <c r="AL447" s="82">
        <f t="shared" si="230"/>
        <v>0</v>
      </c>
      <c r="AM447" s="58">
        <f t="shared" si="231"/>
        <v>0</v>
      </c>
      <c r="AN447" s="74"/>
      <c r="AO447" s="84"/>
      <c r="AP447" s="74"/>
      <c r="AQ447" s="85"/>
      <c r="AR447" s="74"/>
      <c r="AS447" s="74"/>
      <c r="AT447" s="74"/>
      <c r="AU447" s="55" t="str">
        <f t="shared" si="241"/>
        <v/>
      </c>
      <c r="AV447" s="55" t="str">
        <f t="shared" ca="1" si="242"/>
        <v/>
      </c>
      <c r="AW447" s="55" t="str">
        <f t="shared" si="232"/>
        <v/>
      </c>
      <c r="AX447" s="55" t="str">
        <f t="shared" ca="1" si="233"/>
        <v/>
      </c>
      <c r="AY447" s="86"/>
      <c r="AZ447" s="86"/>
      <c r="BA447" s="55" t="str">
        <f t="shared" si="243"/>
        <v/>
      </c>
      <c r="BB447" s="86"/>
      <c r="BC447" s="86"/>
      <c r="BD447" s="55" t="str">
        <f t="shared" si="244"/>
        <v/>
      </c>
      <c r="BE447" s="74"/>
      <c r="BS447" s="118"/>
      <c r="BT447" s="118"/>
      <c r="BU447" s="118"/>
      <c r="BV447" s="118"/>
      <c r="BW447" s="118"/>
      <c r="BX447" s="118"/>
      <c r="BZ447" s="118"/>
      <c r="CB447" s="118"/>
      <c r="CC447" s="118"/>
      <c r="CD447" s="118"/>
    </row>
    <row r="448" spans="1:82" ht="17.399999999999999" customHeight="1">
      <c r="A448" s="72">
        <f t="shared" si="245"/>
        <v>63.4</v>
      </c>
      <c r="B448" s="111">
        <f t="shared" si="226"/>
        <v>438</v>
      </c>
      <c r="C448" s="60"/>
      <c r="D448" s="74"/>
      <c r="E448" s="75"/>
      <c r="F448" s="74"/>
      <c r="G448" s="54">
        <f t="shared" si="254"/>
        <v>0</v>
      </c>
      <c r="H448" s="55">
        <f t="shared" si="254"/>
        <v>0</v>
      </c>
      <c r="I448" s="76">
        <f t="shared" si="235"/>
        <v>0</v>
      </c>
      <c r="J448" s="58">
        <f t="shared" si="236"/>
        <v>0</v>
      </c>
      <c r="K448" s="58">
        <f t="shared" si="237"/>
        <v>0</v>
      </c>
      <c r="L448" s="58">
        <f t="shared" si="238"/>
        <v>0</v>
      </c>
      <c r="M448" s="58" t="str">
        <f t="shared" ca="1" si="239"/>
        <v/>
      </c>
      <c r="N448" s="58" t="str">
        <f t="shared" ca="1" si="239"/>
        <v/>
      </c>
      <c r="O448" s="58">
        <f t="shared" si="240"/>
        <v>5.0000000000000001E-4</v>
      </c>
      <c r="P448" s="77"/>
      <c r="Q448" s="60"/>
      <c r="R448" s="77"/>
      <c r="S448" s="78">
        <f t="shared" si="227"/>
        <v>0</v>
      </c>
      <c r="T448" s="55">
        <f t="shared" si="227"/>
        <v>0</v>
      </c>
      <c r="U448" s="79">
        <f t="shared" si="246"/>
        <v>0</v>
      </c>
      <c r="V448" s="63">
        <f t="shared" si="247"/>
        <v>0</v>
      </c>
      <c r="W448" s="64">
        <f t="shared" si="255"/>
        <v>153</v>
      </c>
      <c r="X448" s="80">
        <f t="shared" si="253"/>
        <v>156</v>
      </c>
      <c r="Y448" s="75"/>
      <c r="Z448" s="60"/>
      <c r="AA448" s="75"/>
      <c r="AB448" s="75"/>
      <c r="AC448" s="75"/>
      <c r="AD448" s="75"/>
      <c r="AE448" s="81">
        <f t="shared" si="228"/>
        <v>0</v>
      </c>
      <c r="AF448" s="55">
        <f t="shared" si="229"/>
        <v>0</v>
      </c>
      <c r="AG448" s="76">
        <f t="shared" si="223"/>
        <v>0</v>
      </c>
      <c r="AH448" s="82">
        <f t="shared" si="224"/>
        <v>0</v>
      </c>
      <c r="AI448" s="83">
        <f t="shared" si="224"/>
        <v>0</v>
      </c>
      <c r="AJ448" s="83">
        <f t="shared" si="224"/>
        <v>0</v>
      </c>
      <c r="AK448" s="58">
        <f t="shared" si="224"/>
        <v>0</v>
      </c>
      <c r="AL448" s="82">
        <f t="shared" si="230"/>
        <v>0</v>
      </c>
      <c r="AM448" s="58">
        <f t="shared" si="231"/>
        <v>0</v>
      </c>
      <c r="AN448" s="74"/>
      <c r="AO448" s="84"/>
      <c r="AP448" s="74"/>
      <c r="AQ448" s="85"/>
      <c r="AR448" s="74"/>
      <c r="AS448" s="74"/>
      <c r="AT448" s="74"/>
      <c r="AU448" s="55" t="str">
        <f t="shared" si="241"/>
        <v/>
      </c>
      <c r="AV448" s="55" t="str">
        <f t="shared" ca="1" si="242"/>
        <v/>
      </c>
      <c r="AW448" s="55" t="str">
        <f t="shared" si="232"/>
        <v/>
      </c>
      <c r="AX448" s="55" t="str">
        <f t="shared" ca="1" si="233"/>
        <v/>
      </c>
      <c r="AY448" s="86"/>
      <c r="AZ448" s="86"/>
      <c r="BA448" s="55" t="str">
        <f t="shared" si="243"/>
        <v/>
      </c>
      <c r="BB448" s="86"/>
      <c r="BC448" s="86"/>
      <c r="BD448" s="55" t="str">
        <f t="shared" si="244"/>
        <v/>
      </c>
      <c r="BE448" s="74"/>
      <c r="BS448" s="118"/>
      <c r="BT448" s="118"/>
      <c r="BU448" s="118"/>
      <c r="BV448" s="118"/>
      <c r="BW448" s="118"/>
      <c r="BX448" s="118"/>
      <c r="BZ448" s="118"/>
      <c r="CB448" s="118"/>
      <c r="CC448" s="118"/>
      <c r="CD448" s="118"/>
    </row>
    <row r="449" spans="1:82" ht="17.399999999999999" customHeight="1">
      <c r="A449" s="87">
        <f t="shared" si="245"/>
        <v>63.5</v>
      </c>
      <c r="B449" s="111">
        <f t="shared" si="226"/>
        <v>439</v>
      </c>
      <c r="C449" s="60"/>
      <c r="D449" s="74"/>
      <c r="E449" s="75"/>
      <c r="F449" s="74"/>
      <c r="G449" s="54">
        <f t="shared" si="254"/>
        <v>0</v>
      </c>
      <c r="H449" s="55">
        <f t="shared" si="254"/>
        <v>0</v>
      </c>
      <c r="I449" s="76">
        <f t="shared" si="235"/>
        <v>0</v>
      </c>
      <c r="J449" s="58">
        <f t="shared" si="236"/>
        <v>0</v>
      </c>
      <c r="K449" s="58">
        <f t="shared" si="237"/>
        <v>0</v>
      </c>
      <c r="L449" s="58">
        <f t="shared" si="238"/>
        <v>0</v>
      </c>
      <c r="M449" s="58" t="str">
        <f t="shared" ca="1" si="239"/>
        <v/>
      </c>
      <c r="N449" s="58" t="str">
        <f t="shared" ca="1" si="239"/>
        <v/>
      </c>
      <c r="O449" s="58">
        <f t="shared" si="240"/>
        <v>5.0000000000000001E-4</v>
      </c>
      <c r="P449" s="77"/>
      <c r="Q449" s="60"/>
      <c r="R449" s="77"/>
      <c r="S449" s="78">
        <f t="shared" si="227"/>
        <v>0</v>
      </c>
      <c r="T449" s="55">
        <f t="shared" si="227"/>
        <v>0</v>
      </c>
      <c r="U449" s="79">
        <f t="shared" si="246"/>
        <v>0</v>
      </c>
      <c r="V449" s="63">
        <f t="shared" si="247"/>
        <v>0</v>
      </c>
      <c r="W449" s="64">
        <f t="shared" si="255"/>
        <v>153</v>
      </c>
      <c r="X449" s="80">
        <f t="shared" si="253"/>
        <v>156</v>
      </c>
      <c r="Y449" s="75"/>
      <c r="Z449" s="60"/>
      <c r="AA449" s="75"/>
      <c r="AB449" s="75"/>
      <c r="AC449" s="75"/>
      <c r="AD449" s="75"/>
      <c r="AE449" s="81">
        <f t="shared" si="228"/>
        <v>0</v>
      </c>
      <c r="AF449" s="55">
        <f t="shared" si="229"/>
        <v>0</v>
      </c>
      <c r="AG449" s="76">
        <f t="shared" si="223"/>
        <v>0</v>
      </c>
      <c r="AH449" s="82">
        <f t="shared" si="224"/>
        <v>0</v>
      </c>
      <c r="AI449" s="83">
        <f t="shared" si="224"/>
        <v>0</v>
      </c>
      <c r="AJ449" s="83">
        <f t="shared" si="224"/>
        <v>0</v>
      </c>
      <c r="AK449" s="58">
        <f t="shared" si="224"/>
        <v>0</v>
      </c>
      <c r="AL449" s="82">
        <f t="shared" si="230"/>
        <v>0</v>
      </c>
      <c r="AM449" s="58">
        <f t="shared" si="231"/>
        <v>0</v>
      </c>
      <c r="AN449" s="74"/>
      <c r="AO449" s="84"/>
      <c r="AP449" s="74"/>
      <c r="AQ449" s="85"/>
      <c r="AR449" s="74"/>
      <c r="AS449" s="74"/>
      <c r="AT449" s="74"/>
      <c r="AU449" s="55" t="str">
        <f t="shared" si="241"/>
        <v/>
      </c>
      <c r="AV449" s="55" t="str">
        <f t="shared" ca="1" si="242"/>
        <v/>
      </c>
      <c r="AW449" s="55" t="str">
        <f t="shared" si="232"/>
        <v/>
      </c>
      <c r="AX449" s="55" t="str">
        <f t="shared" ca="1" si="233"/>
        <v/>
      </c>
      <c r="AY449" s="86"/>
      <c r="AZ449" s="86"/>
      <c r="BA449" s="55" t="str">
        <f t="shared" si="243"/>
        <v/>
      </c>
      <c r="BB449" s="86"/>
      <c r="BC449" s="86"/>
      <c r="BD449" s="55" t="str">
        <f t="shared" si="244"/>
        <v/>
      </c>
      <c r="BE449" s="74"/>
      <c r="BS449" s="118"/>
      <c r="BT449" s="118"/>
      <c r="BU449" s="118"/>
      <c r="BV449" s="118"/>
      <c r="BW449" s="118"/>
      <c r="BX449" s="118"/>
      <c r="BZ449" s="118"/>
      <c r="CB449" s="118"/>
      <c r="CC449" s="118"/>
      <c r="CD449" s="118"/>
    </row>
    <row r="450" spans="1:82" ht="17.399999999999999" customHeight="1">
      <c r="A450" s="72">
        <f t="shared" si="245"/>
        <v>63.6</v>
      </c>
      <c r="B450" s="111">
        <f t="shared" si="226"/>
        <v>440</v>
      </c>
      <c r="C450" s="60"/>
      <c r="D450" s="74"/>
      <c r="E450" s="75"/>
      <c r="F450" s="74"/>
      <c r="G450" s="54">
        <f t="shared" si="254"/>
        <v>0</v>
      </c>
      <c r="H450" s="55">
        <f t="shared" si="254"/>
        <v>0</v>
      </c>
      <c r="I450" s="76">
        <f t="shared" si="235"/>
        <v>0</v>
      </c>
      <c r="J450" s="58">
        <f t="shared" si="236"/>
        <v>0</v>
      </c>
      <c r="K450" s="58">
        <f t="shared" si="237"/>
        <v>0</v>
      </c>
      <c r="L450" s="58">
        <f t="shared" si="238"/>
        <v>0</v>
      </c>
      <c r="M450" s="58" t="str">
        <f t="shared" ca="1" si="239"/>
        <v/>
      </c>
      <c r="N450" s="58" t="str">
        <f t="shared" ca="1" si="239"/>
        <v/>
      </c>
      <c r="O450" s="58">
        <f t="shared" si="240"/>
        <v>5.0000000000000001E-4</v>
      </c>
      <c r="P450" s="77"/>
      <c r="Q450" s="60"/>
      <c r="R450" s="77"/>
      <c r="S450" s="78">
        <f t="shared" si="227"/>
        <v>0</v>
      </c>
      <c r="T450" s="55">
        <f t="shared" si="227"/>
        <v>0</v>
      </c>
      <c r="U450" s="79">
        <f t="shared" si="246"/>
        <v>0</v>
      </c>
      <c r="V450" s="63">
        <f t="shared" si="247"/>
        <v>0</v>
      </c>
      <c r="W450" s="64">
        <f t="shared" si="255"/>
        <v>153</v>
      </c>
      <c r="X450" s="80">
        <f t="shared" si="253"/>
        <v>156</v>
      </c>
      <c r="Y450" s="75"/>
      <c r="Z450" s="60"/>
      <c r="AA450" s="75"/>
      <c r="AB450" s="75"/>
      <c r="AC450" s="75"/>
      <c r="AD450" s="75"/>
      <c r="AE450" s="81">
        <f t="shared" si="228"/>
        <v>0</v>
      </c>
      <c r="AF450" s="55">
        <f t="shared" si="229"/>
        <v>0</v>
      </c>
      <c r="AG450" s="76">
        <f t="shared" si="223"/>
        <v>0</v>
      </c>
      <c r="AH450" s="82">
        <f t="shared" si="224"/>
        <v>0</v>
      </c>
      <c r="AI450" s="83">
        <f t="shared" si="224"/>
        <v>0</v>
      </c>
      <c r="AJ450" s="83">
        <f t="shared" si="224"/>
        <v>0</v>
      </c>
      <c r="AK450" s="58">
        <f t="shared" si="224"/>
        <v>0</v>
      </c>
      <c r="AL450" s="82">
        <f t="shared" si="230"/>
        <v>0</v>
      </c>
      <c r="AM450" s="58">
        <f t="shared" si="231"/>
        <v>0</v>
      </c>
      <c r="AN450" s="74"/>
      <c r="AO450" s="84"/>
      <c r="AP450" s="74"/>
      <c r="AQ450" s="85"/>
      <c r="AR450" s="74"/>
      <c r="AS450" s="74"/>
      <c r="AT450" s="74"/>
      <c r="AU450" s="55" t="str">
        <f t="shared" si="241"/>
        <v/>
      </c>
      <c r="AV450" s="55" t="str">
        <f t="shared" ca="1" si="242"/>
        <v/>
      </c>
      <c r="AW450" s="55" t="str">
        <f t="shared" si="232"/>
        <v/>
      </c>
      <c r="AX450" s="55" t="str">
        <f t="shared" ca="1" si="233"/>
        <v/>
      </c>
      <c r="AY450" s="86"/>
      <c r="AZ450" s="86"/>
      <c r="BA450" s="55" t="str">
        <f t="shared" si="243"/>
        <v/>
      </c>
      <c r="BB450" s="86"/>
      <c r="BC450" s="86"/>
      <c r="BD450" s="55" t="str">
        <f t="shared" si="244"/>
        <v/>
      </c>
      <c r="BE450" s="74"/>
      <c r="BS450" s="118"/>
      <c r="BT450" s="118"/>
      <c r="BU450" s="118"/>
      <c r="BV450" s="118"/>
      <c r="BW450" s="118"/>
      <c r="BX450" s="118"/>
      <c r="BZ450" s="118"/>
      <c r="CB450" s="118"/>
      <c r="CC450" s="118"/>
      <c r="CD450" s="118"/>
    </row>
    <row r="451" spans="1:82" ht="17.399999999999999" customHeight="1" thickBot="1">
      <c r="A451" s="87">
        <f t="shared" si="245"/>
        <v>63.7</v>
      </c>
      <c r="B451" s="113">
        <f t="shared" si="226"/>
        <v>441</v>
      </c>
      <c r="C451" s="89"/>
      <c r="D451" s="90"/>
      <c r="E451" s="91"/>
      <c r="F451" s="90"/>
      <c r="G451" s="92">
        <f t="shared" si="254"/>
        <v>0</v>
      </c>
      <c r="H451" s="93">
        <f t="shared" si="254"/>
        <v>0</v>
      </c>
      <c r="I451" s="94">
        <f t="shared" si="235"/>
        <v>0</v>
      </c>
      <c r="J451" s="95">
        <f t="shared" si="236"/>
        <v>0</v>
      </c>
      <c r="K451" s="95">
        <f t="shared" si="237"/>
        <v>0</v>
      </c>
      <c r="L451" s="95">
        <f t="shared" si="238"/>
        <v>0</v>
      </c>
      <c r="M451" s="95" t="str">
        <f t="shared" ca="1" si="239"/>
        <v/>
      </c>
      <c r="N451" s="95" t="str">
        <f t="shared" ca="1" si="239"/>
        <v/>
      </c>
      <c r="O451" s="95">
        <f t="shared" si="240"/>
        <v>5.0000000000000001E-4</v>
      </c>
      <c r="P451" s="96"/>
      <c r="Q451" s="89"/>
      <c r="R451" s="96"/>
      <c r="S451" s="78">
        <f t="shared" si="227"/>
        <v>0</v>
      </c>
      <c r="T451" s="55">
        <f t="shared" si="227"/>
        <v>0</v>
      </c>
      <c r="U451" s="97">
        <f t="shared" si="246"/>
        <v>0</v>
      </c>
      <c r="V451" s="98">
        <f t="shared" si="247"/>
        <v>0</v>
      </c>
      <c r="W451" s="99">
        <f t="shared" si="255"/>
        <v>153</v>
      </c>
      <c r="X451" s="100">
        <f t="shared" si="253"/>
        <v>156</v>
      </c>
      <c r="Y451" s="91"/>
      <c r="Z451" s="60"/>
      <c r="AA451" s="75"/>
      <c r="AB451" s="75"/>
      <c r="AC451" s="75"/>
      <c r="AD451" s="75"/>
      <c r="AE451" s="101">
        <f t="shared" si="228"/>
        <v>0</v>
      </c>
      <c r="AF451" s="93">
        <f t="shared" si="229"/>
        <v>0</v>
      </c>
      <c r="AG451" s="94">
        <f t="shared" si="223"/>
        <v>0</v>
      </c>
      <c r="AH451" s="102">
        <f t="shared" si="224"/>
        <v>0</v>
      </c>
      <c r="AI451" s="103">
        <f t="shared" si="224"/>
        <v>0</v>
      </c>
      <c r="AJ451" s="103">
        <f t="shared" si="224"/>
        <v>0</v>
      </c>
      <c r="AK451" s="95">
        <f t="shared" si="224"/>
        <v>0</v>
      </c>
      <c r="AL451" s="102">
        <f t="shared" si="230"/>
        <v>0</v>
      </c>
      <c r="AM451" s="95">
        <f t="shared" si="231"/>
        <v>0</v>
      </c>
      <c r="AN451" s="90"/>
      <c r="AO451" s="104"/>
      <c r="AP451" s="90"/>
      <c r="AQ451" s="105"/>
      <c r="AR451" s="90"/>
      <c r="AS451" s="90"/>
      <c r="AT451" s="90"/>
      <c r="AU451" s="93" t="str">
        <f t="shared" si="241"/>
        <v/>
      </c>
      <c r="AV451" s="93" t="str">
        <f t="shared" ca="1" si="242"/>
        <v/>
      </c>
      <c r="AW451" s="93" t="str">
        <f t="shared" si="232"/>
        <v/>
      </c>
      <c r="AX451" s="93" t="str">
        <f t="shared" ca="1" si="233"/>
        <v/>
      </c>
      <c r="AY451" s="106"/>
      <c r="AZ451" s="106"/>
      <c r="BA451" s="93" t="str">
        <f t="shared" si="243"/>
        <v/>
      </c>
      <c r="BB451" s="106"/>
      <c r="BC451" s="106"/>
      <c r="BD451" s="93" t="str">
        <f t="shared" si="244"/>
        <v/>
      </c>
      <c r="BE451" s="90"/>
      <c r="BS451" s="118"/>
      <c r="BT451" s="118"/>
      <c r="BU451" s="118"/>
      <c r="BV451" s="118"/>
      <c r="BW451" s="118"/>
      <c r="BX451" s="118"/>
      <c r="BZ451" s="118"/>
      <c r="CB451" s="118"/>
      <c r="CC451" s="118"/>
      <c r="CD451" s="118"/>
    </row>
    <row r="452" spans="1:82" ht="17.399999999999999" customHeight="1" thickTop="1">
      <c r="A452" s="107">
        <f>A445+1</f>
        <v>64.099999999999994</v>
      </c>
      <c r="B452" s="108">
        <f>B451+1</f>
        <v>442</v>
      </c>
      <c r="C452" s="51"/>
      <c r="D452" s="52"/>
      <c r="E452" s="53"/>
      <c r="F452" s="52"/>
      <c r="G452" s="54">
        <f t="shared" si="254"/>
        <v>0</v>
      </c>
      <c r="H452" s="55">
        <f t="shared" si="254"/>
        <v>0</v>
      </c>
      <c r="I452" s="56">
        <f t="shared" si="235"/>
        <v>0</v>
      </c>
      <c r="J452" s="57">
        <f t="shared" si="236"/>
        <v>0</v>
      </c>
      <c r="K452" s="57">
        <f t="shared" si="237"/>
        <v>0</v>
      </c>
      <c r="L452" s="57">
        <f t="shared" si="238"/>
        <v>0</v>
      </c>
      <c r="M452" s="58" t="str">
        <f t="shared" ca="1" si="239"/>
        <v/>
      </c>
      <c r="N452" s="58" t="str">
        <f t="shared" ca="1" si="239"/>
        <v/>
      </c>
      <c r="O452" s="58">
        <f t="shared" si="240"/>
        <v>5.0000000000000001E-4</v>
      </c>
      <c r="P452" s="77"/>
      <c r="Q452" s="60"/>
      <c r="R452" s="77"/>
      <c r="S452" s="109">
        <f t="shared" si="227"/>
        <v>0</v>
      </c>
      <c r="T452" s="61">
        <f t="shared" si="227"/>
        <v>0</v>
      </c>
      <c r="U452" s="62">
        <f t="shared" si="246"/>
        <v>0</v>
      </c>
      <c r="V452" s="63">
        <f t="shared" si="247"/>
        <v>0</v>
      </c>
      <c r="W452" s="64">
        <f t="shared" si="255"/>
        <v>153</v>
      </c>
      <c r="X452" s="80">
        <f t="shared" si="253"/>
        <v>156</v>
      </c>
      <c r="Y452" s="53"/>
      <c r="Z452" s="51"/>
      <c r="AA452" s="53"/>
      <c r="AB452" s="53"/>
      <c r="AC452" s="53"/>
      <c r="AD452" s="53"/>
      <c r="AE452" s="66">
        <f t="shared" si="228"/>
        <v>0</v>
      </c>
      <c r="AF452" s="61">
        <f t="shared" si="229"/>
        <v>0</v>
      </c>
      <c r="AG452" s="56">
        <f t="shared" si="223"/>
        <v>0</v>
      </c>
      <c r="AH452" s="67">
        <f t="shared" si="224"/>
        <v>0</v>
      </c>
      <c r="AI452" s="68">
        <f t="shared" si="224"/>
        <v>0</v>
      </c>
      <c r="AJ452" s="68">
        <f t="shared" si="224"/>
        <v>0</v>
      </c>
      <c r="AK452" s="57">
        <f t="shared" ref="AK452:AK515" si="256">IFERROR(AC452/$Y452,0)</f>
        <v>0</v>
      </c>
      <c r="AL452" s="67">
        <f t="shared" si="230"/>
        <v>0</v>
      </c>
      <c r="AM452" s="57">
        <f t="shared" si="231"/>
        <v>0</v>
      </c>
      <c r="AN452" s="52"/>
      <c r="AO452" s="69"/>
      <c r="AP452" s="52"/>
      <c r="AQ452" s="70"/>
      <c r="AR452" s="52"/>
      <c r="AS452" s="52"/>
      <c r="AT452" s="52"/>
      <c r="AU452" s="61" t="str">
        <f t="shared" si="241"/>
        <v/>
      </c>
      <c r="AV452" s="61" t="str">
        <f t="shared" ca="1" si="242"/>
        <v/>
      </c>
      <c r="AW452" s="61" t="str">
        <f t="shared" si="232"/>
        <v/>
      </c>
      <c r="AX452" s="61" t="str">
        <f t="shared" ca="1" si="233"/>
        <v/>
      </c>
      <c r="AY452" s="71"/>
      <c r="AZ452" s="71"/>
      <c r="BA452" s="61" t="str">
        <f t="shared" si="243"/>
        <v/>
      </c>
      <c r="BB452" s="71"/>
      <c r="BC452" s="71"/>
      <c r="BD452" s="61" t="str">
        <f t="shared" si="244"/>
        <v/>
      </c>
      <c r="BE452" s="52"/>
      <c r="BS452" s="118"/>
      <c r="BT452" s="118"/>
      <c r="BU452" s="118"/>
      <c r="BV452" s="118"/>
      <c r="BW452" s="118"/>
      <c r="BX452" s="118"/>
      <c r="BZ452" s="118"/>
      <c r="CB452" s="118"/>
      <c r="CC452" s="118"/>
      <c r="CD452" s="118"/>
    </row>
    <row r="453" spans="1:82" ht="17.399999999999999" customHeight="1">
      <c r="A453" s="87">
        <f t="shared" si="245"/>
        <v>64.2</v>
      </c>
      <c r="B453" s="111">
        <f t="shared" si="226"/>
        <v>443</v>
      </c>
      <c r="C453" s="60"/>
      <c r="D453" s="74"/>
      <c r="E453" s="75"/>
      <c r="F453" s="74"/>
      <c r="G453" s="54">
        <f t="shared" si="254"/>
        <v>0</v>
      </c>
      <c r="H453" s="55">
        <f t="shared" si="254"/>
        <v>0</v>
      </c>
      <c r="I453" s="76">
        <f t="shared" si="235"/>
        <v>0</v>
      </c>
      <c r="J453" s="58">
        <f t="shared" si="236"/>
        <v>0</v>
      </c>
      <c r="K453" s="58">
        <f t="shared" si="237"/>
        <v>0</v>
      </c>
      <c r="L453" s="58">
        <f t="shared" si="238"/>
        <v>0</v>
      </c>
      <c r="M453" s="58" t="str">
        <f t="shared" ca="1" si="239"/>
        <v/>
      </c>
      <c r="N453" s="58" t="str">
        <f t="shared" ca="1" si="239"/>
        <v/>
      </c>
      <c r="O453" s="58">
        <f t="shared" si="240"/>
        <v>5.0000000000000001E-4</v>
      </c>
      <c r="P453" s="77"/>
      <c r="Q453" s="60"/>
      <c r="R453" s="77"/>
      <c r="S453" s="78">
        <f t="shared" si="227"/>
        <v>0</v>
      </c>
      <c r="T453" s="55">
        <f t="shared" si="227"/>
        <v>0</v>
      </c>
      <c r="U453" s="79">
        <f t="shared" si="246"/>
        <v>0</v>
      </c>
      <c r="V453" s="63">
        <f t="shared" si="247"/>
        <v>0</v>
      </c>
      <c r="W453" s="64">
        <f t="shared" si="255"/>
        <v>153</v>
      </c>
      <c r="X453" s="80">
        <f t="shared" si="253"/>
        <v>156</v>
      </c>
      <c r="Y453" s="75"/>
      <c r="Z453" s="60"/>
      <c r="AA453" s="75"/>
      <c r="AB453" s="75"/>
      <c r="AC453" s="75"/>
      <c r="AD453" s="75"/>
      <c r="AE453" s="81">
        <f t="shared" si="228"/>
        <v>0</v>
      </c>
      <c r="AF453" s="55">
        <f t="shared" si="229"/>
        <v>0</v>
      </c>
      <c r="AG453" s="76">
        <f t="shared" ref="AG453:AG500" si="257">IFERROR(Y453/H452,0)</f>
        <v>0</v>
      </c>
      <c r="AH453" s="82">
        <f t="shared" ref="AH453:AJ500" si="258">IFERROR(Z453/$Y453,0)</f>
        <v>0</v>
      </c>
      <c r="AI453" s="83">
        <f t="shared" si="258"/>
        <v>0</v>
      </c>
      <c r="AJ453" s="83">
        <f t="shared" si="258"/>
        <v>0</v>
      </c>
      <c r="AK453" s="58">
        <f t="shared" si="256"/>
        <v>0</v>
      </c>
      <c r="AL453" s="82">
        <f t="shared" si="230"/>
        <v>0</v>
      </c>
      <c r="AM453" s="58">
        <f t="shared" si="231"/>
        <v>0</v>
      </c>
      <c r="AN453" s="74"/>
      <c r="AO453" s="84"/>
      <c r="AP453" s="74"/>
      <c r="AQ453" s="85"/>
      <c r="AR453" s="74"/>
      <c r="AS453" s="74"/>
      <c r="AT453" s="74"/>
      <c r="AU453" s="55" t="str">
        <f t="shared" si="241"/>
        <v/>
      </c>
      <c r="AV453" s="55" t="str">
        <f t="shared" ca="1" si="242"/>
        <v/>
      </c>
      <c r="AW453" s="55" t="str">
        <f t="shared" si="232"/>
        <v/>
      </c>
      <c r="AX453" s="55" t="str">
        <f t="shared" ca="1" si="233"/>
        <v/>
      </c>
      <c r="AY453" s="86"/>
      <c r="AZ453" s="86"/>
      <c r="BA453" s="55" t="str">
        <f t="shared" si="243"/>
        <v/>
      </c>
      <c r="BB453" s="86"/>
      <c r="BC453" s="86"/>
      <c r="BD453" s="55" t="str">
        <f t="shared" si="244"/>
        <v/>
      </c>
      <c r="BE453" s="74"/>
      <c r="BS453" s="118"/>
      <c r="BT453" s="118"/>
      <c r="BU453" s="118"/>
      <c r="BV453" s="118"/>
      <c r="BW453" s="118"/>
      <c r="BX453" s="118"/>
      <c r="BZ453" s="118"/>
      <c r="CB453" s="118"/>
      <c r="CC453" s="118"/>
      <c r="CD453" s="118"/>
    </row>
    <row r="454" spans="1:82" ht="17.399999999999999" customHeight="1">
      <c r="A454" s="72">
        <f t="shared" si="245"/>
        <v>64.3</v>
      </c>
      <c r="B454" s="111">
        <f t="shared" si="226"/>
        <v>444</v>
      </c>
      <c r="C454" s="60"/>
      <c r="D454" s="74"/>
      <c r="E454" s="75"/>
      <c r="F454" s="74"/>
      <c r="G454" s="54">
        <f t="shared" si="254"/>
        <v>0</v>
      </c>
      <c r="H454" s="55">
        <f t="shared" si="254"/>
        <v>0</v>
      </c>
      <c r="I454" s="76">
        <f t="shared" si="235"/>
        <v>0</v>
      </c>
      <c r="J454" s="58">
        <f t="shared" si="236"/>
        <v>0</v>
      </c>
      <c r="K454" s="58">
        <f t="shared" si="237"/>
        <v>0</v>
      </c>
      <c r="L454" s="58">
        <f t="shared" si="238"/>
        <v>0</v>
      </c>
      <c r="M454" s="58" t="str">
        <f t="shared" ca="1" si="239"/>
        <v/>
      </c>
      <c r="N454" s="58" t="str">
        <f t="shared" ca="1" si="239"/>
        <v/>
      </c>
      <c r="O454" s="58">
        <f t="shared" si="240"/>
        <v>5.0000000000000001E-4</v>
      </c>
      <c r="P454" s="77"/>
      <c r="Q454" s="60"/>
      <c r="R454" s="77"/>
      <c r="S454" s="78">
        <f t="shared" si="227"/>
        <v>0</v>
      </c>
      <c r="T454" s="55">
        <f t="shared" si="227"/>
        <v>0</v>
      </c>
      <c r="U454" s="79">
        <f t="shared" si="246"/>
        <v>0</v>
      </c>
      <c r="V454" s="63">
        <f t="shared" si="247"/>
        <v>0</v>
      </c>
      <c r="W454" s="64">
        <f t="shared" si="255"/>
        <v>153</v>
      </c>
      <c r="X454" s="80">
        <f t="shared" si="253"/>
        <v>156</v>
      </c>
      <c r="Y454" s="75"/>
      <c r="Z454" s="60"/>
      <c r="AA454" s="75"/>
      <c r="AB454" s="75"/>
      <c r="AC454" s="75"/>
      <c r="AD454" s="75"/>
      <c r="AE454" s="81">
        <f t="shared" si="228"/>
        <v>0</v>
      </c>
      <c r="AF454" s="55">
        <f t="shared" si="229"/>
        <v>0</v>
      </c>
      <c r="AG454" s="76">
        <f t="shared" si="257"/>
        <v>0</v>
      </c>
      <c r="AH454" s="82">
        <f t="shared" si="258"/>
        <v>0</v>
      </c>
      <c r="AI454" s="83">
        <f t="shared" si="258"/>
        <v>0</v>
      </c>
      <c r="AJ454" s="83">
        <f t="shared" si="258"/>
        <v>0</v>
      </c>
      <c r="AK454" s="58">
        <f t="shared" si="256"/>
        <v>0</v>
      </c>
      <c r="AL454" s="82">
        <f t="shared" si="230"/>
        <v>0</v>
      </c>
      <c r="AM454" s="58">
        <f t="shared" si="231"/>
        <v>0</v>
      </c>
      <c r="AN454" s="74"/>
      <c r="AO454" s="84"/>
      <c r="AP454" s="74"/>
      <c r="AQ454" s="85"/>
      <c r="AR454" s="74"/>
      <c r="AS454" s="74"/>
      <c r="AT454" s="74"/>
      <c r="AU454" s="55" t="str">
        <f t="shared" si="241"/>
        <v/>
      </c>
      <c r="AV454" s="55" t="str">
        <f t="shared" ca="1" si="242"/>
        <v/>
      </c>
      <c r="AW454" s="55" t="str">
        <f t="shared" si="232"/>
        <v/>
      </c>
      <c r="AX454" s="55" t="str">
        <f t="shared" ca="1" si="233"/>
        <v/>
      </c>
      <c r="AY454" s="86"/>
      <c r="AZ454" s="86"/>
      <c r="BA454" s="55" t="str">
        <f t="shared" si="243"/>
        <v/>
      </c>
      <c r="BB454" s="86"/>
      <c r="BC454" s="86"/>
      <c r="BD454" s="55" t="str">
        <f t="shared" si="244"/>
        <v/>
      </c>
      <c r="BE454" s="74"/>
      <c r="BS454" s="118"/>
      <c r="BT454" s="118"/>
      <c r="BU454" s="118"/>
      <c r="BV454" s="118"/>
      <c r="BW454" s="118"/>
      <c r="BX454" s="118"/>
      <c r="BZ454" s="118"/>
      <c r="CB454" s="118"/>
      <c r="CC454" s="118"/>
      <c r="CD454" s="118"/>
    </row>
    <row r="455" spans="1:82" ht="17.399999999999999" customHeight="1">
      <c r="A455" s="87">
        <f t="shared" si="245"/>
        <v>64.400000000000006</v>
      </c>
      <c r="B455" s="111">
        <f t="shared" si="226"/>
        <v>445</v>
      </c>
      <c r="C455" s="60"/>
      <c r="D455" s="74"/>
      <c r="E455" s="75"/>
      <c r="F455" s="74"/>
      <c r="G455" s="54">
        <f t="shared" si="254"/>
        <v>0</v>
      </c>
      <c r="H455" s="55">
        <f t="shared" si="254"/>
        <v>0</v>
      </c>
      <c r="I455" s="76">
        <f t="shared" si="235"/>
        <v>0</v>
      </c>
      <c r="J455" s="58">
        <f t="shared" si="236"/>
        <v>0</v>
      </c>
      <c r="K455" s="58">
        <f t="shared" si="237"/>
        <v>0</v>
      </c>
      <c r="L455" s="58">
        <f t="shared" si="238"/>
        <v>0</v>
      </c>
      <c r="M455" s="58" t="str">
        <f t="shared" ca="1" si="239"/>
        <v/>
      </c>
      <c r="N455" s="58" t="str">
        <f t="shared" ca="1" si="239"/>
        <v/>
      </c>
      <c r="O455" s="58">
        <f t="shared" si="240"/>
        <v>5.0000000000000001E-4</v>
      </c>
      <c r="P455" s="77"/>
      <c r="Q455" s="60"/>
      <c r="R455" s="77"/>
      <c r="S455" s="78">
        <f t="shared" si="227"/>
        <v>0</v>
      </c>
      <c r="T455" s="55">
        <f t="shared" si="227"/>
        <v>0</v>
      </c>
      <c r="U455" s="79">
        <f t="shared" si="246"/>
        <v>0</v>
      </c>
      <c r="V455" s="63">
        <f t="shared" si="247"/>
        <v>0</v>
      </c>
      <c r="W455" s="64">
        <f t="shared" si="255"/>
        <v>153</v>
      </c>
      <c r="X455" s="80">
        <f t="shared" si="255"/>
        <v>156</v>
      </c>
      <c r="Y455" s="75"/>
      <c r="Z455" s="60"/>
      <c r="AA455" s="75"/>
      <c r="AB455" s="75"/>
      <c r="AC455" s="75"/>
      <c r="AD455" s="75"/>
      <c r="AE455" s="81">
        <f t="shared" si="228"/>
        <v>0</v>
      </c>
      <c r="AF455" s="55">
        <f t="shared" si="229"/>
        <v>0</v>
      </c>
      <c r="AG455" s="76">
        <f t="shared" si="257"/>
        <v>0</v>
      </c>
      <c r="AH455" s="82">
        <f t="shared" si="258"/>
        <v>0</v>
      </c>
      <c r="AI455" s="83">
        <f t="shared" si="258"/>
        <v>0</v>
      </c>
      <c r="AJ455" s="83">
        <f t="shared" si="258"/>
        <v>0</v>
      </c>
      <c r="AK455" s="58">
        <f t="shared" si="256"/>
        <v>0</v>
      </c>
      <c r="AL455" s="82">
        <f t="shared" si="230"/>
        <v>0</v>
      </c>
      <c r="AM455" s="58">
        <f t="shared" si="231"/>
        <v>0</v>
      </c>
      <c r="AN455" s="74"/>
      <c r="AO455" s="84"/>
      <c r="AP455" s="74"/>
      <c r="AQ455" s="85"/>
      <c r="AR455" s="74"/>
      <c r="AS455" s="74"/>
      <c r="AT455" s="74"/>
      <c r="AU455" s="55" t="str">
        <f t="shared" si="241"/>
        <v/>
      </c>
      <c r="AV455" s="55" t="str">
        <f t="shared" ca="1" si="242"/>
        <v/>
      </c>
      <c r="AW455" s="55" t="str">
        <f t="shared" si="232"/>
        <v/>
      </c>
      <c r="AX455" s="55" t="str">
        <f t="shared" ca="1" si="233"/>
        <v/>
      </c>
      <c r="AY455" s="86"/>
      <c r="AZ455" s="86"/>
      <c r="BA455" s="55" t="str">
        <f t="shared" si="243"/>
        <v/>
      </c>
      <c r="BB455" s="86"/>
      <c r="BC455" s="86"/>
      <c r="BD455" s="55" t="str">
        <f t="shared" si="244"/>
        <v/>
      </c>
      <c r="BE455" s="74"/>
      <c r="BS455" s="118"/>
      <c r="BT455" s="118"/>
      <c r="BU455" s="118"/>
      <c r="BV455" s="118"/>
      <c r="BW455" s="118"/>
      <c r="BX455" s="118"/>
      <c r="BZ455" s="118"/>
      <c r="CB455" s="118"/>
      <c r="CC455" s="118"/>
      <c r="CD455" s="118"/>
    </row>
    <row r="456" spans="1:82" ht="17.399999999999999" customHeight="1">
      <c r="A456" s="72">
        <f t="shared" si="245"/>
        <v>64.5</v>
      </c>
      <c r="B456" s="111">
        <f t="shared" si="226"/>
        <v>446</v>
      </c>
      <c r="C456" s="60"/>
      <c r="D456" s="74"/>
      <c r="E456" s="75"/>
      <c r="F456" s="74"/>
      <c r="G456" s="54">
        <f t="shared" si="254"/>
        <v>0</v>
      </c>
      <c r="H456" s="55">
        <f t="shared" si="254"/>
        <v>0</v>
      </c>
      <c r="I456" s="76">
        <f t="shared" si="235"/>
        <v>0</v>
      </c>
      <c r="J456" s="58">
        <f t="shared" si="236"/>
        <v>0</v>
      </c>
      <c r="K456" s="58">
        <f t="shared" si="237"/>
        <v>0</v>
      </c>
      <c r="L456" s="58">
        <f t="shared" si="238"/>
        <v>0</v>
      </c>
      <c r="M456" s="58" t="str">
        <f t="shared" ca="1" si="239"/>
        <v/>
      </c>
      <c r="N456" s="58" t="str">
        <f t="shared" ca="1" si="239"/>
        <v/>
      </c>
      <c r="O456" s="58">
        <f t="shared" si="240"/>
        <v>5.0000000000000001E-4</v>
      </c>
      <c r="P456" s="77"/>
      <c r="Q456" s="60"/>
      <c r="R456" s="77"/>
      <c r="S456" s="78">
        <f t="shared" si="227"/>
        <v>0</v>
      </c>
      <c r="T456" s="55">
        <f t="shared" si="227"/>
        <v>0</v>
      </c>
      <c r="U456" s="79">
        <f t="shared" si="246"/>
        <v>0</v>
      </c>
      <c r="V456" s="63">
        <f t="shared" si="247"/>
        <v>0</v>
      </c>
      <c r="W456" s="64">
        <f t="shared" si="255"/>
        <v>153</v>
      </c>
      <c r="X456" s="80">
        <f t="shared" si="255"/>
        <v>156</v>
      </c>
      <c r="Y456" s="75"/>
      <c r="Z456" s="60"/>
      <c r="AA456" s="75"/>
      <c r="AB456" s="75"/>
      <c r="AC456" s="75"/>
      <c r="AD456" s="75"/>
      <c r="AE456" s="81">
        <f t="shared" si="228"/>
        <v>0</v>
      </c>
      <c r="AF456" s="55">
        <f t="shared" si="229"/>
        <v>0</v>
      </c>
      <c r="AG456" s="76">
        <f t="shared" si="257"/>
        <v>0</v>
      </c>
      <c r="AH456" s="82">
        <f t="shared" si="258"/>
        <v>0</v>
      </c>
      <c r="AI456" s="83">
        <f t="shared" si="258"/>
        <v>0</v>
      </c>
      <c r="AJ456" s="83">
        <f t="shared" si="258"/>
        <v>0</v>
      </c>
      <c r="AK456" s="58">
        <f t="shared" si="256"/>
        <v>0</v>
      </c>
      <c r="AL456" s="82">
        <f t="shared" si="230"/>
        <v>0</v>
      </c>
      <c r="AM456" s="58">
        <f t="shared" si="231"/>
        <v>0</v>
      </c>
      <c r="AN456" s="74"/>
      <c r="AO456" s="84"/>
      <c r="AP456" s="74"/>
      <c r="AQ456" s="85"/>
      <c r="AR456" s="74"/>
      <c r="AS456" s="74"/>
      <c r="AT456" s="74"/>
      <c r="AU456" s="55" t="str">
        <f t="shared" si="241"/>
        <v/>
      </c>
      <c r="AV456" s="55" t="str">
        <f t="shared" ca="1" si="242"/>
        <v/>
      </c>
      <c r="AW456" s="55" t="str">
        <f t="shared" si="232"/>
        <v/>
      </c>
      <c r="AX456" s="55" t="str">
        <f t="shared" ca="1" si="233"/>
        <v/>
      </c>
      <c r="AY456" s="86"/>
      <c r="AZ456" s="86"/>
      <c r="BA456" s="55" t="str">
        <f t="shared" si="243"/>
        <v/>
      </c>
      <c r="BB456" s="86"/>
      <c r="BC456" s="86"/>
      <c r="BD456" s="55" t="str">
        <f t="shared" si="244"/>
        <v/>
      </c>
      <c r="BE456" s="74"/>
      <c r="BS456" s="118"/>
      <c r="BT456" s="118"/>
      <c r="BU456" s="118"/>
      <c r="BV456" s="118"/>
      <c r="BW456" s="118"/>
      <c r="BX456" s="118"/>
      <c r="BZ456" s="118"/>
      <c r="CB456" s="118"/>
      <c r="CC456" s="118"/>
      <c r="CD456" s="118"/>
    </row>
    <row r="457" spans="1:82" ht="17.399999999999999" customHeight="1">
      <c r="A457" s="87">
        <f t="shared" si="245"/>
        <v>64.599999999999994</v>
      </c>
      <c r="B457" s="111">
        <f t="shared" si="226"/>
        <v>447</v>
      </c>
      <c r="C457" s="60"/>
      <c r="D457" s="74"/>
      <c r="E457" s="75"/>
      <c r="F457" s="74"/>
      <c r="G457" s="54">
        <f t="shared" si="254"/>
        <v>0</v>
      </c>
      <c r="H457" s="55">
        <f t="shared" si="254"/>
        <v>0</v>
      </c>
      <c r="I457" s="76">
        <f t="shared" si="235"/>
        <v>0</v>
      </c>
      <c r="J457" s="58">
        <f t="shared" si="236"/>
        <v>0</v>
      </c>
      <c r="K457" s="58">
        <f t="shared" si="237"/>
        <v>0</v>
      </c>
      <c r="L457" s="58">
        <f t="shared" si="238"/>
        <v>0</v>
      </c>
      <c r="M457" s="58" t="str">
        <f t="shared" ca="1" si="239"/>
        <v/>
      </c>
      <c r="N457" s="58" t="str">
        <f t="shared" ca="1" si="239"/>
        <v/>
      </c>
      <c r="O457" s="58">
        <f t="shared" si="240"/>
        <v>5.0000000000000001E-4</v>
      </c>
      <c r="P457" s="77"/>
      <c r="Q457" s="60"/>
      <c r="R457" s="77"/>
      <c r="S457" s="78">
        <f t="shared" si="227"/>
        <v>0</v>
      </c>
      <c r="T457" s="55">
        <f t="shared" si="227"/>
        <v>0</v>
      </c>
      <c r="U457" s="79">
        <f t="shared" si="246"/>
        <v>0</v>
      </c>
      <c r="V457" s="63">
        <f t="shared" si="247"/>
        <v>0</v>
      </c>
      <c r="W457" s="64">
        <f t="shared" si="255"/>
        <v>153</v>
      </c>
      <c r="X457" s="80">
        <f t="shared" si="255"/>
        <v>156</v>
      </c>
      <c r="Y457" s="75"/>
      <c r="Z457" s="60"/>
      <c r="AA457" s="75"/>
      <c r="AB457" s="75"/>
      <c r="AC457" s="75"/>
      <c r="AD457" s="75"/>
      <c r="AE457" s="81">
        <f t="shared" si="228"/>
        <v>0</v>
      </c>
      <c r="AF457" s="55">
        <f t="shared" si="229"/>
        <v>0</v>
      </c>
      <c r="AG457" s="76">
        <f t="shared" si="257"/>
        <v>0</v>
      </c>
      <c r="AH457" s="82">
        <f t="shared" si="258"/>
        <v>0</v>
      </c>
      <c r="AI457" s="83">
        <f t="shared" si="258"/>
        <v>0</v>
      </c>
      <c r="AJ457" s="83">
        <f t="shared" si="258"/>
        <v>0</v>
      </c>
      <c r="AK457" s="58">
        <f t="shared" si="256"/>
        <v>0</v>
      </c>
      <c r="AL457" s="82">
        <f t="shared" si="230"/>
        <v>0</v>
      </c>
      <c r="AM457" s="58">
        <f t="shared" si="231"/>
        <v>0</v>
      </c>
      <c r="AN457" s="74"/>
      <c r="AO457" s="84"/>
      <c r="AP457" s="74"/>
      <c r="AQ457" s="85"/>
      <c r="AR457" s="74"/>
      <c r="AS457" s="74"/>
      <c r="AT457" s="74"/>
      <c r="AU457" s="55" t="str">
        <f t="shared" si="241"/>
        <v/>
      </c>
      <c r="AV457" s="55" t="str">
        <f t="shared" ca="1" si="242"/>
        <v/>
      </c>
      <c r="AW457" s="55" t="str">
        <f t="shared" si="232"/>
        <v/>
      </c>
      <c r="AX457" s="55" t="str">
        <f t="shared" ca="1" si="233"/>
        <v/>
      </c>
      <c r="AY457" s="86"/>
      <c r="AZ457" s="86"/>
      <c r="BA457" s="55" t="str">
        <f t="shared" si="243"/>
        <v/>
      </c>
      <c r="BB457" s="86"/>
      <c r="BC457" s="86"/>
      <c r="BD457" s="55" t="str">
        <f t="shared" si="244"/>
        <v/>
      </c>
      <c r="BE457" s="74"/>
      <c r="BS457" s="118"/>
      <c r="BT457" s="118"/>
      <c r="BU457" s="118"/>
      <c r="BV457" s="118"/>
      <c r="BW457" s="118"/>
      <c r="BX457" s="118"/>
      <c r="BZ457" s="118"/>
      <c r="CB457" s="118"/>
      <c r="CC457" s="118"/>
      <c r="CD457" s="118"/>
    </row>
    <row r="458" spans="1:82" ht="17.399999999999999" customHeight="1" thickBot="1">
      <c r="A458" s="72">
        <f t="shared" si="245"/>
        <v>64.7</v>
      </c>
      <c r="B458" s="113">
        <f t="shared" si="226"/>
        <v>448</v>
      </c>
      <c r="C458" s="89"/>
      <c r="D458" s="90"/>
      <c r="E458" s="91"/>
      <c r="F458" s="90"/>
      <c r="G458" s="92">
        <f t="shared" si="254"/>
        <v>0</v>
      </c>
      <c r="H458" s="93">
        <f t="shared" si="254"/>
        <v>0</v>
      </c>
      <c r="I458" s="94">
        <f t="shared" si="235"/>
        <v>0</v>
      </c>
      <c r="J458" s="95">
        <f t="shared" si="236"/>
        <v>0</v>
      </c>
      <c r="K458" s="95">
        <f t="shared" si="237"/>
        <v>0</v>
      </c>
      <c r="L458" s="95">
        <f t="shared" si="238"/>
        <v>0</v>
      </c>
      <c r="M458" s="95" t="str">
        <f t="shared" ca="1" si="239"/>
        <v/>
      </c>
      <c r="N458" s="95" t="str">
        <f t="shared" ca="1" si="239"/>
        <v/>
      </c>
      <c r="O458" s="95">
        <f t="shared" si="240"/>
        <v>5.0000000000000001E-4</v>
      </c>
      <c r="P458" s="96"/>
      <c r="Q458" s="89"/>
      <c r="R458" s="96"/>
      <c r="S458" s="78">
        <f t="shared" si="227"/>
        <v>0</v>
      </c>
      <c r="T458" s="55">
        <f t="shared" si="227"/>
        <v>0</v>
      </c>
      <c r="U458" s="97">
        <f t="shared" si="246"/>
        <v>0</v>
      </c>
      <c r="V458" s="98">
        <f t="shared" si="247"/>
        <v>0</v>
      </c>
      <c r="W458" s="99">
        <f t="shared" si="255"/>
        <v>153</v>
      </c>
      <c r="X458" s="100">
        <f t="shared" si="255"/>
        <v>156</v>
      </c>
      <c r="Y458" s="91"/>
      <c r="Z458" s="60"/>
      <c r="AA458" s="75"/>
      <c r="AB458" s="75"/>
      <c r="AC458" s="75"/>
      <c r="AD458" s="75"/>
      <c r="AE458" s="101">
        <f t="shared" si="228"/>
        <v>0</v>
      </c>
      <c r="AF458" s="93">
        <f t="shared" si="229"/>
        <v>0</v>
      </c>
      <c r="AG458" s="94">
        <f t="shared" si="257"/>
        <v>0</v>
      </c>
      <c r="AH458" s="102">
        <f t="shared" si="258"/>
        <v>0</v>
      </c>
      <c r="AI458" s="103">
        <f t="shared" si="258"/>
        <v>0</v>
      </c>
      <c r="AJ458" s="103">
        <f t="shared" si="258"/>
        <v>0</v>
      </c>
      <c r="AK458" s="95">
        <f t="shared" si="256"/>
        <v>0</v>
      </c>
      <c r="AL458" s="102">
        <f t="shared" si="230"/>
        <v>0</v>
      </c>
      <c r="AM458" s="95">
        <f t="shared" si="231"/>
        <v>0</v>
      </c>
      <c r="AN458" s="90"/>
      <c r="AO458" s="104"/>
      <c r="AP458" s="90"/>
      <c r="AQ458" s="105"/>
      <c r="AR458" s="90"/>
      <c r="AS458" s="90"/>
      <c r="AT458" s="90"/>
      <c r="AU458" s="93" t="str">
        <f t="shared" si="241"/>
        <v/>
      </c>
      <c r="AV458" s="93" t="str">
        <f t="shared" ca="1" si="242"/>
        <v/>
      </c>
      <c r="AW458" s="93" t="str">
        <f t="shared" si="232"/>
        <v/>
      </c>
      <c r="AX458" s="93" t="str">
        <f t="shared" ca="1" si="233"/>
        <v/>
      </c>
      <c r="AY458" s="106"/>
      <c r="AZ458" s="106"/>
      <c r="BA458" s="93" t="str">
        <f t="shared" si="243"/>
        <v/>
      </c>
      <c r="BB458" s="106"/>
      <c r="BC458" s="106"/>
      <c r="BD458" s="93" t="str">
        <f t="shared" si="244"/>
        <v/>
      </c>
      <c r="BE458" s="90"/>
      <c r="BS458" s="118"/>
      <c r="BT458" s="118"/>
      <c r="BU458" s="118"/>
      <c r="BV458" s="118"/>
      <c r="BW458" s="118"/>
      <c r="BX458" s="118"/>
      <c r="BZ458" s="118"/>
      <c r="CB458" s="118"/>
      <c r="CC458" s="118"/>
      <c r="CD458" s="118"/>
    </row>
    <row r="459" spans="1:82" ht="17.399999999999999" customHeight="1" thickTop="1">
      <c r="A459" s="49">
        <f>A452+1</f>
        <v>65.099999999999994</v>
      </c>
      <c r="B459" s="108">
        <f>B458+1</f>
        <v>449</v>
      </c>
      <c r="C459" s="51"/>
      <c r="D459" s="52"/>
      <c r="E459" s="53"/>
      <c r="F459" s="52"/>
      <c r="G459" s="54">
        <f t="shared" si="254"/>
        <v>0</v>
      </c>
      <c r="H459" s="55">
        <f t="shared" si="254"/>
        <v>0</v>
      </c>
      <c r="I459" s="56">
        <f t="shared" si="235"/>
        <v>0</v>
      </c>
      <c r="J459" s="57">
        <f t="shared" si="236"/>
        <v>0</v>
      </c>
      <c r="K459" s="57">
        <f t="shared" si="237"/>
        <v>0</v>
      </c>
      <c r="L459" s="57">
        <f t="shared" si="238"/>
        <v>0</v>
      </c>
      <c r="M459" s="58" t="str">
        <f t="shared" ca="1" si="239"/>
        <v/>
      </c>
      <c r="N459" s="58" t="str">
        <f t="shared" ca="1" si="239"/>
        <v/>
      </c>
      <c r="O459" s="58">
        <f t="shared" si="240"/>
        <v>5.0000000000000001E-4</v>
      </c>
      <c r="P459" s="77"/>
      <c r="Q459" s="60"/>
      <c r="R459" s="77"/>
      <c r="S459" s="109">
        <f t="shared" ref="S459:T500" si="259">IF($P459="FULL FEED",Q459,Q459*2)</f>
        <v>0</v>
      </c>
      <c r="T459" s="61">
        <f t="shared" si="259"/>
        <v>0</v>
      </c>
      <c r="U459" s="62">
        <f t="shared" si="246"/>
        <v>0</v>
      </c>
      <c r="V459" s="63">
        <f t="shared" si="247"/>
        <v>0</v>
      </c>
      <c r="W459" s="64">
        <v>154</v>
      </c>
      <c r="X459" s="80">
        <f t="shared" si="255"/>
        <v>156</v>
      </c>
      <c r="Y459" s="53"/>
      <c r="Z459" s="51"/>
      <c r="AA459" s="53"/>
      <c r="AB459" s="53"/>
      <c r="AC459" s="53"/>
      <c r="AD459" s="53"/>
      <c r="AE459" s="66">
        <f t="shared" ref="AE459:AE500" si="260">SUM(Z459,AA459,AB459,AC459)</f>
        <v>0</v>
      </c>
      <c r="AF459" s="61">
        <f t="shared" ref="AF459:AF500" si="261">Y459-AE459</f>
        <v>0</v>
      </c>
      <c r="AG459" s="56">
        <f t="shared" si="257"/>
        <v>0</v>
      </c>
      <c r="AH459" s="67">
        <f t="shared" si="258"/>
        <v>0</v>
      </c>
      <c r="AI459" s="68">
        <f t="shared" si="258"/>
        <v>0</v>
      </c>
      <c r="AJ459" s="68">
        <f t="shared" si="258"/>
        <v>0</v>
      </c>
      <c r="AK459" s="57">
        <f t="shared" si="256"/>
        <v>0</v>
      </c>
      <c r="AL459" s="67">
        <f t="shared" ref="AL459:AL500" si="262">IFERROR(AE459/Y459,0)</f>
        <v>0</v>
      </c>
      <c r="AM459" s="57">
        <f t="shared" ref="AM459:AM500" si="263">IFERROR(AF459/Y459,0)</f>
        <v>0</v>
      </c>
      <c r="AN459" s="52"/>
      <c r="AO459" s="69"/>
      <c r="AP459" s="52"/>
      <c r="AQ459" s="70"/>
      <c r="AR459" s="52"/>
      <c r="AS459" s="52"/>
      <c r="AT459" s="52"/>
      <c r="AU459" s="61" t="str">
        <f t="shared" si="241"/>
        <v/>
      </c>
      <c r="AV459" s="61" t="str">
        <f t="shared" ca="1" si="242"/>
        <v/>
      </c>
      <c r="AW459" s="61" t="str">
        <f t="shared" ref="AW459:AW500" si="264">IFERROR(IF(OR(AR459="",AT459="",K459="",L459=""),"", ((AT459-AR459)/100*1000)/(U459+V459)),0)</f>
        <v/>
      </c>
      <c r="AX459" s="61" t="str">
        <f t="shared" ref="AX459:AX499" ca="1" si="265">IF(OR(AR459="",AR460="",M459="",N459=""),"", ((AR460-AR459)/100*1000)/((G459+H459))*1000)</f>
        <v/>
      </c>
      <c r="AY459" s="71"/>
      <c r="AZ459" s="71"/>
      <c r="BA459" s="61" t="str">
        <f t="shared" si="243"/>
        <v/>
      </c>
      <c r="BB459" s="71"/>
      <c r="BC459" s="71"/>
      <c r="BD459" s="61" t="str">
        <f t="shared" si="244"/>
        <v/>
      </c>
      <c r="BE459" s="52"/>
      <c r="BS459" s="118"/>
      <c r="BT459" s="118"/>
      <c r="BU459" s="118"/>
      <c r="BV459" s="118"/>
      <c r="BW459" s="118"/>
      <c r="BX459" s="118"/>
      <c r="BZ459" s="118"/>
      <c r="CB459" s="118"/>
      <c r="CC459" s="118"/>
      <c r="CD459" s="118"/>
    </row>
    <row r="460" spans="1:82" ht="17.399999999999999" customHeight="1">
      <c r="A460" s="72">
        <f t="shared" si="245"/>
        <v>65.2</v>
      </c>
      <c r="B460" s="111">
        <f t="shared" ref="B460:B500" si="266">B459+1</f>
        <v>450</v>
      </c>
      <c r="C460" s="60"/>
      <c r="D460" s="74"/>
      <c r="E460" s="75"/>
      <c r="F460" s="74"/>
      <c r="G460" s="54">
        <f t="shared" ref="G460:H475" si="267">G459-E460-C460</f>
        <v>0</v>
      </c>
      <c r="H460" s="55">
        <f t="shared" si="267"/>
        <v>0</v>
      </c>
      <c r="I460" s="76">
        <f t="shared" ref="I460:I500" si="268">IFERROR(C460/G459,0)</f>
        <v>0</v>
      </c>
      <c r="J460" s="58">
        <f t="shared" ref="J460:J500" si="269">IFERROR(E460/G459,0)</f>
        <v>0</v>
      </c>
      <c r="K460" s="58">
        <f t="shared" ref="K460:K500" si="270">IFERROR(D460/H459,0)</f>
        <v>0</v>
      </c>
      <c r="L460" s="58">
        <f t="shared" ref="L460:L500" si="271">IFERROR(F460/H459,0)</f>
        <v>0</v>
      </c>
      <c r="M460" s="58" t="str">
        <f t="shared" ref="M460:N500" ca="1" si="272">IF(ROW()=11,
   IF($B$4&gt;0,E460/$B$4,""),
   IF($B$4&gt;0,
      (OFFSET(M460,-1,0)*$B$4 + E460)/$B$4,
      "")
)</f>
        <v/>
      </c>
      <c r="N460" s="58" t="str">
        <f t="shared" ca="1" si="272"/>
        <v/>
      </c>
      <c r="O460" s="58">
        <f t="shared" ref="O460:O500" si="273">$O$10</f>
        <v>5.0000000000000001E-4</v>
      </c>
      <c r="P460" s="77"/>
      <c r="Q460" s="60"/>
      <c r="R460" s="77"/>
      <c r="S460" s="78">
        <f t="shared" si="259"/>
        <v>0</v>
      </c>
      <c r="T460" s="55">
        <f t="shared" si="259"/>
        <v>0</v>
      </c>
      <c r="U460" s="79">
        <f t="shared" si="246"/>
        <v>0</v>
      </c>
      <c r="V460" s="63">
        <f t="shared" si="247"/>
        <v>0</v>
      </c>
      <c r="W460" s="64">
        <f t="shared" ref="W460:X475" si="274">W459</f>
        <v>154</v>
      </c>
      <c r="X460" s="80">
        <f t="shared" si="255"/>
        <v>156</v>
      </c>
      <c r="Y460" s="75"/>
      <c r="Z460" s="60"/>
      <c r="AA460" s="75"/>
      <c r="AB460" s="75"/>
      <c r="AC460" s="75"/>
      <c r="AD460" s="75"/>
      <c r="AE460" s="81">
        <f t="shared" si="260"/>
        <v>0</v>
      </c>
      <c r="AF460" s="55">
        <f t="shared" si="261"/>
        <v>0</v>
      </c>
      <c r="AG460" s="76">
        <f t="shared" si="257"/>
        <v>0</v>
      </c>
      <c r="AH460" s="82">
        <f t="shared" si="258"/>
        <v>0</v>
      </c>
      <c r="AI460" s="83">
        <f t="shared" si="258"/>
        <v>0</v>
      </c>
      <c r="AJ460" s="83">
        <f t="shared" si="258"/>
        <v>0</v>
      </c>
      <c r="AK460" s="58">
        <f t="shared" si="256"/>
        <v>0</v>
      </c>
      <c r="AL460" s="82">
        <f t="shared" si="262"/>
        <v>0</v>
      </c>
      <c r="AM460" s="58">
        <f t="shared" si="263"/>
        <v>0</v>
      </c>
      <c r="AN460" s="74"/>
      <c r="AO460" s="84"/>
      <c r="AP460" s="74"/>
      <c r="AQ460" s="85"/>
      <c r="AR460" s="74"/>
      <c r="AS460" s="74"/>
      <c r="AT460" s="74"/>
      <c r="AU460" s="55" t="str">
        <f t="shared" ref="AU460:AU500" si="275">IF(OR(AT460="",AR460=""),"", (AT460-AR460)/100*1000)</f>
        <v/>
      </c>
      <c r="AV460" s="55" t="str">
        <f t="shared" ref="AV460:AV499" ca="1" si="276">IF(OR(AR461="",OFFSET(AR461,-1,0)=""),"", (AR461-OFFSET(AR461,-1,0))/100*1000)</f>
        <v/>
      </c>
      <c r="AW460" s="55" t="str">
        <f t="shared" si="264"/>
        <v/>
      </c>
      <c r="AX460" s="55" t="str">
        <f t="shared" ca="1" si="265"/>
        <v/>
      </c>
      <c r="AY460" s="86"/>
      <c r="AZ460" s="86"/>
      <c r="BA460" s="55" t="str">
        <f t="shared" ref="BA460:BA523" si="277">IF(OR(AY460="",AZ460=""),"",MOD(AZ460-AY460,1)*24)</f>
        <v/>
      </c>
      <c r="BB460" s="86"/>
      <c r="BC460" s="86"/>
      <c r="BD460" s="55" t="str">
        <f t="shared" ref="BD460:BD523" si="278">IF(OR(BB460="",BC460=""),"",MOD(BC460-BB460,1)*24)</f>
        <v/>
      </c>
      <c r="BE460" s="74"/>
      <c r="BS460" s="118"/>
      <c r="BT460" s="118"/>
      <c r="BU460" s="118"/>
      <c r="BV460" s="118"/>
      <c r="BW460" s="118"/>
      <c r="BX460" s="118"/>
      <c r="BZ460" s="118"/>
      <c r="CB460" s="118"/>
      <c r="CC460" s="118"/>
      <c r="CD460" s="118"/>
    </row>
    <row r="461" spans="1:82" ht="17.399999999999999" customHeight="1">
      <c r="A461" s="87">
        <f t="shared" si="245"/>
        <v>65.3</v>
      </c>
      <c r="B461" s="111">
        <f t="shared" si="266"/>
        <v>451</v>
      </c>
      <c r="C461" s="60"/>
      <c r="D461" s="74"/>
      <c r="E461" s="75"/>
      <c r="F461" s="74"/>
      <c r="G461" s="54">
        <f t="shared" si="267"/>
        <v>0</v>
      </c>
      <c r="H461" s="55">
        <f t="shared" si="267"/>
        <v>0</v>
      </c>
      <c r="I461" s="76">
        <f t="shared" si="268"/>
        <v>0</v>
      </c>
      <c r="J461" s="58">
        <f t="shared" si="269"/>
        <v>0</v>
      </c>
      <c r="K461" s="58">
        <f t="shared" si="270"/>
        <v>0</v>
      </c>
      <c r="L461" s="58">
        <f t="shared" si="271"/>
        <v>0</v>
      </c>
      <c r="M461" s="58" t="str">
        <f t="shared" ca="1" si="272"/>
        <v/>
      </c>
      <c r="N461" s="58" t="str">
        <f t="shared" ca="1" si="272"/>
        <v/>
      </c>
      <c r="O461" s="58">
        <f t="shared" si="273"/>
        <v>5.0000000000000001E-4</v>
      </c>
      <c r="P461" s="77"/>
      <c r="Q461" s="60"/>
      <c r="R461" s="77"/>
      <c r="S461" s="78">
        <f t="shared" si="259"/>
        <v>0</v>
      </c>
      <c r="T461" s="55">
        <f t="shared" si="259"/>
        <v>0</v>
      </c>
      <c r="U461" s="79">
        <f t="shared" si="246"/>
        <v>0</v>
      </c>
      <c r="V461" s="63">
        <f t="shared" si="247"/>
        <v>0</v>
      </c>
      <c r="W461" s="64">
        <f t="shared" si="274"/>
        <v>154</v>
      </c>
      <c r="X461" s="80">
        <f t="shared" si="255"/>
        <v>156</v>
      </c>
      <c r="Y461" s="75"/>
      <c r="Z461" s="60"/>
      <c r="AA461" s="75"/>
      <c r="AB461" s="75"/>
      <c r="AC461" s="75"/>
      <c r="AD461" s="75"/>
      <c r="AE461" s="81">
        <f t="shared" si="260"/>
        <v>0</v>
      </c>
      <c r="AF461" s="55">
        <f t="shared" si="261"/>
        <v>0</v>
      </c>
      <c r="AG461" s="76">
        <f t="shared" si="257"/>
        <v>0</v>
      </c>
      <c r="AH461" s="82">
        <f t="shared" si="258"/>
        <v>0</v>
      </c>
      <c r="AI461" s="83">
        <f t="shared" si="258"/>
        <v>0</v>
      </c>
      <c r="AJ461" s="83">
        <f t="shared" si="258"/>
        <v>0</v>
      </c>
      <c r="AK461" s="58">
        <f t="shared" si="256"/>
        <v>0</v>
      </c>
      <c r="AL461" s="82">
        <f t="shared" si="262"/>
        <v>0</v>
      </c>
      <c r="AM461" s="58">
        <f t="shared" si="263"/>
        <v>0</v>
      </c>
      <c r="AN461" s="74"/>
      <c r="AO461" s="84"/>
      <c r="AP461" s="74"/>
      <c r="AQ461" s="85"/>
      <c r="AR461" s="74"/>
      <c r="AS461" s="74"/>
      <c r="AT461" s="74"/>
      <c r="AU461" s="55" t="str">
        <f t="shared" si="275"/>
        <v/>
      </c>
      <c r="AV461" s="55" t="str">
        <f t="shared" ca="1" si="276"/>
        <v/>
      </c>
      <c r="AW461" s="55" t="str">
        <f t="shared" si="264"/>
        <v/>
      </c>
      <c r="AX461" s="55" t="str">
        <f t="shared" ca="1" si="265"/>
        <v/>
      </c>
      <c r="AY461" s="86"/>
      <c r="AZ461" s="86"/>
      <c r="BA461" s="55" t="str">
        <f t="shared" si="277"/>
        <v/>
      </c>
      <c r="BB461" s="86"/>
      <c r="BC461" s="86"/>
      <c r="BD461" s="55" t="str">
        <f t="shared" si="278"/>
        <v/>
      </c>
      <c r="BE461" s="74"/>
      <c r="BS461" s="118"/>
      <c r="BT461" s="118"/>
      <c r="BU461" s="118"/>
      <c r="BV461" s="118"/>
      <c r="BW461" s="118"/>
      <c r="BX461" s="118"/>
      <c r="BZ461" s="118"/>
      <c r="CB461" s="118"/>
      <c r="CC461" s="118"/>
      <c r="CD461" s="118"/>
    </row>
    <row r="462" spans="1:82" ht="17.399999999999999" customHeight="1">
      <c r="A462" s="72">
        <f t="shared" si="245"/>
        <v>65.400000000000006</v>
      </c>
      <c r="B462" s="111">
        <f t="shared" si="266"/>
        <v>452</v>
      </c>
      <c r="C462" s="60"/>
      <c r="D462" s="74"/>
      <c r="E462" s="75"/>
      <c r="F462" s="74"/>
      <c r="G462" s="54">
        <f t="shared" si="267"/>
        <v>0</v>
      </c>
      <c r="H462" s="55">
        <f t="shared" si="267"/>
        <v>0</v>
      </c>
      <c r="I462" s="76">
        <f t="shared" si="268"/>
        <v>0</v>
      </c>
      <c r="J462" s="58">
        <f t="shared" si="269"/>
        <v>0</v>
      </c>
      <c r="K462" s="58">
        <f t="shared" si="270"/>
        <v>0</v>
      </c>
      <c r="L462" s="58">
        <f t="shared" si="271"/>
        <v>0</v>
      </c>
      <c r="M462" s="58" t="str">
        <f t="shared" ca="1" si="272"/>
        <v/>
      </c>
      <c r="N462" s="58" t="str">
        <f t="shared" ca="1" si="272"/>
        <v/>
      </c>
      <c r="O462" s="58">
        <f t="shared" si="273"/>
        <v>5.0000000000000001E-4</v>
      </c>
      <c r="P462" s="77"/>
      <c r="Q462" s="60"/>
      <c r="R462" s="77"/>
      <c r="S462" s="78">
        <f t="shared" si="259"/>
        <v>0</v>
      </c>
      <c r="T462" s="55">
        <f t="shared" si="259"/>
        <v>0</v>
      </c>
      <c r="U462" s="79">
        <f t="shared" si="246"/>
        <v>0</v>
      </c>
      <c r="V462" s="63">
        <f t="shared" si="247"/>
        <v>0</v>
      </c>
      <c r="W462" s="64">
        <f t="shared" si="274"/>
        <v>154</v>
      </c>
      <c r="X462" s="80">
        <f t="shared" si="274"/>
        <v>156</v>
      </c>
      <c r="Y462" s="60"/>
      <c r="Z462" s="60"/>
      <c r="AA462" s="75"/>
      <c r="AB462" s="75"/>
      <c r="AC462" s="75"/>
      <c r="AD462" s="75"/>
      <c r="AE462" s="81">
        <f t="shared" si="260"/>
        <v>0</v>
      </c>
      <c r="AF462" s="55">
        <f t="shared" si="261"/>
        <v>0</v>
      </c>
      <c r="AG462" s="76">
        <f t="shared" si="257"/>
        <v>0</v>
      </c>
      <c r="AH462" s="82">
        <f t="shared" si="258"/>
        <v>0</v>
      </c>
      <c r="AI462" s="83">
        <f t="shared" si="258"/>
        <v>0</v>
      </c>
      <c r="AJ462" s="83">
        <f t="shared" si="258"/>
        <v>0</v>
      </c>
      <c r="AK462" s="58">
        <f t="shared" si="256"/>
        <v>0</v>
      </c>
      <c r="AL462" s="82">
        <f t="shared" si="262"/>
        <v>0</v>
      </c>
      <c r="AM462" s="58">
        <f t="shared" si="263"/>
        <v>0</v>
      </c>
      <c r="AN462" s="74"/>
      <c r="AO462" s="84"/>
      <c r="AP462" s="74"/>
      <c r="AQ462" s="85"/>
      <c r="AR462" s="74"/>
      <c r="AS462" s="74"/>
      <c r="AT462" s="74"/>
      <c r="AU462" s="55" t="str">
        <f t="shared" si="275"/>
        <v/>
      </c>
      <c r="AV462" s="55" t="str">
        <f t="shared" ca="1" si="276"/>
        <v/>
      </c>
      <c r="AW462" s="55" t="str">
        <f t="shared" si="264"/>
        <v/>
      </c>
      <c r="AX462" s="55" t="str">
        <f t="shared" ca="1" si="265"/>
        <v/>
      </c>
      <c r="AY462" s="86"/>
      <c r="AZ462" s="86"/>
      <c r="BA462" s="55" t="str">
        <f t="shared" si="277"/>
        <v/>
      </c>
      <c r="BB462" s="86"/>
      <c r="BC462" s="86"/>
      <c r="BD462" s="55" t="str">
        <f t="shared" si="278"/>
        <v/>
      </c>
      <c r="BE462" s="74"/>
      <c r="BS462" s="118"/>
      <c r="BT462" s="118"/>
      <c r="BU462" s="118"/>
      <c r="BV462" s="118"/>
      <c r="BW462" s="118"/>
      <c r="BX462" s="118"/>
      <c r="BZ462" s="118"/>
      <c r="CB462" s="118"/>
      <c r="CC462" s="118"/>
      <c r="CD462" s="118"/>
    </row>
    <row r="463" spans="1:82" ht="17.399999999999999" customHeight="1">
      <c r="A463" s="87">
        <f t="shared" si="245"/>
        <v>65.5</v>
      </c>
      <c r="B463" s="111">
        <f t="shared" si="266"/>
        <v>453</v>
      </c>
      <c r="C463" s="60"/>
      <c r="D463" s="74"/>
      <c r="E463" s="75"/>
      <c r="F463" s="74"/>
      <c r="G463" s="54">
        <f t="shared" si="267"/>
        <v>0</v>
      </c>
      <c r="H463" s="55">
        <f t="shared" si="267"/>
        <v>0</v>
      </c>
      <c r="I463" s="76">
        <f t="shared" si="268"/>
        <v>0</v>
      </c>
      <c r="J463" s="58">
        <f t="shared" si="269"/>
        <v>0</v>
      </c>
      <c r="K463" s="58">
        <f t="shared" si="270"/>
        <v>0</v>
      </c>
      <c r="L463" s="58">
        <f t="shared" si="271"/>
        <v>0</v>
      </c>
      <c r="M463" s="58" t="str">
        <f t="shared" ca="1" si="272"/>
        <v/>
      </c>
      <c r="N463" s="58" t="str">
        <f t="shared" ca="1" si="272"/>
        <v/>
      </c>
      <c r="O463" s="58">
        <f t="shared" si="273"/>
        <v>5.0000000000000001E-4</v>
      </c>
      <c r="P463" s="77"/>
      <c r="Q463" s="60"/>
      <c r="R463" s="77"/>
      <c r="S463" s="78">
        <f t="shared" si="259"/>
        <v>0</v>
      </c>
      <c r="T463" s="55">
        <f t="shared" si="259"/>
        <v>0</v>
      </c>
      <c r="U463" s="79">
        <f t="shared" si="246"/>
        <v>0</v>
      </c>
      <c r="V463" s="63">
        <f t="shared" si="247"/>
        <v>0</v>
      </c>
      <c r="W463" s="64">
        <f t="shared" si="274"/>
        <v>154</v>
      </c>
      <c r="X463" s="80">
        <f t="shared" si="274"/>
        <v>156</v>
      </c>
      <c r="Y463" s="60"/>
      <c r="Z463" s="60"/>
      <c r="AA463" s="75"/>
      <c r="AB463" s="75"/>
      <c r="AC463" s="75"/>
      <c r="AD463" s="75"/>
      <c r="AE463" s="81">
        <f t="shared" si="260"/>
        <v>0</v>
      </c>
      <c r="AF463" s="55">
        <f t="shared" si="261"/>
        <v>0</v>
      </c>
      <c r="AG463" s="76">
        <f t="shared" si="257"/>
        <v>0</v>
      </c>
      <c r="AH463" s="82">
        <f t="shared" si="258"/>
        <v>0</v>
      </c>
      <c r="AI463" s="83">
        <f t="shared" si="258"/>
        <v>0</v>
      </c>
      <c r="AJ463" s="83">
        <f t="shared" si="258"/>
        <v>0</v>
      </c>
      <c r="AK463" s="58">
        <f t="shared" si="256"/>
        <v>0</v>
      </c>
      <c r="AL463" s="82">
        <f t="shared" si="262"/>
        <v>0</v>
      </c>
      <c r="AM463" s="58">
        <f t="shared" si="263"/>
        <v>0</v>
      </c>
      <c r="AN463" s="74"/>
      <c r="AO463" s="84"/>
      <c r="AP463" s="74"/>
      <c r="AQ463" s="85"/>
      <c r="AR463" s="74"/>
      <c r="AS463" s="74"/>
      <c r="AT463" s="74"/>
      <c r="AU463" s="55" t="str">
        <f t="shared" si="275"/>
        <v/>
      </c>
      <c r="AV463" s="55" t="str">
        <f t="shared" ca="1" si="276"/>
        <v/>
      </c>
      <c r="AW463" s="55" t="str">
        <f t="shared" si="264"/>
        <v/>
      </c>
      <c r="AX463" s="55" t="str">
        <f t="shared" ca="1" si="265"/>
        <v/>
      </c>
      <c r="AY463" s="86"/>
      <c r="AZ463" s="86"/>
      <c r="BA463" s="55" t="str">
        <f t="shared" si="277"/>
        <v/>
      </c>
      <c r="BB463" s="86"/>
      <c r="BC463" s="86"/>
      <c r="BD463" s="55" t="str">
        <f t="shared" si="278"/>
        <v/>
      </c>
      <c r="BE463" s="74"/>
      <c r="BS463" s="118"/>
      <c r="BT463" s="118"/>
      <c r="BU463" s="118"/>
      <c r="BV463" s="118"/>
      <c r="BW463" s="118"/>
      <c r="BX463" s="118"/>
      <c r="BZ463" s="118"/>
      <c r="CB463" s="118"/>
      <c r="CC463" s="118"/>
      <c r="CD463" s="118"/>
    </row>
    <row r="464" spans="1:82" ht="17.399999999999999" customHeight="1">
      <c r="A464" s="72">
        <f t="shared" si="245"/>
        <v>65.599999999999994</v>
      </c>
      <c r="B464" s="111">
        <f t="shared" si="266"/>
        <v>454</v>
      </c>
      <c r="C464" s="60"/>
      <c r="D464" s="74"/>
      <c r="E464" s="75"/>
      <c r="F464" s="74"/>
      <c r="G464" s="54">
        <f t="shared" si="267"/>
        <v>0</v>
      </c>
      <c r="H464" s="55">
        <f t="shared" si="267"/>
        <v>0</v>
      </c>
      <c r="I464" s="76">
        <f t="shared" si="268"/>
        <v>0</v>
      </c>
      <c r="J464" s="58">
        <f t="shared" si="269"/>
        <v>0</v>
      </c>
      <c r="K464" s="58">
        <f t="shared" si="270"/>
        <v>0</v>
      </c>
      <c r="L464" s="58">
        <f t="shared" si="271"/>
        <v>0</v>
      </c>
      <c r="M464" s="58" t="str">
        <f t="shared" ca="1" si="272"/>
        <v/>
      </c>
      <c r="N464" s="58" t="str">
        <f t="shared" ca="1" si="272"/>
        <v/>
      </c>
      <c r="O464" s="58">
        <f t="shared" si="273"/>
        <v>5.0000000000000001E-4</v>
      </c>
      <c r="P464" s="77"/>
      <c r="Q464" s="60"/>
      <c r="R464" s="77"/>
      <c r="S464" s="78">
        <f t="shared" si="259"/>
        <v>0</v>
      </c>
      <c r="T464" s="55">
        <f t="shared" si="259"/>
        <v>0</v>
      </c>
      <c r="U464" s="79">
        <f t="shared" si="246"/>
        <v>0</v>
      </c>
      <c r="V464" s="63">
        <f t="shared" si="247"/>
        <v>0</v>
      </c>
      <c r="W464" s="64">
        <f t="shared" si="274"/>
        <v>154</v>
      </c>
      <c r="X464" s="80">
        <f t="shared" si="274"/>
        <v>156</v>
      </c>
      <c r="Y464" s="60"/>
      <c r="Z464" s="60"/>
      <c r="AA464" s="75"/>
      <c r="AB464" s="75"/>
      <c r="AC464" s="75"/>
      <c r="AD464" s="75"/>
      <c r="AE464" s="81">
        <f t="shared" si="260"/>
        <v>0</v>
      </c>
      <c r="AF464" s="55">
        <f t="shared" si="261"/>
        <v>0</v>
      </c>
      <c r="AG464" s="76">
        <f t="shared" si="257"/>
        <v>0</v>
      </c>
      <c r="AH464" s="82">
        <f t="shared" si="258"/>
        <v>0</v>
      </c>
      <c r="AI464" s="83">
        <f t="shared" si="258"/>
        <v>0</v>
      </c>
      <c r="AJ464" s="83">
        <f t="shared" si="258"/>
        <v>0</v>
      </c>
      <c r="AK464" s="58">
        <f t="shared" si="256"/>
        <v>0</v>
      </c>
      <c r="AL464" s="82">
        <f t="shared" si="262"/>
        <v>0</v>
      </c>
      <c r="AM464" s="58">
        <f t="shared" si="263"/>
        <v>0</v>
      </c>
      <c r="AN464" s="74"/>
      <c r="AO464" s="84"/>
      <c r="AP464" s="74"/>
      <c r="AQ464" s="85"/>
      <c r="AR464" s="74"/>
      <c r="AS464" s="74"/>
      <c r="AT464" s="74"/>
      <c r="AU464" s="55" t="str">
        <f t="shared" si="275"/>
        <v/>
      </c>
      <c r="AV464" s="55" t="str">
        <f t="shared" ca="1" si="276"/>
        <v/>
      </c>
      <c r="AW464" s="55" t="str">
        <f t="shared" si="264"/>
        <v/>
      </c>
      <c r="AX464" s="55" t="str">
        <f t="shared" ca="1" si="265"/>
        <v/>
      </c>
      <c r="AY464" s="86"/>
      <c r="AZ464" s="86"/>
      <c r="BA464" s="55" t="str">
        <f t="shared" si="277"/>
        <v/>
      </c>
      <c r="BB464" s="86"/>
      <c r="BC464" s="86"/>
      <c r="BD464" s="55" t="str">
        <f t="shared" si="278"/>
        <v/>
      </c>
      <c r="BE464" s="74"/>
      <c r="BS464" s="118"/>
      <c r="BT464" s="118"/>
      <c r="BU464" s="118"/>
      <c r="BV464" s="118"/>
      <c r="BW464" s="118"/>
      <c r="BX464" s="118"/>
      <c r="BZ464" s="118"/>
      <c r="CB464" s="118"/>
      <c r="CC464" s="118"/>
      <c r="CD464" s="118"/>
    </row>
    <row r="465" spans="1:82" ht="17.399999999999999" customHeight="1" thickBot="1">
      <c r="A465" s="87">
        <f t="shared" si="245"/>
        <v>65.7</v>
      </c>
      <c r="B465" s="113">
        <f t="shared" si="266"/>
        <v>455</v>
      </c>
      <c r="C465" s="89"/>
      <c r="D465" s="90"/>
      <c r="E465" s="91"/>
      <c r="F465" s="90"/>
      <c r="G465" s="92">
        <f t="shared" si="267"/>
        <v>0</v>
      </c>
      <c r="H465" s="93">
        <f t="shared" si="267"/>
        <v>0</v>
      </c>
      <c r="I465" s="94">
        <f t="shared" si="268"/>
        <v>0</v>
      </c>
      <c r="J465" s="95">
        <f t="shared" si="269"/>
        <v>0</v>
      </c>
      <c r="K465" s="95">
        <f t="shared" si="270"/>
        <v>0</v>
      </c>
      <c r="L465" s="95">
        <f t="shared" si="271"/>
        <v>0</v>
      </c>
      <c r="M465" s="95" t="str">
        <f t="shared" ca="1" si="272"/>
        <v/>
      </c>
      <c r="N465" s="95" t="str">
        <f t="shared" ca="1" si="272"/>
        <v/>
      </c>
      <c r="O465" s="95">
        <f t="shared" si="273"/>
        <v>5.0000000000000001E-4</v>
      </c>
      <c r="P465" s="96"/>
      <c r="Q465" s="89"/>
      <c r="R465" s="96"/>
      <c r="S465" s="78">
        <f t="shared" si="259"/>
        <v>0</v>
      </c>
      <c r="T465" s="55">
        <f t="shared" si="259"/>
        <v>0</v>
      </c>
      <c r="U465" s="97">
        <f t="shared" si="246"/>
        <v>0</v>
      </c>
      <c r="V465" s="98">
        <f t="shared" si="247"/>
        <v>0</v>
      </c>
      <c r="W465" s="99">
        <f t="shared" si="274"/>
        <v>154</v>
      </c>
      <c r="X465" s="100">
        <f t="shared" si="274"/>
        <v>156</v>
      </c>
      <c r="Y465" s="89"/>
      <c r="Z465" s="60"/>
      <c r="AA465" s="75"/>
      <c r="AB465" s="75"/>
      <c r="AC465" s="75"/>
      <c r="AD465" s="75"/>
      <c r="AE465" s="101">
        <f t="shared" si="260"/>
        <v>0</v>
      </c>
      <c r="AF465" s="93">
        <f t="shared" si="261"/>
        <v>0</v>
      </c>
      <c r="AG465" s="94">
        <f t="shared" si="257"/>
        <v>0</v>
      </c>
      <c r="AH465" s="102">
        <f t="shared" si="258"/>
        <v>0</v>
      </c>
      <c r="AI465" s="103">
        <f t="shared" si="258"/>
        <v>0</v>
      </c>
      <c r="AJ465" s="103">
        <f t="shared" si="258"/>
        <v>0</v>
      </c>
      <c r="AK465" s="95">
        <f t="shared" si="256"/>
        <v>0</v>
      </c>
      <c r="AL465" s="102">
        <f t="shared" si="262"/>
        <v>0</v>
      </c>
      <c r="AM465" s="95">
        <f t="shared" si="263"/>
        <v>0</v>
      </c>
      <c r="AN465" s="90"/>
      <c r="AO465" s="104"/>
      <c r="AP465" s="90"/>
      <c r="AQ465" s="105"/>
      <c r="AR465" s="90"/>
      <c r="AS465" s="90"/>
      <c r="AT465" s="90"/>
      <c r="AU465" s="93" t="str">
        <f t="shared" si="275"/>
        <v/>
      </c>
      <c r="AV465" s="93" t="str">
        <f t="shared" ca="1" si="276"/>
        <v/>
      </c>
      <c r="AW465" s="93" t="str">
        <f t="shared" si="264"/>
        <v/>
      </c>
      <c r="AX465" s="93" t="str">
        <f t="shared" ca="1" si="265"/>
        <v/>
      </c>
      <c r="AY465" s="106"/>
      <c r="AZ465" s="106"/>
      <c r="BA465" s="93" t="str">
        <f t="shared" si="277"/>
        <v/>
      </c>
      <c r="BB465" s="106"/>
      <c r="BC465" s="106"/>
      <c r="BD465" s="93" t="str">
        <f t="shared" si="278"/>
        <v/>
      </c>
      <c r="BE465" s="90"/>
      <c r="BS465" s="118"/>
      <c r="BT465" s="118"/>
      <c r="BU465" s="118"/>
      <c r="BV465" s="118"/>
      <c r="BW465" s="118"/>
      <c r="BX465" s="118"/>
      <c r="BZ465" s="118"/>
      <c r="CB465" s="118"/>
      <c r="CC465" s="118"/>
      <c r="CD465" s="118"/>
    </row>
    <row r="466" spans="1:82" ht="17.399999999999999" customHeight="1" thickTop="1">
      <c r="A466" s="107">
        <f>A459+1</f>
        <v>66.099999999999994</v>
      </c>
      <c r="B466" s="108">
        <f>B465+1</f>
        <v>456</v>
      </c>
      <c r="C466" s="51"/>
      <c r="D466" s="52"/>
      <c r="E466" s="53"/>
      <c r="F466" s="52"/>
      <c r="G466" s="54">
        <f t="shared" si="267"/>
        <v>0</v>
      </c>
      <c r="H466" s="55">
        <f t="shared" si="267"/>
        <v>0</v>
      </c>
      <c r="I466" s="56">
        <f t="shared" si="268"/>
        <v>0</v>
      </c>
      <c r="J466" s="57">
        <f t="shared" si="269"/>
        <v>0</v>
      </c>
      <c r="K466" s="57">
        <f t="shared" si="270"/>
        <v>0</v>
      </c>
      <c r="L466" s="57">
        <f t="shared" si="271"/>
        <v>0</v>
      </c>
      <c r="M466" s="58" t="str">
        <f t="shared" ca="1" si="272"/>
        <v/>
      </c>
      <c r="N466" s="58" t="str">
        <f t="shared" ca="1" si="272"/>
        <v/>
      </c>
      <c r="O466" s="58">
        <f t="shared" si="273"/>
        <v>5.0000000000000001E-4</v>
      </c>
      <c r="P466" s="77"/>
      <c r="Q466" s="60"/>
      <c r="R466" s="77"/>
      <c r="S466" s="109">
        <f t="shared" si="259"/>
        <v>0</v>
      </c>
      <c r="T466" s="61">
        <f t="shared" si="259"/>
        <v>0</v>
      </c>
      <c r="U466" s="62">
        <f t="shared" ref="U466:U500" si="279">IF(P466="FULL FEED",(Q466*G466/1000),(Q466*2*G466/1000))</f>
        <v>0</v>
      </c>
      <c r="V466" s="63">
        <f t="shared" ref="V466:V500" si="280">IF(P466="FULL FEED",(R466*H466/1000),(R466*2*H466/1000))</f>
        <v>0</v>
      </c>
      <c r="W466" s="64">
        <f t="shared" si="274"/>
        <v>154</v>
      </c>
      <c r="X466" s="80">
        <f t="shared" si="274"/>
        <v>156</v>
      </c>
      <c r="Y466" s="51"/>
      <c r="Z466" s="51"/>
      <c r="AA466" s="53"/>
      <c r="AB466" s="53"/>
      <c r="AC466" s="53"/>
      <c r="AD466" s="53"/>
      <c r="AE466" s="66">
        <f t="shared" si="260"/>
        <v>0</v>
      </c>
      <c r="AF466" s="61">
        <f t="shared" si="261"/>
        <v>0</v>
      </c>
      <c r="AG466" s="56">
        <f t="shared" si="257"/>
        <v>0</v>
      </c>
      <c r="AH466" s="67">
        <f t="shared" si="258"/>
        <v>0</v>
      </c>
      <c r="AI466" s="68">
        <f t="shared" si="258"/>
        <v>0</v>
      </c>
      <c r="AJ466" s="68">
        <f t="shared" si="258"/>
        <v>0</v>
      </c>
      <c r="AK466" s="57">
        <f t="shared" si="256"/>
        <v>0</v>
      </c>
      <c r="AL466" s="67">
        <f t="shared" si="262"/>
        <v>0</v>
      </c>
      <c r="AM466" s="57">
        <f t="shared" si="263"/>
        <v>0</v>
      </c>
      <c r="AN466" s="52"/>
      <c r="AO466" s="69"/>
      <c r="AP466" s="52"/>
      <c r="AQ466" s="70"/>
      <c r="AR466" s="52"/>
      <c r="AS466" s="52"/>
      <c r="AT466" s="52"/>
      <c r="AU466" s="61" t="str">
        <f t="shared" si="275"/>
        <v/>
      </c>
      <c r="AV466" s="61" t="str">
        <f t="shared" ca="1" si="276"/>
        <v/>
      </c>
      <c r="AW466" s="61" t="str">
        <f t="shared" si="264"/>
        <v/>
      </c>
      <c r="AX466" s="61" t="str">
        <f t="shared" ca="1" si="265"/>
        <v/>
      </c>
      <c r="AY466" s="71"/>
      <c r="AZ466" s="71"/>
      <c r="BA466" s="61" t="str">
        <f t="shared" si="277"/>
        <v/>
      </c>
      <c r="BB466" s="71"/>
      <c r="BC466" s="71"/>
      <c r="BD466" s="61" t="str">
        <f t="shared" si="278"/>
        <v/>
      </c>
      <c r="BE466" s="52"/>
      <c r="BS466" s="118"/>
      <c r="BT466" s="118"/>
      <c r="BU466" s="118"/>
      <c r="BV466" s="118"/>
      <c r="BW466" s="118"/>
      <c r="BX466" s="118"/>
      <c r="BZ466" s="118"/>
      <c r="CB466" s="118"/>
      <c r="CC466" s="118"/>
      <c r="CD466" s="118"/>
    </row>
    <row r="467" spans="1:82" ht="17.399999999999999" customHeight="1">
      <c r="A467" s="87">
        <f t="shared" ref="A467:A500" si="281">A460+1</f>
        <v>66.2</v>
      </c>
      <c r="B467" s="111">
        <f t="shared" si="266"/>
        <v>457</v>
      </c>
      <c r="C467" s="60"/>
      <c r="D467" s="74"/>
      <c r="E467" s="75"/>
      <c r="F467" s="74"/>
      <c r="G467" s="54">
        <f t="shared" si="267"/>
        <v>0</v>
      </c>
      <c r="H467" s="55">
        <f t="shared" si="267"/>
        <v>0</v>
      </c>
      <c r="I467" s="76">
        <f t="shared" si="268"/>
        <v>0</v>
      </c>
      <c r="J467" s="58">
        <f t="shared" si="269"/>
        <v>0</v>
      </c>
      <c r="K467" s="58">
        <f t="shared" si="270"/>
        <v>0</v>
      </c>
      <c r="L467" s="58">
        <f t="shared" si="271"/>
        <v>0</v>
      </c>
      <c r="M467" s="58" t="str">
        <f t="shared" ca="1" si="272"/>
        <v/>
      </c>
      <c r="N467" s="58" t="str">
        <f t="shared" ca="1" si="272"/>
        <v/>
      </c>
      <c r="O467" s="58">
        <f t="shared" si="273"/>
        <v>5.0000000000000001E-4</v>
      </c>
      <c r="P467" s="77"/>
      <c r="Q467" s="60"/>
      <c r="R467" s="77"/>
      <c r="S467" s="78">
        <f t="shared" si="259"/>
        <v>0</v>
      </c>
      <c r="T467" s="55">
        <f t="shared" si="259"/>
        <v>0</v>
      </c>
      <c r="U467" s="79">
        <f t="shared" si="279"/>
        <v>0</v>
      </c>
      <c r="V467" s="63">
        <f t="shared" si="280"/>
        <v>0</v>
      </c>
      <c r="W467" s="64">
        <f t="shared" si="274"/>
        <v>154</v>
      </c>
      <c r="X467" s="80">
        <f t="shared" si="274"/>
        <v>156</v>
      </c>
      <c r="Y467" s="60"/>
      <c r="Z467" s="60"/>
      <c r="AA467" s="75"/>
      <c r="AB467" s="75"/>
      <c r="AC467" s="75"/>
      <c r="AD467" s="75"/>
      <c r="AE467" s="81">
        <f t="shared" si="260"/>
        <v>0</v>
      </c>
      <c r="AF467" s="55">
        <f t="shared" si="261"/>
        <v>0</v>
      </c>
      <c r="AG467" s="76">
        <f t="shared" si="257"/>
        <v>0</v>
      </c>
      <c r="AH467" s="82">
        <f t="shared" si="258"/>
        <v>0</v>
      </c>
      <c r="AI467" s="83">
        <f t="shared" si="258"/>
        <v>0</v>
      </c>
      <c r="AJ467" s="83">
        <f t="shared" si="258"/>
        <v>0</v>
      </c>
      <c r="AK467" s="58">
        <f t="shared" si="256"/>
        <v>0</v>
      </c>
      <c r="AL467" s="82">
        <f t="shared" si="262"/>
        <v>0</v>
      </c>
      <c r="AM467" s="58">
        <f t="shared" si="263"/>
        <v>0</v>
      </c>
      <c r="AN467" s="74"/>
      <c r="AO467" s="84"/>
      <c r="AP467" s="74"/>
      <c r="AQ467" s="85"/>
      <c r="AR467" s="74"/>
      <c r="AS467" s="74"/>
      <c r="AT467" s="74"/>
      <c r="AU467" s="55" t="str">
        <f t="shared" si="275"/>
        <v/>
      </c>
      <c r="AV467" s="55" t="str">
        <f t="shared" ca="1" si="276"/>
        <v/>
      </c>
      <c r="AW467" s="55" t="str">
        <f t="shared" si="264"/>
        <v/>
      </c>
      <c r="AX467" s="55" t="str">
        <f t="shared" ca="1" si="265"/>
        <v/>
      </c>
      <c r="AY467" s="86"/>
      <c r="AZ467" s="86"/>
      <c r="BA467" s="55" t="str">
        <f t="shared" si="277"/>
        <v/>
      </c>
      <c r="BB467" s="86"/>
      <c r="BC467" s="86"/>
      <c r="BD467" s="55" t="str">
        <f t="shared" si="278"/>
        <v/>
      </c>
      <c r="BE467" s="74"/>
      <c r="BS467" s="118"/>
      <c r="BT467" s="118"/>
      <c r="BU467" s="118"/>
      <c r="BV467" s="118"/>
      <c r="BW467" s="118"/>
      <c r="BX467" s="118"/>
      <c r="BZ467" s="118"/>
      <c r="CB467" s="118"/>
      <c r="CC467" s="118"/>
      <c r="CD467" s="118"/>
    </row>
    <row r="468" spans="1:82" ht="17.399999999999999" customHeight="1">
      <c r="A468" s="72">
        <f t="shared" si="281"/>
        <v>66.3</v>
      </c>
      <c r="B468" s="111">
        <f t="shared" si="266"/>
        <v>458</v>
      </c>
      <c r="C468" s="60"/>
      <c r="D468" s="74"/>
      <c r="E468" s="75"/>
      <c r="F468" s="74"/>
      <c r="G468" s="54">
        <f t="shared" si="267"/>
        <v>0</v>
      </c>
      <c r="H468" s="55">
        <f t="shared" si="267"/>
        <v>0</v>
      </c>
      <c r="I468" s="76">
        <f t="shared" si="268"/>
        <v>0</v>
      </c>
      <c r="J468" s="58">
        <f t="shared" si="269"/>
        <v>0</v>
      </c>
      <c r="K468" s="58">
        <f t="shared" si="270"/>
        <v>0</v>
      </c>
      <c r="L468" s="58">
        <f t="shared" si="271"/>
        <v>0</v>
      </c>
      <c r="M468" s="58" t="str">
        <f t="shared" ca="1" si="272"/>
        <v/>
      </c>
      <c r="N468" s="58" t="str">
        <f t="shared" ca="1" si="272"/>
        <v/>
      </c>
      <c r="O468" s="58">
        <f t="shared" si="273"/>
        <v>5.0000000000000001E-4</v>
      </c>
      <c r="P468" s="77"/>
      <c r="Q468" s="60"/>
      <c r="R468" s="77"/>
      <c r="S468" s="78">
        <f t="shared" si="259"/>
        <v>0</v>
      </c>
      <c r="T468" s="55">
        <f t="shared" si="259"/>
        <v>0</v>
      </c>
      <c r="U468" s="79">
        <f t="shared" si="279"/>
        <v>0</v>
      </c>
      <c r="V468" s="63">
        <f t="shared" si="280"/>
        <v>0</v>
      </c>
      <c r="W468" s="64">
        <f t="shared" si="274"/>
        <v>154</v>
      </c>
      <c r="X468" s="80">
        <f t="shared" si="274"/>
        <v>156</v>
      </c>
      <c r="Y468" s="60"/>
      <c r="Z468" s="60"/>
      <c r="AA468" s="75"/>
      <c r="AB468" s="75"/>
      <c r="AC468" s="75"/>
      <c r="AD468" s="75"/>
      <c r="AE468" s="81">
        <f t="shared" si="260"/>
        <v>0</v>
      </c>
      <c r="AF468" s="55">
        <f t="shared" si="261"/>
        <v>0</v>
      </c>
      <c r="AG468" s="76">
        <f t="shared" si="257"/>
        <v>0</v>
      </c>
      <c r="AH468" s="82">
        <f t="shared" si="258"/>
        <v>0</v>
      </c>
      <c r="AI468" s="83">
        <f t="shared" si="258"/>
        <v>0</v>
      </c>
      <c r="AJ468" s="83">
        <f t="shared" si="258"/>
        <v>0</v>
      </c>
      <c r="AK468" s="58">
        <f t="shared" si="256"/>
        <v>0</v>
      </c>
      <c r="AL468" s="82">
        <f t="shared" si="262"/>
        <v>0</v>
      </c>
      <c r="AM468" s="58">
        <f t="shared" si="263"/>
        <v>0</v>
      </c>
      <c r="AN468" s="74"/>
      <c r="AO468" s="84"/>
      <c r="AP468" s="74"/>
      <c r="AQ468" s="85"/>
      <c r="AR468" s="74"/>
      <c r="AS468" s="74"/>
      <c r="AT468" s="74"/>
      <c r="AU468" s="55" t="str">
        <f t="shared" si="275"/>
        <v/>
      </c>
      <c r="AV468" s="55" t="str">
        <f t="shared" ca="1" si="276"/>
        <v/>
      </c>
      <c r="AW468" s="55" t="str">
        <f t="shared" si="264"/>
        <v/>
      </c>
      <c r="AX468" s="55" t="str">
        <f t="shared" ca="1" si="265"/>
        <v/>
      </c>
      <c r="AY468" s="86"/>
      <c r="AZ468" s="86"/>
      <c r="BA468" s="55" t="str">
        <f t="shared" si="277"/>
        <v/>
      </c>
      <c r="BB468" s="86"/>
      <c r="BC468" s="86"/>
      <c r="BD468" s="55" t="str">
        <f t="shared" si="278"/>
        <v/>
      </c>
      <c r="BE468" s="74"/>
      <c r="BS468" s="118"/>
      <c r="BT468" s="118"/>
      <c r="BU468" s="118"/>
      <c r="BV468" s="118"/>
      <c r="BW468" s="118"/>
      <c r="BX468" s="118"/>
      <c r="BZ468" s="118"/>
      <c r="CB468" s="118"/>
      <c r="CC468" s="118"/>
      <c r="CD468" s="118"/>
    </row>
    <row r="469" spans="1:82" ht="17.399999999999999" customHeight="1">
      <c r="A469" s="87">
        <f t="shared" si="281"/>
        <v>66.400000000000006</v>
      </c>
      <c r="B469" s="111">
        <f t="shared" si="266"/>
        <v>459</v>
      </c>
      <c r="C469" s="60"/>
      <c r="D469" s="74"/>
      <c r="E469" s="75"/>
      <c r="F469" s="74"/>
      <c r="G469" s="54">
        <f t="shared" si="267"/>
        <v>0</v>
      </c>
      <c r="H469" s="55">
        <f t="shared" si="267"/>
        <v>0</v>
      </c>
      <c r="I469" s="76">
        <f t="shared" si="268"/>
        <v>0</v>
      </c>
      <c r="J469" s="58">
        <f t="shared" si="269"/>
        <v>0</v>
      </c>
      <c r="K469" s="58">
        <f t="shared" si="270"/>
        <v>0</v>
      </c>
      <c r="L469" s="58">
        <f t="shared" si="271"/>
        <v>0</v>
      </c>
      <c r="M469" s="58" t="str">
        <f t="shared" ca="1" si="272"/>
        <v/>
      </c>
      <c r="N469" s="58" t="str">
        <f t="shared" ca="1" si="272"/>
        <v/>
      </c>
      <c r="O469" s="58">
        <f t="shared" si="273"/>
        <v>5.0000000000000001E-4</v>
      </c>
      <c r="P469" s="77"/>
      <c r="Q469" s="60"/>
      <c r="R469" s="77"/>
      <c r="S469" s="78">
        <f t="shared" si="259"/>
        <v>0</v>
      </c>
      <c r="T469" s="55">
        <f t="shared" si="259"/>
        <v>0</v>
      </c>
      <c r="U469" s="79">
        <f t="shared" si="279"/>
        <v>0</v>
      </c>
      <c r="V469" s="63">
        <f t="shared" si="280"/>
        <v>0</v>
      </c>
      <c r="W469" s="64">
        <f t="shared" si="274"/>
        <v>154</v>
      </c>
      <c r="X469" s="80">
        <f t="shared" si="274"/>
        <v>156</v>
      </c>
      <c r="Y469" s="60"/>
      <c r="Z469" s="60"/>
      <c r="AA469" s="75"/>
      <c r="AB469" s="75"/>
      <c r="AC469" s="75"/>
      <c r="AD469" s="75"/>
      <c r="AE469" s="81">
        <f t="shared" si="260"/>
        <v>0</v>
      </c>
      <c r="AF469" s="55">
        <f t="shared" si="261"/>
        <v>0</v>
      </c>
      <c r="AG469" s="76">
        <f t="shared" si="257"/>
        <v>0</v>
      </c>
      <c r="AH469" s="82">
        <f t="shared" si="258"/>
        <v>0</v>
      </c>
      <c r="AI469" s="83">
        <f t="shared" si="258"/>
        <v>0</v>
      </c>
      <c r="AJ469" s="83">
        <f t="shared" si="258"/>
        <v>0</v>
      </c>
      <c r="AK469" s="58">
        <f t="shared" si="256"/>
        <v>0</v>
      </c>
      <c r="AL469" s="82">
        <f t="shared" si="262"/>
        <v>0</v>
      </c>
      <c r="AM469" s="58">
        <f t="shared" si="263"/>
        <v>0</v>
      </c>
      <c r="AN469" s="74"/>
      <c r="AO469" s="84"/>
      <c r="AP469" s="74"/>
      <c r="AQ469" s="85"/>
      <c r="AR469" s="74"/>
      <c r="AS469" s="74"/>
      <c r="AT469" s="74"/>
      <c r="AU469" s="55" t="str">
        <f t="shared" si="275"/>
        <v/>
      </c>
      <c r="AV469" s="55" t="str">
        <f t="shared" ca="1" si="276"/>
        <v/>
      </c>
      <c r="AW469" s="55" t="str">
        <f t="shared" si="264"/>
        <v/>
      </c>
      <c r="AX469" s="55" t="str">
        <f t="shared" ca="1" si="265"/>
        <v/>
      </c>
      <c r="AY469" s="86"/>
      <c r="AZ469" s="86"/>
      <c r="BA469" s="55" t="str">
        <f t="shared" si="277"/>
        <v/>
      </c>
      <c r="BB469" s="86"/>
      <c r="BC469" s="86"/>
      <c r="BD469" s="55" t="str">
        <f t="shared" si="278"/>
        <v/>
      </c>
      <c r="BE469" s="74"/>
      <c r="BS469" s="118"/>
      <c r="BT469" s="118"/>
      <c r="BU469" s="118"/>
      <c r="BV469" s="118"/>
      <c r="BW469" s="118"/>
      <c r="BX469" s="118"/>
      <c r="BZ469" s="118"/>
      <c r="CB469" s="118"/>
      <c r="CC469" s="118"/>
      <c r="CD469" s="118"/>
    </row>
    <row r="470" spans="1:82" ht="17.399999999999999" customHeight="1">
      <c r="A470" s="72">
        <f t="shared" si="281"/>
        <v>66.5</v>
      </c>
      <c r="B470" s="111">
        <f t="shared" si="266"/>
        <v>460</v>
      </c>
      <c r="C470" s="60"/>
      <c r="D470" s="74"/>
      <c r="E470" s="75"/>
      <c r="F470" s="74"/>
      <c r="G470" s="54">
        <f t="shared" si="267"/>
        <v>0</v>
      </c>
      <c r="H470" s="55">
        <f t="shared" si="267"/>
        <v>0</v>
      </c>
      <c r="I470" s="76">
        <f t="shared" si="268"/>
        <v>0</v>
      </c>
      <c r="J470" s="58">
        <f t="shared" si="269"/>
        <v>0</v>
      </c>
      <c r="K470" s="58">
        <f t="shared" si="270"/>
        <v>0</v>
      </c>
      <c r="L470" s="58">
        <f t="shared" si="271"/>
        <v>0</v>
      </c>
      <c r="M470" s="58" t="str">
        <f t="shared" ca="1" si="272"/>
        <v/>
      </c>
      <c r="N470" s="58" t="str">
        <f t="shared" ca="1" si="272"/>
        <v/>
      </c>
      <c r="O470" s="58">
        <f t="shared" si="273"/>
        <v>5.0000000000000001E-4</v>
      </c>
      <c r="P470" s="77"/>
      <c r="Q470" s="60"/>
      <c r="R470" s="77"/>
      <c r="S470" s="78">
        <f t="shared" si="259"/>
        <v>0</v>
      </c>
      <c r="T470" s="55">
        <f t="shared" si="259"/>
        <v>0</v>
      </c>
      <c r="U470" s="79">
        <f t="shared" si="279"/>
        <v>0</v>
      </c>
      <c r="V470" s="63">
        <f t="shared" si="280"/>
        <v>0</v>
      </c>
      <c r="W470" s="64">
        <f t="shared" si="274"/>
        <v>154</v>
      </c>
      <c r="X470" s="80">
        <f t="shared" si="274"/>
        <v>156</v>
      </c>
      <c r="Y470" s="60"/>
      <c r="Z470" s="60"/>
      <c r="AA470" s="75"/>
      <c r="AB470" s="75"/>
      <c r="AC470" s="75"/>
      <c r="AD470" s="75"/>
      <c r="AE470" s="81">
        <f t="shared" si="260"/>
        <v>0</v>
      </c>
      <c r="AF470" s="55">
        <f t="shared" si="261"/>
        <v>0</v>
      </c>
      <c r="AG470" s="76">
        <f t="shared" si="257"/>
        <v>0</v>
      </c>
      <c r="AH470" s="82">
        <f t="shared" si="258"/>
        <v>0</v>
      </c>
      <c r="AI470" s="83">
        <f t="shared" si="258"/>
        <v>0</v>
      </c>
      <c r="AJ470" s="83">
        <f t="shared" si="258"/>
        <v>0</v>
      </c>
      <c r="AK470" s="58">
        <f t="shared" si="256"/>
        <v>0</v>
      </c>
      <c r="AL470" s="82">
        <f t="shared" si="262"/>
        <v>0</v>
      </c>
      <c r="AM470" s="58">
        <f t="shared" si="263"/>
        <v>0</v>
      </c>
      <c r="AN470" s="74"/>
      <c r="AO470" s="84"/>
      <c r="AP470" s="74"/>
      <c r="AQ470" s="85"/>
      <c r="AR470" s="74"/>
      <c r="AS470" s="74"/>
      <c r="AT470" s="74"/>
      <c r="AU470" s="55" t="str">
        <f t="shared" si="275"/>
        <v/>
      </c>
      <c r="AV470" s="55" t="str">
        <f t="shared" ca="1" si="276"/>
        <v/>
      </c>
      <c r="AW470" s="55" t="str">
        <f t="shared" si="264"/>
        <v/>
      </c>
      <c r="AX470" s="55" t="str">
        <f t="shared" ca="1" si="265"/>
        <v/>
      </c>
      <c r="AY470" s="86"/>
      <c r="AZ470" s="86"/>
      <c r="BA470" s="55" t="str">
        <f t="shared" si="277"/>
        <v/>
      </c>
      <c r="BB470" s="86"/>
      <c r="BC470" s="86"/>
      <c r="BD470" s="55" t="str">
        <f t="shared" si="278"/>
        <v/>
      </c>
      <c r="BE470" s="74"/>
      <c r="BS470" s="118"/>
      <c r="BT470" s="118"/>
      <c r="BU470" s="118"/>
      <c r="BV470" s="118"/>
      <c r="BW470" s="118"/>
      <c r="BX470" s="118"/>
      <c r="BZ470" s="118"/>
      <c r="CB470" s="118"/>
      <c r="CC470" s="118"/>
      <c r="CD470" s="118"/>
    </row>
    <row r="471" spans="1:82" ht="17.399999999999999" customHeight="1">
      <c r="A471" s="87">
        <f t="shared" si="281"/>
        <v>66.599999999999994</v>
      </c>
      <c r="B471" s="111">
        <f t="shared" si="266"/>
        <v>461</v>
      </c>
      <c r="C471" s="60"/>
      <c r="D471" s="74"/>
      <c r="E471" s="75"/>
      <c r="F471" s="74"/>
      <c r="G471" s="54">
        <f t="shared" si="267"/>
        <v>0</v>
      </c>
      <c r="H471" s="55">
        <f t="shared" si="267"/>
        <v>0</v>
      </c>
      <c r="I471" s="76">
        <f t="shared" si="268"/>
        <v>0</v>
      </c>
      <c r="J471" s="58">
        <f t="shared" si="269"/>
        <v>0</v>
      </c>
      <c r="K471" s="58">
        <f t="shared" si="270"/>
        <v>0</v>
      </c>
      <c r="L471" s="58">
        <f t="shared" si="271"/>
        <v>0</v>
      </c>
      <c r="M471" s="58" t="str">
        <f t="shared" ca="1" si="272"/>
        <v/>
      </c>
      <c r="N471" s="58" t="str">
        <f t="shared" ca="1" si="272"/>
        <v/>
      </c>
      <c r="O471" s="58">
        <f t="shared" si="273"/>
        <v>5.0000000000000001E-4</v>
      </c>
      <c r="P471" s="77"/>
      <c r="Q471" s="60"/>
      <c r="R471" s="77"/>
      <c r="S471" s="78">
        <f t="shared" si="259"/>
        <v>0</v>
      </c>
      <c r="T471" s="55">
        <f t="shared" si="259"/>
        <v>0</v>
      </c>
      <c r="U471" s="79">
        <f t="shared" si="279"/>
        <v>0</v>
      </c>
      <c r="V471" s="63">
        <f t="shared" si="280"/>
        <v>0</v>
      </c>
      <c r="W471" s="64">
        <f t="shared" si="274"/>
        <v>154</v>
      </c>
      <c r="X471" s="80">
        <f t="shared" si="274"/>
        <v>156</v>
      </c>
      <c r="Y471" s="60"/>
      <c r="Z471" s="60"/>
      <c r="AA471" s="75"/>
      <c r="AB471" s="75"/>
      <c r="AC471" s="75"/>
      <c r="AD471" s="75"/>
      <c r="AE471" s="81">
        <f t="shared" si="260"/>
        <v>0</v>
      </c>
      <c r="AF471" s="55">
        <f t="shared" si="261"/>
        <v>0</v>
      </c>
      <c r="AG471" s="76">
        <f t="shared" si="257"/>
        <v>0</v>
      </c>
      <c r="AH471" s="82">
        <f t="shared" si="258"/>
        <v>0</v>
      </c>
      <c r="AI471" s="83">
        <f t="shared" si="258"/>
        <v>0</v>
      </c>
      <c r="AJ471" s="83">
        <f t="shared" si="258"/>
        <v>0</v>
      </c>
      <c r="AK471" s="58">
        <f t="shared" si="256"/>
        <v>0</v>
      </c>
      <c r="AL471" s="82">
        <f t="shared" si="262"/>
        <v>0</v>
      </c>
      <c r="AM471" s="58">
        <f t="shared" si="263"/>
        <v>0</v>
      </c>
      <c r="AN471" s="74"/>
      <c r="AO471" s="84"/>
      <c r="AP471" s="74"/>
      <c r="AQ471" s="85"/>
      <c r="AR471" s="74"/>
      <c r="AS471" s="74"/>
      <c r="AT471" s="74"/>
      <c r="AU471" s="55" t="str">
        <f t="shared" si="275"/>
        <v/>
      </c>
      <c r="AV471" s="55" t="str">
        <f t="shared" ca="1" si="276"/>
        <v/>
      </c>
      <c r="AW471" s="55" t="str">
        <f t="shared" si="264"/>
        <v/>
      </c>
      <c r="AX471" s="55" t="str">
        <f t="shared" ca="1" si="265"/>
        <v/>
      </c>
      <c r="AY471" s="86"/>
      <c r="AZ471" s="86"/>
      <c r="BA471" s="55" t="str">
        <f t="shared" si="277"/>
        <v/>
      </c>
      <c r="BB471" s="86"/>
      <c r="BC471" s="86"/>
      <c r="BD471" s="55" t="str">
        <f t="shared" si="278"/>
        <v/>
      </c>
      <c r="BE471" s="74"/>
      <c r="BS471" s="118"/>
      <c r="BT471" s="118"/>
      <c r="BU471" s="118"/>
      <c r="BV471" s="118"/>
      <c r="BW471" s="118"/>
      <c r="BX471" s="118"/>
      <c r="BZ471" s="118"/>
      <c r="CB471" s="118"/>
      <c r="CC471" s="118"/>
      <c r="CD471" s="118"/>
    </row>
    <row r="472" spans="1:82" ht="17.399999999999999" customHeight="1" thickBot="1">
      <c r="A472" s="72">
        <f t="shared" si="281"/>
        <v>66.7</v>
      </c>
      <c r="B472" s="113">
        <f t="shared" si="266"/>
        <v>462</v>
      </c>
      <c r="C472" s="89"/>
      <c r="D472" s="90"/>
      <c r="E472" s="91"/>
      <c r="F472" s="90"/>
      <c r="G472" s="92">
        <f t="shared" si="267"/>
        <v>0</v>
      </c>
      <c r="H472" s="93">
        <f t="shared" si="267"/>
        <v>0</v>
      </c>
      <c r="I472" s="94">
        <f t="shared" si="268"/>
        <v>0</v>
      </c>
      <c r="J472" s="95">
        <f t="shared" si="269"/>
        <v>0</v>
      </c>
      <c r="K472" s="95">
        <f t="shared" si="270"/>
        <v>0</v>
      </c>
      <c r="L472" s="95">
        <f t="shared" si="271"/>
        <v>0</v>
      </c>
      <c r="M472" s="95" t="str">
        <f t="shared" ca="1" si="272"/>
        <v/>
      </c>
      <c r="N472" s="95" t="str">
        <f t="shared" ca="1" si="272"/>
        <v/>
      </c>
      <c r="O472" s="95">
        <f t="shared" si="273"/>
        <v>5.0000000000000001E-4</v>
      </c>
      <c r="P472" s="96"/>
      <c r="Q472" s="89"/>
      <c r="R472" s="96"/>
      <c r="S472" s="78">
        <f t="shared" si="259"/>
        <v>0</v>
      </c>
      <c r="T472" s="55">
        <f t="shared" si="259"/>
        <v>0</v>
      </c>
      <c r="U472" s="97">
        <f t="shared" si="279"/>
        <v>0</v>
      </c>
      <c r="V472" s="98">
        <f t="shared" si="280"/>
        <v>0</v>
      </c>
      <c r="W472" s="99">
        <f t="shared" si="274"/>
        <v>154</v>
      </c>
      <c r="X472" s="100">
        <f t="shared" si="274"/>
        <v>156</v>
      </c>
      <c r="Y472" s="89"/>
      <c r="Z472" s="60"/>
      <c r="AA472" s="75"/>
      <c r="AB472" s="75"/>
      <c r="AC472" s="75"/>
      <c r="AD472" s="75"/>
      <c r="AE472" s="101">
        <f t="shared" si="260"/>
        <v>0</v>
      </c>
      <c r="AF472" s="93">
        <f t="shared" si="261"/>
        <v>0</v>
      </c>
      <c r="AG472" s="94">
        <f t="shared" si="257"/>
        <v>0</v>
      </c>
      <c r="AH472" s="102">
        <f t="shared" si="258"/>
        <v>0</v>
      </c>
      <c r="AI472" s="103">
        <f t="shared" si="258"/>
        <v>0</v>
      </c>
      <c r="AJ472" s="103">
        <f t="shared" si="258"/>
        <v>0</v>
      </c>
      <c r="AK472" s="95">
        <f t="shared" si="256"/>
        <v>0</v>
      </c>
      <c r="AL472" s="102">
        <f t="shared" si="262"/>
        <v>0</v>
      </c>
      <c r="AM472" s="95">
        <f t="shared" si="263"/>
        <v>0</v>
      </c>
      <c r="AN472" s="90"/>
      <c r="AO472" s="104"/>
      <c r="AP472" s="90"/>
      <c r="AQ472" s="105"/>
      <c r="AR472" s="90"/>
      <c r="AS472" s="90"/>
      <c r="AT472" s="90"/>
      <c r="AU472" s="93" t="str">
        <f t="shared" si="275"/>
        <v/>
      </c>
      <c r="AV472" s="93" t="str">
        <f t="shared" ca="1" si="276"/>
        <v/>
      </c>
      <c r="AW472" s="93" t="str">
        <f t="shared" si="264"/>
        <v/>
      </c>
      <c r="AX472" s="93" t="str">
        <f t="shared" ca="1" si="265"/>
        <v/>
      </c>
      <c r="AY472" s="106"/>
      <c r="AZ472" s="106"/>
      <c r="BA472" s="93" t="str">
        <f t="shared" si="277"/>
        <v/>
      </c>
      <c r="BB472" s="106"/>
      <c r="BC472" s="106"/>
      <c r="BD472" s="93" t="str">
        <f t="shared" si="278"/>
        <v/>
      </c>
      <c r="BE472" s="90"/>
      <c r="BS472" s="118"/>
      <c r="BT472" s="118"/>
      <c r="BU472" s="118"/>
      <c r="BV472" s="118"/>
      <c r="BW472" s="118"/>
      <c r="BX472" s="118"/>
      <c r="BZ472" s="118"/>
      <c r="CB472" s="118"/>
      <c r="CC472" s="118"/>
      <c r="CD472" s="118"/>
    </row>
    <row r="473" spans="1:82" ht="17.399999999999999" customHeight="1" thickTop="1">
      <c r="A473" s="49">
        <f>A466+1</f>
        <v>67.099999999999994</v>
      </c>
      <c r="B473" s="108">
        <f>B472+1</f>
        <v>463</v>
      </c>
      <c r="C473" s="51"/>
      <c r="D473" s="52"/>
      <c r="E473" s="53"/>
      <c r="F473" s="52"/>
      <c r="G473" s="54">
        <f t="shared" si="267"/>
        <v>0</v>
      </c>
      <c r="H473" s="55">
        <f t="shared" si="267"/>
        <v>0</v>
      </c>
      <c r="I473" s="56">
        <f t="shared" si="268"/>
        <v>0</v>
      </c>
      <c r="J473" s="57">
        <f t="shared" si="269"/>
        <v>0</v>
      </c>
      <c r="K473" s="57">
        <f t="shared" si="270"/>
        <v>0</v>
      </c>
      <c r="L473" s="57">
        <f t="shared" si="271"/>
        <v>0</v>
      </c>
      <c r="M473" s="58" t="str">
        <f t="shared" ca="1" si="272"/>
        <v/>
      </c>
      <c r="N473" s="58" t="str">
        <f t="shared" ca="1" si="272"/>
        <v/>
      </c>
      <c r="O473" s="58">
        <f t="shared" si="273"/>
        <v>5.0000000000000001E-4</v>
      </c>
      <c r="P473" s="77"/>
      <c r="Q473" s="60"/>
      <c r="R473" s="77"/>
      <c r="S473" s="109">
        <f t="shared" si="259"/>
        <v>0</v>
      </c>
      <c r="T473" s="61">
        <f t="shared" si="259"/>
        <v>0</v>
      </c>
      <c r="U473" s="62">
        <f t="shared" si="279"/>
        <v>0</v>
      </c>
      <c r="V473" s="63">
        <f t="shared" si="280"/>
        <v>0</v>
      </c>
      <c r="W473" s="64">
        <f t="shared" si="274"/>
        <v>154</v>
      </c>
      <c r="X473" s="80">
        <f t="shared" si="274"/>
        <v>156</v>
      </c>
      <c r="Y473" s="51"/>
      <c r="Z473" s="51"/>
      <c r="AA473" s="53"/>
      <c r="AB473" s="53"/>
      <c r="AC473" s="53"/>
      <c r="AD473" s="53"/>
      <c r="AE473" s="66">
        <f t="shared" si="260"/>
        <v>0</v>
      </c>
      <c r="AF473" s="61">
        <f t="shared" si="261"/>
        <v>0</v>
      </c>
      <c r="AG473" s="56">
        <f t="shared" si="257"/>
        <v>0</v>
      </c>
      <c r="AH473" s="67">
        <f t="shared" si="258"/>
        <v>0</v>
      </c>
      <c r="AI473" s="68">
        <f t="shared" si="258"/>
        <v>0</v>
      </c>
      <c r="AJ473" s="68">
        <f t="shared" si="258"/>
        <v>0</v>
      </c>
      <c r="AK473" s="57">
        <f t="shared" si="256"/>
        <v>0</v>
      </c>
      <c r="AL473" s="67">
        <f t="shared" si="262"/>
        <v>0</v>
      </c>
      <c r="AM473" s="57">
        <f t="shared" si="263"/>
        <v>0</v>
      </c>
      <c r="AN473" s="52"/>
      <c r="AO473" s="69"/>
      <c r="AP473" s="52"/>
      <c r="AQ473" s="70"/>
      <c r="AR473" s="52"/>
      <c r="AS473" s="52"/>
      <c r="AT473" s="52"/>
      <c r="AU473" s="61" t="str">
        <f t="shared" si="275"/>
        <v/>
      </c>
      <c r="AV473" s="61" t="str">
        <f t="shared" ca="1" si="276"/>
        <v/>
      </c>
      <c r="AW473" s="61" t="str">
        <f t="shared" si="264"/>
        <v/>
      </c>
      <c r="AX473" s="61" t="str">
        <f t="shared" ca="1" si="265"/>
        <v/>
      </c>
      <c r="AY473" s="71"/>
      <c r="AZ473" s="71"/>
      <c r="BA473" s="61" t="str">
        <f t="shared" si="277"/>
        <v/>
      </c>
      <c r="BB473" s="71"/>
      <c r="BC473" s="71"/>
      <c r="BD473" s="61" t="str">
        <f t="shared" si="278"/>
        <v/>
      </c>
      <c r="BE473" s="52"/>
      <c r="BS473" s="118"/>
      <c r="BT473" s="118"/>
      <c r="BU473" s="118"/>
      <c r="BV473" s="118"/>
      <c r="BW473" s="118"/>
      <c r="BX473" s="118"/>
      <c r="BZ473" s="118"/>
      <c r="CB473" s="118"/>
      <c r="CC473" s="118"/>
      <c r="CD473" s="118"/>
    </row>
    <row r="474" spans="1:82" ht="17.399999999999999" customHeight="1">
      <c r="A474" s="72">
        <f t="shared" si="281"/>
        <v>67.2</v>
      </c>
      <c r="B474" s="111">
        <f t="shared" si="266"/>
        <v>464</v>
      </c>
      <c r="C474" s="60"/>
      <c r="D474" s="74"/>
      <c r="E474" s="75"/>
      <c r="F474" s="74"/>
      <c r="G474" s="54">
        <f t="shared" si="267"/>
        <v>0</v>
      </c>
      <c r="H474" s="55">
        <f t="shared" si="267"/>
        <v>0</v>
      </c>
      <c r="I474" s="76">
        <f t="shared" si="268"/>
        <v>0</v>
      </c>
      <c r="J474" s="58">
        <f t="shared" si="269"/>
        <v>0</v>
      </c>
      <c r="K474" s="58">
        <f t="shared" si="270"/>
        <v>0</v>
      </c>
      <c r="L474" s="58">
        <f t="shared" si="271"/>
        <v>0</v>
      </c>
      <c r="M474" s="58" t="str">
        <f t="shared" ca="1" si="272"/>
        <v/>
      </c>
      <c r="N474" s="58" t="str">
        <f t="shared" ca="1" si="272"/>
        <v/>
      </c>
      <c r="O474" s="58">
        <f t="shared" si="273"/>
        <v>5.0000000000000001E-4</v>
      </c>
      <c r="P474" s="77"/>
      <c r="Q474" s="60"/>
      <c r="R474" s="77"/>
      <c r="S474" s="78">
        <f t="shared" si="259"/>
        <v>0</v>
      </c>
      <c r="T474" s="55">
        <f t="shared" si="259"/>
        <v>0</v>
      </c>
      <c r="U474" s="79">
        <f t="shared" si="279"/>
        <v>0</v>
      </c>
      <c r="V474" s="63">
        <f t="shared" si="280"/>
        <v>0</v>
      </c>
      <c r="W474" s="64">
        <f t="shared" si="274"/>
        <v>154</v>
      </c>
      <c r="X474" s="80">
        <f t="shared" si="274"/>
        <v>156</v>
      </c>
      <c r="Y474" s="60"/>
      <c r="Z474" s="60"/>
      <c r="AA474" s="75"/>
      <c r="AB474" s="75"/>
      <c r="AC474" s="75"/>
      <c r="AD474" s="75"/>
      <c r="AE474" s="81">
        <f t="shared" si="260"/>
        <v>0</v>
      </c>
      <c r="AF474" s="55">
        <f t="shared" si="261"/>
        <v>0</v>
      </c>
      <c r="AG474" s="76">
        <f t="shared" si="257"/>
        <v>0</v>
      </c>
      <c r="AH474" s="82">
        <f t="shared" si="258"/>
        <v>0</v>
      </c>
      <c r="AI474" s="83">
        <f t="shared" si="258"/>
        <v>0</v>
      </c>
      <c r="AJ474" s="83">
        <f t="shared" si="258"/>
        <v>0</v>
      </c>
      <c r="AK474" s="58">
        <f t="shared" si="256"/>
        <v>0</v>
      </c>
      <c r="AL474" s="82">
        <f t="shared" si="262"/>
        <v>0</v>
      </c>
      <c r="AM474" s="58">
        <f t="shared" si="263"/>
        <v>0</v>
      </c>
      <c r="AN474" s="74"/>
      <c r="AO474" s="84"/>
      <c r="AP474" s="74"/>
      <c r="AQ474" s="85"/>
      <c r="AR474" s="74"/>
      <c r="AS474" s="74"/>
      <c r="AT474" s="74"/>
      <c r="AU474" s="55" t="str">
        <f t="shared" si="275"/>
        <v/>
      </c>
      <c r="AV474" s="55" t="str">
        <f t="shared" ca="1" si="276"/>
        <v/>
      </c>
      <c r="AW474" s="55" t="str">
        <f t="shared" si="264"/>
        <v/>
      </c>
      <c r="AX474" s="55" t="str">
        <f t="shared" ca="1" si="265"/>
        <v/>
      </c>
      <c r="AY474" s="86"/>
      <c r="AZ474" s="86"/>
      <c r="BA474" s="55" t="str">
        <f t="shared" si="277"/>
        <v/>
      </c>
      <c r="BB474" s="86"/>
      <c r="BC474" s="86"/>
      <c r="BD474" s="55" t="str">
        <f t="shared" si="278"/>
        <v/>
      </c>
      <c r="BE474" s="74"/>
      <c r="BS474" s="118"/>
      <c r="BT474" s="118"/>
      <c r="BU474" s="118"/>
      <c r="BV474" s="118"/>
      <c r="BW474" s="118"/>
      <c r="BX474" s="118"/>
      <c r="BZ474" s="118"/>
      <c r="CB474" s="118"/>
      <c r="CC474" s="118"/>
      <c r="CD474" s="118"/>
    </row>
    <row r="475" spans="1:82" ht="17.399999999999999" customHeight="1">
      <c r="A475" s="87">
        <f t="shared" si="281"/>
        <v>67.3</v>
      </c>
      <c r="B475" s="111">
        <f t="shared" si="266"/>
        <v>465</v>
      </c>
      <c r="C475" s="60"/>
      <c r="D475" s="74"/>
      <c r="E475" s="75"/>
      <c r="F475" s="74"/>
      <c r="G475" s="54">
        <f t="shared" si="267"/>
        <v>0</v>
      </c>
      <c r="H475" s="55">
        <f t="shared" si="267"/>
        <v>0</v>
      </c>
      <c r="I475" s="76">
        <f t="shared" si="268"/>
        <v>0</v>
      </c>
      <c r="J475" s="58">
        <f t="shared" si="269"/>
        <v>0</v>
      </c>
      <c r="K475" s="58">
        <f t="shared" si="270"/>
        <v>0</v>
      </c>
      <c r="L475" s="58">
        <f t="shared" si="271"/>
        <v>0</v>
      </c>
      <c r="M475" s="58" t="str">
        <f t="shared" ca="1" si="272"/>
        <v/>
      </c>
      <c r="N475" s="58" t="str">
        <f t="shared" ca="1" si="272"/>
        <v/>
      </c>
      <c r="O475" s="58">
        <f t="shared" si="273"/>
        <v>5.0000000000000001E-4</v>
      </c>
      <c r="P475" s="77"/>
      <c r="Q475" s="60"/>
      <c r="R475" s="77"/>
      <c r="S475" s="78">
        <f t="shared" si="259"/>
        <v>0</v>
      </c>
      <c r="T475" s="55">
        <f t="shared" si="259"/>
        <v>0</v>
      </c>
      <c r="U475" s="79">
        <f t="shared" si="279"/>
        <v>0</v>
      </c>
      <c r="V475" s="63">
        <f t="shared" si="280"/>
        <v>0</v>
      </c>
      <c r="W475" s="64">
        <f t="shared" si="274"/>
        <v>154</v>
      </c>
      <c r="X475" s="80">
        <f t="shared" si="274"/>
        <v>156</v>
      </c>
      <c r="Y475" s="60"/>
      <c r="Z475" s="60"/>
      <c r="AA475" s="75"/>
      <c r="AB475" s="75"/>
      <c r="AC475" s="75"/>
      <c r="AD475" s="75"/>
      <c r="AE475" s="81">
        <f t="shared" si="260"/>
        <v>0</v>
      </c>
      <c r="AF475" s="55">
        <f t="shared" si="261"/>
        <v>0</v>
      </c>
      <c r="AG475" s="76">
        <f t="shared" si="257"/>
        <v>0</v>
      </c>
      <c r="AH475" s="82">
        <f t="shared" si="258"/>
        <v>0</v>
      </c>
      <c r="AI475" s="83">
        <f t="shared" si="258"/>
        <v>0</v>
      </c>
      <c r="AJ475" s="83">
        <f t="shared" si="258"/>
        <v>0</v>
      </c>
      <c r="AK475" s="58">
        <f t="shared" si="256"/>
        <v>0</v>
      </c>
      <c r="AL475" s="82">
        <f t="shared" si="262"/>
        <v>0</v>
      </c>
      <c r="AM475" s="58">
        <f t="shared" si="263"/>
        <v>0</v>
      </c>
      <c r="AN475" s="74"/>
      <c r="AO475" s="84"/>
      <c r="AP475" s="74"/>
      <c r="AQ475" s="85"/>
      <c r="AR475" s="74"/>
      <c r="AS475" s="74"/>
      <c r="AT475" s="74"/>
      <c r="AU475" s="55" t="str">
        <f t="shared" si="275"/>
        <v/>
      </c>
      <c r="AV475" s="55" t="str">
        <f t="shared" ca="1" si="276"/>
        <v/>
      </c>
      <c r="AW475" s="55" t="str">
        <f t="shared" si="264"/>
        <v/>
      </c>
      <c r="AX475" s="55" t="str">
        <f t="shared" ca="1" si="265"/>
        <v/>
      </c>
      <c r="AY475" s="86"/>
      <c r="AZ475" s="86"/>
      <c r="BA475" s="55" t="str">
        <f t="shared" si="277"/>
        <v/>
      </c>
      <c r="BB475" s="86"/>
      <c r="BC475" s="86"/>
      <c r="BD475" s="55" t="str">
        <f t="shared" si="278"/>
        <v/>
      </c>
      <c r="BE475" s="74"/>
      <c r="BS475" s="118"/>
      <c r="BT475" s="118"/>
      <c r="BU475" s="118"/>
      <c r="BV475" s="118"/>
      <c r="BW475" s="118"/>
      <c r="BX475" s="118"/>
      <c r="BZ475" s="118"/>
      <c r="CB475" s="118"/>
      <c r="CC475" s="118"/>
      <c r="CD475" s="118"/>
    </row>
    <row r="476" spans="1:82" ht="17.399999999999999" customHeight="1">
      <c r="A476" s="72">
        <f t="shared" si="281"/>
        <v>67.400000000000006</v>
      </c>
      <c r="B476" s="111">
        <f t="shared" si="266"/>
        <v>466</v>
      </c>
      <c r="C476" s="60"/>
      <c r="D476" s="74"/>
      <c r="E476" s="75"/>
      <c r="F476" s="74"/>
      <c r="G476" s="54">
        <f t="shared" ref="G476:H491" si="282">G475-E476-C476</f>
        <v>0</v>
      </c>
      <c r="H476" s="55">
        <f t="shared" si="282"/>
        <v>0</v>
      </c>
      <c r="I476" s="76">
        <f t="shared" si="268"/>
        <v>0</v>
      </c>
      <c r="J476" s="58">
        <f t="shared" si="269"/>
        <v>0</v>
      </c>
      <c r="K476" s="58">
        <f t="shared" si="270"/>
        <v>0</v>
      </c>
      <c r="L476" s="58">
        <f t="shared" si="271"/>
        <v>0</v>
      </c>
      <c r="M476" s="58" t="str">
        <f t="shared" ca="1" si="272"/>
        <v/>
      </c>
      <c r="N476" s="58" t="str">
        <f t="shared" ca="1" si="272"/>
        <v/>
      </c>
      <c r="O476" s="58">
        <f t="shared" si="273"/>
        <v>5.0000000000000001E-4</v>
      </c>
      <c r="P476" s="77"/>
      <c r="Q476" s="60"/>
      <c r="R476" s="77"/>
      <c r="S476" s="78">
        <f t="shared" si="259"/>
        <v>0</v>
      </c>
      <c r="T476" s="55">
        <f t="shared" si="259"/>
        <v>0</v>
      </c>
      <c r="U476" s="79">
        <f t="shared" si="279"/>
        <v>0</v>
      </c>
      <c r="V476" s="63">
        <f t="shared" si="280"/>
        <v>0</v>
      </c>
      <c r="W476" s="64">
        <f t="shared" ref="W476:X491" si="283">W475</f>
        <v>154</v>
      </c>
      <c r="X476" s="80">
        <f t="shared" si="283"/>
        <v>156</v>
      </c>
      <c r="Y476" s="60"/>
      <c r="Z476" s="60"/>
      <c r="AA476" s="75"/>
      <c r="AB476" s="75"/>
      <c r="AC476" s="75"/>
      <c r="AD476" s="75"/>
      <c r="AE476" s="81">
        <f t="shared" si="260"/>
        <v>0</v>
      </c>
      <c r="AF476" s="55">
        <f t="shared" si="261"/>
        <v>0</v>
      </c>
      <c r="AG476" s="76">
        <f t="shared" si="257"/>
        <v>0</v>
      </c>
      <c r="AH476" s="82">
        <f t="shared" si="258"/>
        <v>0</v>
      </c>
      <c r="AI476" s="83">
        <f t="shared" si="258"/>
        <v>0</v>
      </c>
      <c r="AJ476" s="83">
        <f t="shared" si="258"/>
        <v>0</v>
      </c>
      <c r="AK476" s="58">
        <f t="shared" si="256"/>
        <v>0</v>
      </c>
      <c r="AL476" s="82">
        <f t="shared" si="262"/>
        <v>0</v>
      </c>
      <c r="AM476" s="58">
        <f t="shared" si="263"/>
        <v>0</v>
      </c>
      <c r="AN476" s="74"/>
      <c r="AO476" s="84"/>
      <c r="AP476" s="74"/>
      <c r="AQ476" s="85"/>
      <c r="AR476" s="74"/>
      <c r="AS476" s="74"/>
      <c r="AT476" s="74"/>
      <c r="AU476" s="55" t="str">
        <f t="shared" si="275"/>
        <v/>
      </c>
      <c r="AV476" s="55" t="str">
        <f t="shared" ca="1" si="276"/>
        <v/>
      </c>
      <c r="AW476" s="55" t="str">
        <f t="shared" si="264"/>
        <v/>
      </c>
      <c r="AX476" s="55" t="str">
        <f t="shared" ca="1" si="265"/>
        <v/>
      </c>
      <c r="AY476" s="86"/>
      <c r="AZ476" s="86"/>
      <c r="BA476" s="55" t="str">
        <f t="shared" si="277"/>
        <v/>
      </c>
      <c r="BB476" s="86"/>
      <c r="BC476" s="86"/>
      <c r="BD476" s="55" t="str">
        <f t="shared" si="278"/>
        <v/>
      </c>
      <c r="BE476" s="74"/>
      <c r="BS476" s="118"/>
      <c r="BT476" s="118"/>
      <c r="BU476" s="118"/>
      <c r="BV476" s="118"/>
      <c r="BW476" s="118"/>
      <c r="BX476" s="118"/>
      <c r="BZ476" s="118"/>
      <c r="CB476" s="118"/>
      <c r="CC476" s="118"/>
      <c r="CD476" s="118"/>
    </row>
    <row r="477" spans="1:82" ht="17.399999999999999" customHeight="1">
      <c r="A477" s="87">
        <f t="shared" si="281"/>
        <v>67.5</v>
      </c>
      <c r="B477" s="111">
        <f t="shared" si="266"/>
        <v>467</v>
      </c>
      <c r="C477" s="60"/>
      <c r="D477" s="74"/>
      <c r="E477" s="75"/>
      <c r="F477" s="74"/>
      <c r="G477" s="54">
        <f t="shared" si="282"/>
        <v>0</v>
      </c>
      <c r="H477" s="55">
        <f t="shared" si="282"/>
        <v>0</v>
      </c>
      <c r="I477" s="76">
        <f t="shared" si="268"/>
        <v>0</v>
      </c>
      <c r="J477" s="58">
        <f t="shared" si="269"/>
        <v>0</v>
      </c>
      <c r="K477" s="58">
        <f t="shared" si="270"/>
        <v>0</v>
      </c>
      <c r="L477" s="58">
        <f t="shared" si="271"/>
        <v>0</v>
      </c>
      <c r="M477" s="58" t="str">
        <f t="shared" ca="1" si="272"/>
        <v/>
      </c>
      <c r="N477" s="58" t="str">
        <f t="shared" ca="1" si="272"/>
        <v/>
      </c>
      <c r="O477" s="58">
        <f t="shared" si="273"/>
        <v>5.0000000000000001E-4</v>
      </c>
      <c r="P477" s="77"/>
      <c r="Q477" s="60"/>
      <c r="R477" s="77"/>
      <c r="S477" s="78">
        <f t="shared" si="259"/>
        <v>0</v>
      </c>
      <c r="T477" s="55">
        <f t="shared" si="259"/>
        <v>0</v>
      </c>
      <c r="U477" s="79">
        <f t="shared" si="279"/>
        <v>0</v>
      </c>
      <c r="V477" s="63">
        <f t="shared" si="280"/>
        <v>0</v>
      </c>
      <c r="W477" s="64">
        <f t="shared" si="283"/>
        <v>154</v>
      </c>
      <c r="X477" s="80">
        <f t="shared" si="283"/>
        <v>156</v>
      </c>
      <c r="Y477" s="60"/>
      <c r="Z477" s="60"/>
      <c r="AA477" s="75"/>
      <c r="AB477" s="75"/>
      <c r="AC477" s="75"/>
      <c r="AD477" s="75"/>
      <c r="AE477" s="81">
        <f t="shared" si="260"/>
        <v>0</v>
      </c>
      <c r="AF477" s="55">
        <f t="shared" si="261"/>
        <v>0</v>
      </c>
      <c r="AG477" s="76">
        <f t="shared" si="257"/>
        <v>0</v>
      </c>
      <c r="AH477" s="82">
        <f t="shared" si="258"/>
        <v>0</v>
      </c>
      <c r="AI477" s="83">
        <f t="shared" si="258"/>
        <v>0</v>
      </c>
      <c r="AJ477" s="83">
        <f t="shared" si="258"/>
        <v>0</v>
      </c>
      <c r="AK477" s="58">
        <f t="shared" si="256"/>
        <v>0</v>
      </c>
      <c r="AL477" s="82">
        <f t="shared" si="262"/>
        <v>0</v>
      </c>
      <c r="AM477" s="58">
        <f t="shared" si="263"/>
        <v>0</v>
      </c>
      <c r="AN477" s="74"/>
      <c r="AO477" s="84"/>
      <c r="AP477" s="74"/>
      <c r="AQ477" s="85"/>
      <c r="AR477" s="74"/>
      <c r="AS477" s="74"/>
      <c r="AT477" s="74"/>
      <c r="AU477" s="55" t="str">
        <f t="shared" si="275"/>
        <v/>
      </c>
      <c r="AV477" s="55" t="str">
        <f t="shared" ca="1" si="276"/>
        <v/>
      </c>
      <c r="AW477" s="55" t="str">
        <f t="shared" si="264"/>
        <v/>
      </c>
      <c r="AX477" s="55" t="str">
        <f t="shared" ca="1" si="265"/>
        <v/>
      </c>
      <c r="AY477" s="86"/>
      <c r="AZ477" s="86"/>
      <c r="BA477" s="55" t="str">
        <f t="shared" si="277"/>
        <v/>
      </c>
      <c r="BB477" s="86"/>
      <c r="BC477" s="86"/>
      <c r="BD477" s="55" t="str">
        <f t="shared" si="278"/>
        <v/>
      </c>
      <c r="BE477" s="74"/>
      <c r="BS477" s="118"/>
      <c r="BT477" s="118"/>
      <c r="BU477" s="118"/>
      <c r="BV477" s="118"/>
      <c r="BW477" s="118"/>
      <c r="BX477" s="118"/>
      <c r="BZ477" s="118"/>
      <c r="CB477" s="118"/>
      <c r="CC477" s="118"/>
      <c r="CD477" s="118"/>
    </row>
    <row r="478" spans="1:82" ht="17.399999999999999" customHeight="1">
      <c r="A478" s="72">
        <f t="shared" si="281"/>
        <v>67.599999999999994</v>
      </c>
      <c r="B478" s="111">
        <f t="shared" si="266"/>
        <v>468</v>
      </c>
      <c r="C478" s="60"/>
      <c r="D478" s="74"/>
      <c r="E478" s="75"/>
      <c r="F478" s="74"/>
      <c r="G478" s="54">
        <f t="shared" si="282"/>
        <v>0</v>
      </c>
      <c r="H478" s="55">
        <f t="shared" si="282"/>
        <v>0</v>
      </c>
      <c r="I478" s="76">
        <f t="shared" si="268"/>
        <v>0</v>
      </c>
      <c r="J478" s="58">
        <f t="shared" si="269"/>
        <v>0</v>
      </c>
      <c r="K478" s="58">
        <f t="shared" si="270"/>
        <v>0</v>
      </c>
      <c r="L478" s="58">
        <f t="shared" si="271"/>
        <v>0</v>
      </c>
      <c r="M478" s="58" t="str">
        <f t="shared" ca="1" si="272"/>
        <v/>
      </c>
      <c r="N478" s="58" t="str">
        <f t="shared" ca="1" si="272"/>
        <v/>
      </c>
      <c r="O478" s="58">
        <f t="shared" si="273"/>
        <v>5.0000000000000001E-4</v>
      </c>
      <c r="P478" s="77"/>
      <c r="Q478" s="60"/>
      <c r="R478" s="77"/>
      <c r="S478" s="78">
        <f t="shared" si="259"/>
        <v>0</v>
      </c>
      <c r="T478" s="55">
        <f t="shared" si="259"/>
        <v>0</v>
      </c>
      <c r="U478" s="79">
        <f t="shared" si="279"/>
        <v>0</v>
      </c>
      <c r="V478" s="63">
        <f t="shared" si="280"/>
        <v>0</v>
      </c>
      <c r="W478" s="64">
        <f t="shared" si="283"/>
        <v>154</v>
      </c>
      <c r="X478" s="80">
        <f t="shared" si="283"/>
        <v>156</v>
      </c>
      <c r="Y478" s="60"/>
      <c r="Z478" s="60"/>
      <c r="AA478" s="75"/>
      <c r="AB478" s="75"/>
      <c r="AC478" s="75"/>
      <c r="AD478" s="75"/>
      <c r="AE478" s="81">
        <f t="shared" si="260"/>
        <v>0</v>
      </c>
      <c r="AF478" s="55">
        <f t="shared" si="261"/>
        <v>0</v>
      </c>
      <c r="AG478" s="76">
        <f t="shared" si="257"/>
        <v>0</v>
      </c>
      <c r="AH478" s="82">
        <f t="shared" si="258"/>
        <v>0</v>
      </c>
      <c r="AI478" s="83">
        <f t="shared" si="258"/>
        <v>0</v>
      </c>
      <c r="AJ478" s="83">
        <f t="shared" si="258"/>
        <v>0</v>
      </c>
      <c r="AK478" s="58">
        <f t="shared" si="256"/>
        <v>0</v>
      </c>
      <c r="AL478" s="82">
        <f t="shared" si="262"/>
        <v>0</v>
      </c>
      <c r="AM478" s="58">
        <f t="shared" si="263"/>
        <v>0</v>
      </c>
      <c r="AN478" s="74"/>
      <c r="AO478" s="84"/>
      <c r="AP478" s="74"/>
      <c r="AQ478" s="85"/>
      <c r="AR478" s="74"/>
      <c r="AS478" s="74"/>
      <c r="AT478" s="74"/>
      <c r="AU478" s="55" t="str">
        <f t="shared" si="275"/>
        <v/>
      </c>
      <c r="AV478" s="55" t="str">
        <f t="shared" ca="1" si="276"/>
        <v/>
      </c>
      <c r="AW478" s="55" t="str">
        <f t="shared" si="264"/>
        <v/>
      </c>
      <c r="AX478" s="55" t="str">
        <f t="shared" ca="1" si="265"/>
        <v/>
      </c>
      <c r="AY478" s="86"/>
      <c r="AZ478" s="86"/>
      <c r="BA478" s="55" t="str">
        <f t="shared" si="277"/>
        <v/>
      </c>
      <c r="BB478" s="86"/>
      <c r="BC478" s="86"/>
      <c r="BD478" s="55" t="str">
        <f t="shared" si="278"/>
        <v/>
      </c>
      <c r="BE478" s="74"/>
      <c r="BS478" s="118"/>
      <c r="BT478" s="118"/>
      <c r="BU478" s="118"/>
      <c r="BV478" s="118"/>
      <c r="BW478" s="118"/>
      <c r="BX478" s="118"/>
      <c r="BZ478" s="118"/>
      <c r="CB478" s="118"/>
      <c r="CC478" s="118"/>
      <c r="CD478" s="118"/>
    </row>
    <row r="479" spans="1:82" ht="17.399999999999999" customHeight="1" thickBot="1">
      <c r="A479" s="87">
        <f t="shared" si="281"/>
        <v>67.7</v>
      </c>
      <c r="B479" s="113">
        <f t="shared" si="266"/>
        <v>469</v>
      </c>
      <c r="C479" s="89"/>
      <c r="D479" s="90"/>
      <c r="E479" s="91"/>
      <c r="F479" s="90"/>
      <c r="G479" s="92">
        <f t="shared" si="282"/>
        <v>0</v>
      </c>
      <c r="H479" s="93">
        <f t="shared" si="282"/>
        <v>0</v>
      </c>
      <c r="I479" s="94">
        <f t="shared" si="268"/>
        <v>0</v>
      </c>
      <c r="J479" s="95">
        <f t="shared" si="269"/>
        <v>0</v>
      </c>
      <c r="K479" s="95">
        <f t="shared" si="270"/>
        <v>0</v>
      </c>
      <c r="L479" s="95">
        <f t="shared" si="271"/>
        <v>0</v>
      </c>
      <c r="M479" s="95" t="str">
        <f t="shared" ca="1" si="272"/>
        <v/>
      </c>
      <c r="N479" s="95" t="str">
        <f t="shared" ca="1" si="272"/>
        <v/>
      </c>
      <c r="O479" s="95">
        <f t="shared" si="273"/>
        <v>5.0000000000000001E-4</v>
      </c>
      <c r="P479" s="96"/>
      <c r="Q479" s="89"/>
      <c r="R479" s="96"/>
      <c r="S479" s="78">
        <f t="shared" si="259"/>
        <v>0</v>
      </c>
      <c r="T479" s="55">
        <f t="shared" si="259"/>
        <v>0</v>
      </c>
      <c r="U479" s="97">
        <f t="shared" si="279"/>
        <v>0</v>
      </c>
      <c r="V479" s="98">
        <f t="shared" si="280"/>
        <v>0</v>
      </c>
      <c r="W479" s="99">
        <f t="shared" si="283"/>
        <v>154</v>
      </c>
      <c r="X479" s="100">
        <f t="shared" si="283"/>
        <v>156</v>
      </c>
      <c r="Y479" s="89"/>
      <c r="Z479" s="60"/>
      <c r="AA479" s="75"/>
      <c r="AB479" s="75"/>
      <c r="AC479" s="75"/>
      <c r="AD479" s="75"/>
      <c r="AE479" s="101">
        <f t="shared" si="260"/>
        <v>0</v>
      </c>
      <c r="AF479" s="93">
        <f t="shared" si="261"/>
        <v>0</v>
      </c>
      <c r="AG479" s="94">
        <f t="shared" si="257"/>
        <v>0</v>
      </c>
      <c r="AH479" s="102">
        <f t="shared" si="258"/>
        <v>0</v>
      </c>
      <c r="AI479" s="103">
        <f t="shared" si="258"/>
        <v>0</v>
      </c>
      <c r="AJ479" s="103">
        <f t="shared" si="258"/>
        <v>0</v>
      </c>
      <c r="AK479" s="95">
        <f t="shared" si="256"/>
        <v>0</v>
      </c>
      <c r="AL479" s="102">
        <f t="shared" si="262"/>
        <v>0</v>
      </c>
      <c r="AM479" s="95">
        <f t="shared" si="263"/>
        <v>0</v>
      </c>
      <c r="AN479" s="90"/>
      <c r="AO479" s="104"/>
      <c r="AP479" s="90"/>
      <c r="AQ479" s="105"/>
      <c r="AR479" s="90"/>
      <c r="AS479" s="90"/>
      <c r="AT479" s="90"/>
      <c r="AU479" s="93" t="str">
        <f t="shared" si="275"/>
        <v/>
      </c>
      <c r="AV479" s="93" t="str">
        <f t="shared" ca="1" si="276"/>
        <v/>
      </c>
      <c r="AW479" s="93" t="str">
        <f t="shared" si="264"/>
        <v/>
      </c>
      <c r="AX479" s="93" t="str">
        <f t="shared" ca="1" si="265"/>
        <v/>
      </c>
      <c r="AY479" s="106"/>
      <c r="AZ479" s="106"/>
      <c r="BA479" s="93" t="str">
        <f t="shared" si="277"/>
        <v/>
      </c>
      <c r="BB479" s="106"/>
      <c r="BC479" s="106"/>
      <c r="BD479" s="93" t="str">
        <f t="shared" si="278"/>
        <v/>
      </c>
      <c r="BE479" s="90"/>
      <c r="BS479" s="118"/>
      <c r="BT479" s="118"/>
      <c r="BU479" s="118"/>
      <c r="BV479" s="118"/>
      <c r="BW479" s="118"/>
      <c r="BX479" s="118"/>
      <c r="BZ479" s="118"/>
      <c r="CB479" s="118"/>
      <c r="CC479" s="118"/>
      <c r="CD479" s="118"/>
    </row>
    <row r="480" spans="1:82" ht="17.399999999999999" customHeight="1" thickTop="1">
      <c r="A480" s="107">
        <f>A473+1</f>
        <v>68.099999999999994</v>
      </c>
      <c r="B480" s="108">
        <f>B479+1</f>
        <v>470</v>
      </c>
      <c r="C480" s="51"/>
      <c r="D480" s="52"/>
      <c r="E480" s="53"/>
      <c r="F480" s="52"/>
      <c r="G480" s="54">
        <f t="shared" si="282"/>
        <v>0</v>
      </c>
      <c r="H480" s="55">
        <f t="shared" si="282"/>
        <v>0</v>
      </c>
      <c r="I480" s="56">
        <f t="shared" si="268"/>
        <v>0</v>
      </c>
      <c r="J480" s="57">
        <f t="shared" si="269"/>
        <v>0</v>
      </c>
      <c r="K480" s="57">
        <f t="shared" si="270"/>
        <v>0</v>
      </c>
      <c r="L480" s="57">
        <f t="shared" si="271"/>
        <v>0</v>
      </c>
      <c r="M480" s="58" t="str">
        <f t="shared" ca="1" si="272"/>
        <v/>
      </c>
      <c r="N480" s="58" t="str">
        <f t="shared" ca="1" si="272"/>
        <v/>
      </c>
      <c r="O480" s="58">
        <f t="shared" si="273"/>
        <v>5.0000000000000001E-4</v>
      </c>
      <c r="P480" s="77"/>
      <c r="Q480" s="60"/>
      <c r="R480" s="77"/>
      <c r="S480" s="109">
        <f t="shared" si="259"/>
        <v>0</v>
      </c>
      <c r="T480" s="61">
        <f t="shared" si="259"/>
        <v>0</v>
      </c>
      <c r="U480" s="62">
        <f t="shared" si="279"/>
        <v>0</v>
      </c>
      <c r="V480" s="63">
        <f t="shared" si="280"/>
        <v>0</v>
      </c>
      <c r="W480" s="64">
        <f t="shared" si="283"/>
        <v>154</v>
      </c>
      <c r="X480" s="80">
        <f t="shared" si="283"/>
        <v>156</v>
      </c>
      <c r="Y480" s="51"/>
      <c r="Z480" s="51"/>
      <c r="AA480" s="53"/>
      <c r="AB480" s="53"/>
      <c r="AC480" s="53"/>
      <c r="AD480" s="53"/>
      <c r="AE480" s="66">
        <f t="shared" si="260"/>
        <v>0</v>
      </c>
      <c r="AF480" s="61">
        <f t="shared" si="261"/>
        <v>0</v>
      </c>
      <c r="AG480" s="56">
        <f t="shared" si="257"/>
        <v>0</v>
      </c>
      <c r="AH480" s="67">
        <f t="shared" si="258"/>
        <v>0</v>
      </c>
      <c r="AI480" s="68">
        <f t="shared" si="258"/>
        <v>0</v>
      </c>
      <c r="AJ480" s="68">
        <f t="shared" si="258"/>
        <v>0</v>
      </c>
      <c r="AK480" s="57">
        <f t="shared" si="256"/>
        <v>0</v>
      </c>
      <c r="AL480" s="67">
        <f t="shared" si="262"/>
        <v>0</v>
      </c>
      <c r="AM480" s="57">
        <f t="shared" si="263"/>
        <v>0</v>
      </c>
      <c r="AN480" s="52"/>
      <c r="AO480" s="69"/>
      <c r="AP480" s="52"/>
      <c r="AQ480" s="70"/>
      <c r="AR480" s="52"/>
      <c r="AS480" s="52"/>
      <c r="AT480" s="52"/>
      <c r="AU480" s="61" t="str">
        <f t="shared" si="275"/>
        <v/>
      </c>
      <c r="AV480" s="61" t="str">
        <f t="shared" ca="1" si="276"/>
        <v/>
      </c>
      <c r="AW480" s="61" t="str">
        <f t="shared" si="264"/>
        <v/>
      </c>
      <c r="AX480" s="61" t="str">
        <f t="shared" ca="1" si="265"/>
        <v/>
      </c>
      <c r="AY480" s="71"/>
      <c r="AZ480" s="71"/>
      <c r="BA480" s="61" t="str">
        <f t="shared" si="277"/>
        <v/>
      </c>
      <c r="BB480" s="71"/>
      <c r="BC480" s="71"/>
      <c r="BD480" s="61" t="str">
        <f t="shared" si="278"/>
        <v/>
      </c>
      <c r="BE480" s="52"/>
      <c r="BS480" s="118"/>
      <c r="BT480" s="118"/>
      <c r="BU480" s="118"/>
      <c r="BV480" s="118"/>
      <c r="BW480" s="118"/>
      <c r="BX480" s="118"/>
      <c r="BZ480" s="118"/>
      <c r="CB480" s="118"/>
      <c r="CC480" s="118"/>
      <c r="CD480" s="118"/>
    </row>
    <row r="481" spans="1:82" ht="17.399999999999999" customHeight="1">
      <c r="A481" s="87">
        <f t="shared" si="281"/>
        <v>68.2</v>
      </c>
      <c r="B481" s="121">
        <f t="shared" si="266"/>
        <v>471</v>
      </c>
      <c r="C481" s="60"/>
      <c r="D481" s="74"/>
      <c r="E481" s="75"/>
      <c r="F481" s="74"/>
      <c r="G481" s="54">
        <f t="shared" si="282"/>
        <v>0</v>
      </c>
      <c r="H481" s="55">
        <f t="shared" si="282"/>
        <v>0</v>
      </c>
      <c r="I481" s="76">
        <f t="shared" si="268"/>
        <v>0</v>
      </c>
      <c r="J481" s="58">
        <f t="shared" si="269"/>
        <v>0</v>
      </c>
      <c r="K481" s="58">
        <f t="shared" si="270"/>
        <v>0</v>
      </c>
      <c r="L481" s="58">
        <f t="shared" si="271"/>
        <v>0</v>
      </c>
      <c r="M481" s="58" t="str">
        <f t="shared" ca="1" si="272"/>
        <v/>
      </c>
      <c r="N481" s="58" t="str">
        <f t="shared" ca="1" si="272"/>
        <v/>
      </c>
      <c r="O481" s="58">
        <f t="shared" si="273"/>
        <v>5.0000000000000001E-4</v>
      </c>
      <c r="P481" s="77"/>
      <c r="Q481" s="60"/>
      <c r="R481" s="77"/>
      <c r="S481" s="78">
        <f t="shared" si="259"/>
        <v>0</v>
      </c>
      <c r="T481" s="55">
        <f t="shared" si="259"/>
        <v>0</v>
      </c>
      <c r="U481" s="79">
        <f t="shared" si="279"/>
        <v>0</v>
      </c>
      <c r="V481" s="63">
        <f t="shared" si="280"/>
        <v>0</v>
      </c>
      <c r="W481" s="64">
        <f t="shared" si="283"/>
        <v>154</v>
      </c>
      <c r="X481" s="80">
        <f t="shared" si="283"/>
        <v>156</v>
      </c>
      <c r="Y481" s="60"/>
      <c r="Z481" s="60"/>
      <c r="AA481" s="75"/>
      <c r="AB481" s="75"/>
      <c r="AC481" s="75"/>
      <c r="AD481" s="75"/>
      <c r="AE481" s="81">
        <f t="shared" si="260"/>
        <v>0</v>
      </c>
      <c r="AF481" s="55">
        <f t="shared" si="261"/>
        <v>0</v>
      </c>
      <c r="AG481" s="76">
        <f t="shared" si="257"/>
        <v>0</v>
      </c>
      <c r="AH481" s="82">
        <f t="shared" si="258"/>
        <v>0</v>
      </c>
      <c r="AI481" s="83">
        <f t="shared" si="258"/>
        <v>0</v>
      </c>
      <c r="AJ481" s="83">
        <f t="shared" si="258"/>
        <v>0</v>
      </c>
      <c r="AK481" s="58">
        <f t="shared" si="256"/>
        <v>0</v>
      </c>
      <c r="AL481" s="82">
        <f t="shared" si="262"/>
        <v>0</v>
      </c>
      <c r="AM481" s="58">
        <f t="shared" si="263"/>
        <v>0</v>
      </c>
      <c r="AN481" s="74"/>
      <c r="AO481" s="84"/>
      <c r="AP481" s="74"/>
      <c r="AQ481" s="85"/>
      <c r="AR481" s="74"/>
      <c r="AS481" s="74"/>
      <c r="AT481" s="74"/>
      <c r="AU481" s="55" t="str">
        <f t="shared" si="275"/>
        <v/>
      </c>
      <c r="AV481" s="55" t="str">
        <f t="shared" ca="1" si="276"/>
        <v/>
      </c>
      <c r="AW481" s="55" t="str">
        <f t="shared" si="264"/>
        <v/>
      </c>
      <c r="AX481" s="55" t="str">
        <f t="shared" ca="1" si="265"/>
        <v/>
      </c>
      <c r="AY481" s="86"/>
      <c r="AZ481" s="86"/>
      <c r="BA481" s="55" t="str">
        <f t="shared" si="277"/>
        <v/>
      </c>
      <c r="BB481" s="86"/>
      <c r="BC481" s="86"/>
      <c r="BD481" s="55" t="str">
        <f t="shared" si="278"/>
        <v/>
      </c>
      <c r="BE481" s="74"/>
      <c r="BS481" s="118"/>
      <c r="BT481" s="118"/>
      <c r="BU481" s="118"/>
      <c r="BV481" s="118"/>
      <c r="BW481" s="118"/>
      <c r="BX481" s="118"/>
      <c r="BZ481" s="118"/>
      <c r="CB481" s="118"/>
      <c r="CC481" s="118"/>
      <c r="CD481" s="118"/>
    </row>
    <row r="482" spans="1:82" ht="17.399999999999999" customHeight="1">
      <c r="A482" s="72">
        <f t="shared" si="281"/>
        <v>68.3</v>
      </c>
      <c r="B482" s="111">
        <f t="shared" si="266"/>
        <v>472</v>
      </c>
      <c r="C482" s="60"/>
      <c r="D482" s="74"/>
      <c r="E482" s="75"/>
      <c r="F482" s="74"/>
      <c r="G482" s="54">
        <f t="shared" si="282"/>
        <v>0</v>
      </c>
      <c r="H482" s="55">
        <f t="shared" si="282"/>
        <v>0</v>
      </c>
      <c r="I482" s="76">
        <f t="shared" si="268"/>
        <v>0</v>
      </c>
      <c r="J482" s="58">
        <f t="shared" si="269"/>
        <v>0</v>
      </c>
      <c r="K482" s="58">
        <f t="shared" si="270"/>
        <v>0</v>
      </c>
      <c r="L482" s="58">
        <f t="shared" si="271"/>
        <v>0</v>
      </c>
      <c r="M482" s="58" t="str">
        <f t="shared" ca="1" si="272"/>
        <v/>
      </c>
      <c r="N482" s="58" t="str">
        <f t="shared" ca="1" si="272"/>
        <v/>
      </c>
      <c r="O482" s="58">
        <f t="shared" si="273"/>
        <v>5.0000000000000001E-4</v>
      </c>
      <c r="P482" s="77"/>
      <c r="Q482" s="60"/>
      <c r="R482" s="77"/>
      <c r="S482" s="78">
        <f t="shared" si="259"/>
        <v>0</v>
      </c>
      <c r="T482" s="55">
        <f t="shared" si="259"/>
        <v>0</v>
      </c>
      <c r="U482" s="79">
        <f t="shared" si="279"/>
        <v>0</v>
      </c>
      <c r="V482" s="63">
        <f t="shared" si="280"/>
        <v>0</v>
      </c>
      <c r="W482" s="64">
        <f t="shared" si="283"/>
        <v>154</v>
      </c>
      <c r="X482" s="80">
        <f t="shared" si="283"/>
        <v>156</v>
      </c>
      <c r="Y482" s="60"/>
      <c r="Z482" s="60"/>
      <c r="AA482" s="75"/>
      <c r="AB482" s="75"/>
      <c r="AC482" s="75"/>
      <c r="AD482" s="75"/>
      <c r="AE482" s="81">
        <f t="shared" si="260"/>
        <v>0</v>
      </c>
      <c r="AF482" s="55">
        <f t="shared" si="261"/>
        <v>0</v>
      </c>
      <c r="AG482" s="76">
        <f t="shared" si="257"/>
        <v>0</v>
      </c>
      <c r="AH482" s="82">
        <f t="shared" si="258"/>
        <v>0</v>
      </c>
      <c r="AI482" s="83">
        <f t="shared" si="258"/>
        <v>0</v>
      </c>
      <c r="AJ482" s="83">
        <f t="shared" si="258"/>
        <v>0</v>
      </c>
      <c r="AK482" s="58">
        <f t="shared" si="256"/>
        <v>0</v>
      </c>
      <c r="AL482" s="82">
        <f t="shared" si="262"/>
        <v>0</v>
      </c>
      <c r="AM482" s="58">
        <f t="shared" si="263"/>
        <v>0</v>
      </c>
      <c r="AN482" s="74"/>
      <c r="AO482" s="84"/>
      <c r="AP482" s="74"/>
      <c r="AQ482" s="85"/>
      <c r="AR482" s="74"/>
      <c r="AS482" s="74"/>
      <c r="AT482" s="74"/>
      <c r="AU482" s="55" t="str">
        <f t="shared" si="275"/>
        <v/>
      </c>
      <c r="AV482" s="55" t="str">
        <f t="shared" ca="1" si="276"/>
        <v/>
      </c>
      <c r="AW482" s="55" t="str">
        <f t="shared" si="264"/>
        <v/>
      </c>
      <c r="AX482" s="55" t="str">
        <f t="shared" ca="1" si="265"/>
        <v/>
      </c>
      <c r="AY482" s="86"/>
      <c r="AZ482" s="86"/>
      <c r="BA482" s="55" t="str">
        <f t="shared" si="277"/>
        <v/>
      </c>
      <c r="BB482" s="86"/>
      <c r="BC482" s="86"/>
      <c r="BD482" s="55" t="str">
        <f t="shared" si="278"/>
        <v/>
      </c>
      <c r="BE482" s="74"/>
      <c r="BS482" s="118"/>
      <c r="BT482" s="118"/>
      <c r="BU482" s="118"/>
      <c r="BV482" s="118"/>
      <c r="BW482" s="118"/>
      <c r="BX482" s="118"/>
      <c r="BZ482" s="118"/>
      <c r="CB482" s="118"/>
      <c r="CC482" s="118"/>
      <c r="CD482" s="118"/>
    </row>
    <row r="483" spans="1:82" ht="17.399999999999999" customHeight="1">
      <c r="A483" s="87">
        <f t="shared" si="281"/>
        <v>68.400000000000006</v>
      </c>
      <c r="B483" s="111">
        <f t="shared" si="266"/>
        <v>473</v>
      </c>
      <c r="C483" s="60"/>
      <c r="D483" s="74"/>
      <c r="E483" s="75"/>
      <c r="F483" s="74"/>
      <c r="G483" s="54">
        <f t="shared" si="282"/>
        <v>0</v>
      </c>
      <c r="H483" s="55">
        <f t="shared" si="282"/>
        <v>0</v>
      </c>
      <c r="I483" s="76">
        <f t="shared" si="268"/>
        <v>0</v>
      </c>
      <c r="J483" s="58">
        <f t="shared" si="269"/>
        <v>0</v>
      </c>
      <c r="K483" s="58">
        <f t="shared" si="270"/>
        <v>0</v>
      </c>
      <c r="L483" s="58">
        <f t="shared" si="271"/>
        <v>0</v>
      </c>
      <c r="M483" s="58" t="str">
        <f t="shared" ca="1" si="272"/>
        <v/>
      </c>
      <c r="N483" s="58" t="str">
        <f t="shared" ca="1" si="272"/>
        <v/>
      </c>
      <c r="O483" s="58">
        <f t="shared" si="273"/>
        <v>5.0000000000000001E-4</v>
      </c>
      <c r="P483" s="77"/>
      <c r="Q483" s="60"/>
      <c r="R483" s="77"/>
      <c r="S483" s="78">
        <f t="shared" si="259"/>
        <v>0</v>
      </c>
      <c r="T483" s="55">
        <f t="shared" si="259"/>
        <v>0</v>
      </c>
      <c r="U483" s="79">
        <f t="shared" si="279"/>
        <v>0</v>
      </c>
      <c r="V483" s="63">
        <f t="shared" si="280"/>
        <v>0</v>
      </c>
      <c r="W483" s="64">
        <f t="shared" si="283"/>
        <v>154</v>
      </c>
      <c r="X483" s="80">
        <f t="shared" si="283"/>
        <v>156</v>
      </c>
      <c r="Y483" s="60"/>
      <c r="Z483" s="60"/>
      <c r="AA483" s="75"/>
      <c r="AB483" s="75"/>
      <c r="AC483" s="75"/>
      <c r="AD483" s="75"/>
      <c r="AE483" s="81">
        <f t="shared" si="260"/>
        <v>0</v>
      </c>
      <c r="AF483" s="55">
        <f t="shared" si="261"/>
        <v>0</v>
      </c>
      <c r="AG483" s="76">
        <f t="shared" si="257"/>
        <v>0</v>
      </c>
      <c r="AH483" s="82">
        <f t="shared" si="258"/>
        <v>0</v>
      </c>
      <c r="AI483" s="83">
        <f t="shared" si="258"/>
        <v>0</v>
      </c>
      <c r="AJ483" s="83">
        <f t="shared" si="258"/>
        <v>0</v>
      </c>
      <c r="AK483" s="58">
        <f t="shared" si="256"/>
        <v>0</v>
      </c>
      <c r="AL483" s="82">
        <f t="shared" si="262"/>
        <v>0</v>
      </c>
      <c r="AM483" s="58">
        <f t="shared" si="263"/>
        <v>0</v>
      </c>
      <c r="AN483" s="74"/>
      <c r="AO483" s="84"/>
      <c r="AP483" s="74"/>
      <c r="AQ483" s="85"/>
      <c r="AR483" s="74"/>
      <c r="AS483" s="74"/>
      <c r="AT483" s="74"/>
      <c r="AU483" s="55" t="str">
        <f t="shared" si="275"/>
        <v/>
      </c>
      <c r="AV483" s="55" t="str">
        <f t="shared" ca="1" si="276"/>
        <v/>
      </c>
      <c r="AW483" s="55" t="str">
        <f t="shared" si="264"/>
        <v/>
      </c>
      <c r="AX483" s="55" t="str">
        <f t="shared" ca="1" si="265"/>
        <v/>
      </c>
      <c r="AY483" s="86"/>
      <c r="AZ483" s="86"/>
      <c r="BA483" s="55" t="str">
        <f t="shared" si="277"/>
        <v/>
      </c>
      <c r="BB483" s="86"/>
      <c r="BC483" s="86"/>
      <c r="BD483" s="55" t="str">
        <f t="shared" si="278"/>
        <v/>
      </c>
      <c r="BE483" s="74"/>
      <c r="BS483" s="118"/>
      <c r="BT483" s="118"/>
      <c r="BU483" s="118"/>
      <c r="BV483" s="118"/>
      <c r="BW483" s="118"/>
      <c r="BX483" s="118"/>
      <c r="BZ483" s="118"/>
      <c r="CB483" s="118"/>
      <c r="CC483" s="118"/>
      <c r="CD483" s="118"/>
    </row>
    <row r="484" spans="1:82" ht="17.399999999999999" customHeight="1">
      <c r="A484" s="72">
        <f t="shared" si="281"/>
        <v>68.5</v>
      </c>
      <c r="B484" s="111">
        <f t="shared" si="266"/>
        <v>474</v>
      </c>
      <c r="C484" s="60"/>
      <c r="D484" s="74"/>
      <c r="E484" s="75"/>
      <c r="F484" s="74"/>
      <c r="G484" s="54">
        <f t="shared" si="282"/>
        <v>0</v>
      </c>
      <c r="H484" s="55">
        <f t="shared" si="282"/>
        <v>0</v>
      </c>
      <c r="I484" s="76">
        <f t="shared" si="268"/>
        <v>0</v>
      </c>
      <c r="J484" s="58">
        <f t="shared" si="269"/>
        <v>0</v>
      </c>
      <c r="K484" s="58">
        <f t="shared" si="270"/>
        <v>0</v>
      </c>
      <c r="L484" s="58">
        <f t="shared" si="271"/>
        <v>0</v>
      </c>
      <c r="M484" s="58" t="str">
        <f t="shared" ca="1" si="272"/>
        <v/>
      </c>
      <c r="N484" s="58" t="str">
        <f t="shared" ca="1" si="272"/>
        <v/>
      </c>
      <c r="O484" s="58">
        <f t="shared" si="273"/>
        <v>5.0000000000000001E-4</v>
      </c>
      <c r="P484" s="77"/>
      <c r="Q484" s="60"/>
      <c r="R484" s="77"/>
      <c r="S484" s="78">
        <f t="shared" si="259"/>
        <v>0</v>
      </c>
      <c r="T484" s="55">
        <f t="shared" si="259"/>
        <v>0</v>
      </c>
      <c r="U484" s="79">
        <f t="shared" si="279"/>
        <v>0</v>
      </c>
      <c r="V484" s="63">
        <f t="shared" si="280"/>
        <v>0</v>
      </c>
      <c r="W484" s="64">
        <f t="shared" si="283"/>
        <v>154</v>
      </c>
      <c r="X484" s="80">
        <f t="shared" si="283"/>
        <v>156</v>
      </c>
      <c r="Y484" s="60"/>
      <c r="Z484" s="60"/>
      <c r="AA484" s="75"/>
      <c r="AB484" s="75"/>
      <c r="AC484" s="75"/>
      <c r="AD484" s="75"/>
      <c r="AE484" s="81">
        <f t="shared" si="260"/>
        <v>0</v>
      </c>
      <c r="AF484" s="55">
        <f t="shared" si="261"/>
        <v>0</v>
      </c>
      <c r="AG484" s="76">
        <f t="shared" si="257"/>
        <v>0</v>
      </c>
      <c r="AH484" s="82">
        <f t="shared" si="258"/>
        <v>0</v>
      </c>
      <c r="AI484" s="83">
        <f t="shared" si="258"/>
        <v>0</v>
      </c>
      <c r="AJ484" s="83">
        <f t="shared" si="258"/>
        <v>0</v>
      </c>
      <c r="AK484" s="58">
        <f t="shared" si="256"/>
        <v>0</v>
      </c>
      <c r="AL484" s="82">
        <f t="shared" si="262"/>
        <v>0</v>
      </c>
      <c r="AM484" s="58">
        <f t="shared" si="263"/>
        <v>0</v>
      </c>
      <c r="AN484" s="74"/>
      <c r="AO484" s="84"/>
      <c r="AP484" s="74"/>
      <c r="AQ484" s="85"/>
      <c r="AR484" s="74"/>
      <c r="AS484" s="74"/>
      <c r="AT484" s="74"/>
      <c r="AU484" s="55" t="str">
        <f t="shared" si="275"/>
        <v/>
      </c>
      <c r="AV484" s="55" t="str">
        <f t="shared" ca="1" si="276"/>
        <v/>
      </c>
      <c r="AW484" s="55" t="str">
        <f t="shared" si="264"/>
        <v/>
      </c>
      <c r="AX484" s="55" t="str">
        <f t="shared" ca="1" si="265"/>
        <v/>
      </c>
      <c r="AY484" s="86"/>
      <c r="AZ484" s="86"/>
      <c r="BA484" s="55" t="str">
        <f t="shared" si="277"/>
        <v/>
      </c>
      <c r="BB484" s="86"/>
      <c r="BC484" s="86"/>
      <c r="BD484" s="55" t="str">
        <f t="shared" si="278"/>
        <v/>
      </c>
      <c r="BE484" s="74"/>
      <c r="BS484" s="118"/>
      <c r="BT484" s="118"/>
      <c r="BU484" s="118"/>
      <c r="BV484" s="118"/>
      <c r="BW484" s="118"/>
      <c r="BX484" s="118"/>
      <c r="BZ484" s="118"/>
      <c r="CB484" s="118"/>
      <c r="CC484" s="118"/>
      <c r="CD484" s="118"/>
    </row>
    <row r="485" spans="1:82" ht="17.399999999999999" customHeight="1">
      <c r="A485" s="87">
        <f t="shared" si="281"/>
        <v>68.599999999999994</v>
      </c>
      <c r="B485" s="111">
        <f t="shared" si="266"/>
        <v>475</v>
      </c>
      <c r="C485" s="60"/>
      <c r="D485" s="74"/>
      <c r="E485" s="75"/>
      <c r="F485" s="74"/>
      <c r="G485" s="54">
        <f t="shared" si="282"/>
        <v>0</v>
      </c>
      <c r="H485" s="55">
        <f t="shared" si="282"/>
        <v>0</v>
      </c>
      <c r="I485" s="76">
        <f t="shared" si="268"/>
        <v>0</v>
      </c>
      <c r="J485" s="58">
        <f t="shared" si="269"/>
        <v>0</v>
      </c>
      <c r="K485" s="58">
        <f t="shared" si="270"/>
        <v>0</v>
      </c>
      <c r="L485" s="58">
        <f t="shared" si="271"/>
        <v>0</v>
      </c>
      <c r="M485" s="58" t="str">
        <f t="shared" ca="1" si="272"/>
        <v/>
      </c>
      <c r="N485" s="58" t="str">
        <f t="shared" ca="1" si="272"/>
        <v/>
      </c>
      <c r="O485" s="58">
        <f t="shared" si="273"/>
        <v>5.0000000000000001E-4</v>
      </c>
      <c r="P485" s="77"/>
      <c r="Q485" s="60"/>
      <c r="R485" s="77"/>
      <c r="S485" s="78">
        <f t="shared" si="259"/>
        <v>0</v>
      </c>
      <c r="T485" s="55">
        <f t="shared" si="259"/>
        <v>0</v>
      </c>
      <c r="U485" s="79">
        <f t="shared" si="279"/>
        <v>0</v>
      </c>
      <c r="V485" s="63">
        <f t="shared" si="280"/>
        <v>0</v>
      </c>
      <c r="W485" s="64">
        <f t="shared" si="283"/>
        <v>154</v>
      </c>
      <c r="X485" s="80">
        <f t="shared" si="283"/>
        <v>156</v>
      </c>
      <c r="Y485" s="60"/>
      <c r="Z485" s="60"/>
      <c r="AA485" s="75"/>
      <c r="AB485" s="75"/>
      <c r="AC485" s="75"/>
      <c r="AD485" s="75"/>
      <c r="AE485" s="81">
        <f t="shared" si="260"/>
        <v>0</v>
      </c>
      <c r="AF485" s="55">
        <f t="shared" si="261"/>
        <v>0</v>
      </c>
      <c r="AG485" s="76">
        <f t="shared" si="257"/>
        <v>0</v>
      </c>
      <c r="AH485" s="82">
        <f t="shared" si="258"/>
        <v>0</v>
      </c>
      <c r="AI485" s="83">
        <f t="shared" si="258"/>
        <v>0</v>
      </c>
      <c r="AJ485" s="83">
        <f t="shared" si="258"/>
        <v>0</v>
      </c>
      <c r="AK485" s="58">
        <f t="shared" si="256"/>
        <v>0</v>
      </c>
      <c r="AL485" s="82">
        <f t="shared" si="262"/>
        <v>0</v>
      </c>
      <c r="AM485" s="58">
        <f t="shared" si="263"/>
        <v>0</v>
      </c>
      <c r="AN485" s="74"/>
      <c r="AO485" s="84"/>
      <c r="AP485" s="74"/>
      <c r="AQ485" s="85"/>
      <c r="AR485" s="74"/>
      <c r="AS485" s="74"/>
      <c r="AT485" s="74"/>
      <c r="AU485" s="55" t="str">
        <f t="shared" si="275"/>
        <v/>
      </c>
      <c r="AV485" s="55" t="str">
        <f t="shared" ca="1" si="276"/>
        <v/>
      </c>
      <c r="AW485" s="55" t="str">
        <f t="shared" si="264"/>
        <v/>
      </c>
      <c r="AX485" s="55" t="str">
        <f t="shared" ca="1" si="265"/>
        <v/>
      </c>
      <c r="AY485" s="86"/>
      <c r="AZ485" s="86"/>
      <c r="BA485" s="55" t="str">
        <f t="shared" si="277"/>
        <v/>
      </c>
      <c r="BB485" s="86"/>
      <c r="BC485" s="86"/>
      <c r="BD485" s="55" t="str">
        <f t="shared" si="278"/>
        <v/>
      </c>
      <c r="BE485" s="74"/>
      <c r="BS485" s="118"/>
      <c r="BT485" s="118"/>
      <c r="BU485" s="118"/>
      <c r="BV485" s="118"/>
      <c r="BW485" s="118"/>
      <c r="BX485" s="118"/>
      <c r="BZ485" s="118"/>
      <c r="CB485" s="118"/>
      <c r="CC485" s="118"/>
      <c r="CD485" s="118"/>
    </row>
    <row r="486" spans="1:82" ht="17.399999999999999" customHeight="1" thickBot="1">
      <c r="A486" s="72">
        <f t="shared" si="281"/>
        <v>68.7</v>
      </c>
      <c r="B486" s="113">
        <f t="shared" si="266"/>
        <v>476</v>
      </c>
      <c r="C486" s="89"/>
      <c r="D486" s="90"/>
      <c r="E486" s="91"/>
      <c r="F486" s="90"/>
      <c r="G486" s="92">
        <f t="shared" si="282"/>
        <v>0</v>
      </c>
      <c r="H486" s="93">
        <f t="shared" si="282"/>
        <v>0</v>
      </c>
      <c r="I486" s="94">
        <f t="shared" si="268"/>
        <v>0</v>
      </c>
      <c r="J486" s="95">
        <f t="shared" si="269"/>
        <v>0</v>
      </c>
      <c r="K486" s="95">
        <f t="shared" si="270"/>
        <v>0</v>
      </c>
      <c r="L486" s="95">
        <f t="shared" si="271"/>
        <v>0</v>
      </c>
      <c r="M486" s="95" t="str">
        <f t="shared" ca="1" si="272"/>
        <v/>
      </c>
      <c r="N486" s="95" t="str">
        <f t="shared" ca="1" si="272"/>
        <v/>
      </c>
      <c r="O486" s="95">
        <f t="shared" si="273"/>
        <v>5.0000000000000001E-4</v>
      </c>
      <c r="P486" s="96"/>
      <c r="Q486" s="89"/>
      <c r="R486" s="96"/>
      <c r="S486" s="78">
        <f t="shared" si="259"/>
        <v>0</v>
      </c>
      <c r="T486" s="55">
        <f t="shared" si="259"/>
        <v>0</v>
      </c>
      <c r="U486" s="97">
        <f t="shared" si="279"/>
        <v>0</v>
      </c>
      <c r="V486" s="98">
        <f t="shared" si="280"/>
        <v>0</v>
      </c>
      <c r="W486" s="99">
        <f t="shared" si="283"/>
        <v>154</v>
      </c>
      <c r="X486" s="100">
        <f t="shared" si="283"/>
        <v>156</v>
      </c>
      <c r="Y486" s="89"/>
      <c r="Z486" s="60"/>
      <c r="AA486" s="75"/>
      <c r="AB486" s="75"/>
      <c r="AC486" s="75"/>
      <c r="AD486" s="75"/>
      <c r="AE486" s="101">
        <f t="shared" si="260"/>
        <v>0</v>
      </c>
      <c r="AF486" s="93">
        <f t="shared" si="261"/>
        <v>0</v>
      </c>
      <c r="AG486" s="94">
        <f t="shared" si="257"/>
        <v>0</v>
      </c>
      <c r="AH486" s="102">
        <f t="shared" si="258"/>
        <v>0</v>
      </c>
      <c r="AI486" s="103">
        <f t="shared" si="258"/>
        <v>0</v>
      </c>
      <c r="AJ486" s="103">
        <f t="shared" si="258"/>
        <v>0</v>
      </c>
      <c r="AK486" s="95">
        <f t="shared" si="256"/>
        <v>0</v>
      </c>
      <c r="AL486" s="102">
        <f t="shared" si="262"/>
        <v>0</v>
      </c>
      <c r="AM486" s="95">
        <f t="shared" si="263"/>
        <v>0</v>
      </c>
      <c r="AN486" s="90"/>
      <c r="AO486" s="104"/>
      <c r="AP486" s="90"/>
      <c r="AQ486" s="105"/>
      <c r="AR486" s="90"/>
      <c r="AS486" s="90"/>
      <c r="AT486" s="90"/>
      <c r="AU486" s="93" t="str">
        <f t="shared" si="275"/>
        <v/>
      </c>
      <c r="AV486" s="93" t="str">
        <f t="shared" ca="1" si="276"/>
        <v/>
      </c>
      <c r="AW486" s="93" t="str">
        <f t="shared" si="264"/>
        <v/>
      </c>
      <c r="AX486" s="93" t="str">
        <f t="shared" ca="1" si="265"/>
        <v/>
      </c>
      <c r="AY486" s="106"/>
      <c r="AZ486" s="106"/>
      <c r="BA486" s="93" t="str">
        <f t="shared" si="277"/>
        <v/>
      </c>
      <c r="BB486" s="106"/>
      <c r="BC486" s="106"/>
      <c r="BD486" s="93" t="str">
        <f t="shared" si="278"/>
        <v/>
      </c>
      <c r="BE486" s="90"/>
      <c r="BS486" s="118"/>
      <c r="BT486" s="118"/>
      <c r="BU486" s="118"/>
      <c r="BV486" s="118"/>
      <c r="BW486" s="118"/>
      <c r="BX486" s="118"/>
      <c r="BZ486" s="118"/>
      <c r="CB486" s="118"/>
      <c r="CC486" s="118"/>
      <c r="CD486" s="118"/>
    </row>
    <row r="487" spans="1:82" ht="17.399999999999999" customHeight="1" thickTop="1">
      <c r="A487" s="49">
        <f>A480+1</f>
        <v>69.099999999999994</v>
      </c>
      <c r="B487" s="108">
        <f>B486+1</f>
        <v>477</v>
      </c>
      <c r="C487" s="51"/>
      <c r="D487" s="52"/>
      <c r="E487" s="53"/>
      <c r="F487" s="52"/>
      <c r="G487" s="54">
        <f t="shared" si="282"/>
        <v>0</v>
      </c>
      <c r="H487" s="55">
        <f t="shared" si="282"/>
        <v>0</v>
      </c>
      <c r="I487" s="56">
        <f t="shared" si="268"/>
        <v>0</v>
      </c>
      <c r="J487" s="57">
        <f t="shared" si="269"/>
        <v>0</v>
      </c>
      <c r="K487" s="57">
        <f t="shared" si="270"/>
        <v>0</v>
      </c>
      <c r="L487" s="57">
        <f t="shared" si="271"/>
        <v>0</v>
      </c>
      <c r="M487" s="58" t="str">
        <f t="shared" ca="1" si="272"/>
        <v/>
      </c>
      <c r="N487" s="58" t="str">
        <f t="shared" ca="1" si="272"/>
        <v/>
      </c>
      <c r="O487" s="58">
        <f t="shared" si="273"/>
        <v>5.0000000000000001E-4</v>
      </c>
      <c r="P487" s="77"/>
      <c r="Q487" s="60"/>
      <c r="R487" s="77"/>
      <c r="S487" s="109">
        <f t="shared" si="259"/>
        <v>0</v>
      </c>
      <c r="T487" s="61">
        <f t="shared" si="259"/>
        <v>0</v>
      </c>
      <c r="U487" s="62">
        <f t="shared" si="279"/>
        <v>0</v>
      </c>
      <c r="V487" s="63">
        <f t="shared" si="280"/>
        <v>0</v>
      </c>
      <c r="W487" s="64">
        <f t="shared" si="283"/>
        <v>154</v>
      </c>
      <c r="X487" s="80">
        <f t="shared" si="283"/>
        <v>156</v>
      </c>
      <c r="Y487" s="51"/>
      <c r="Z487" s="51"/>
      <c r="AA487" s="53"/>
      <c r="AB487" s="53"/>
      <c r="AC487" s="53"/>
      <c r="AD487" s="53"/>
      <c r="AE487" s="66">
        <f t="shared" si="260"/>
        <v>0</v>
      </c>
      <c r="AF487" s="61">
        <f t="shared" si="261"/>
        <v>0</v>
      </c>
      <c r="AG487" s="56">
        <f t="shared" si="257"/>
        <v>0</v>
      </c>
      <c r="AH487" s="67">
        <f t="shared" si="258"/>
        <v>0</v>
      </c>
      <c r="AI487" s="68">
        <f t="shared" si="258"/>
        <v>0</v>
      </c>
      <c r="AJ487" s="68">
        <f t="shared" si="258"/>
        <v>0</v>
      </c>
      <c r="AK487" s="57">
        <f t="shared" si="256"/>
        <v>0</v>
      </c>
      <c r="AL487" s="67">
        <f t="shared" si="262"/>
        <v>0</v>
      </c>
      <c r="AM487" s="57">
        <f t="shared" si="263"/>
        <v>0</v>
      </c>
      <c r="AN487" s="52"/>
      <c r="AO487" s="69"/>
      <c r="AP487" s="52"/>
      <c r="AQ487" s="70"/>
      <c r="AR487" s="52"/>
      <c r="AS487" s="52"/>
      <c r="AT487" s="52"/>
      <c r="AU487" s="61" t="str">
        <f t="shared" si="275"/>
        <v/>
      </c>
      <c r="AV487" s="61" t="str">
        <f t="shared" ca="1" si="276"/>
        <v/>
      </c>
      <c r="AW487" s="61" t="str">
        <f t="shared" si="264"/>
        <v/>
      </c>
      <c r="AX487" s="61" t="str">
        <f t="shared" ca="1" si="265"/>
        <v/>
      </c>
      <c r="AY487" s="71"/>
      <c r="AZ487" s="71"/>
      <c r="BA487" s="61" t="str">
        <f t="shared" si="277"/>
        <v/>
      </c>
      <c r="BB487" s="71"/>
      <c r="BC487" s="71"/>
      <c r="BD487" s="61" t="str">
        <f t="shared" si="278"/>
        <v/>
      </c>
      <c r="BE487" s="52"/>
      <c r="BS487" s="118"/>
      <c r="BT487" s="118"/>
      <c r="BU487" s="118"/>
      <c r="BV487" s="118"/>
      <c r="BW487" s="118"/>
      <c r="BX487" s="118"/>
      <c r="BZ487" s="118"/>
      <c r="CB487" s="118"/>
      <c r="CC487" s="118"/>
      <c r="CD487" s="118"/>
    </row>
    <row r="488" spans="1:82" ht="17.399999999999999" customHeight="1">
      <c r="A488" s="72">
        <f t="shared" si="281"/>
        <v>69.2</v>
      </c>
      <c r="B488" s="111">
        <f t="shared" si="266"/>
        <v>478</v>
      </c>
      <c r="C488" s="60"/>
      <c r="D488" s="74"/>
      <c r="E488" s="75"/>
      <c r="F488" s="74"/>
      <c r="G488" s="54">
        <f t="shared" si="282"/>
        <v>0</v>
      </c>
      <c r="H488" s="55">
        <f t="shared" si="282"/>
        <v>0</v>
      </c>
      <c r="I488" s="76">
        <f t="shared" si="268"/>
        <v>0</v>
      </c>
      <c r="J488" s="58">
        <f t="shared" si="269"/>
        <v>0</v>
      </c>
      <c r="K488" s="58">
        <f t="shared" si="270"/>
        <v>0</v>
      </c>
      <c r="L488" s="58">
        <f t="shared" si="271"/>
        <v>0</v>
      </c>
      <c r="M488" s="58" t="str">
        <f t="shared" ca="1" si="272"/>
        <v/>
      </c>
      <c r="N488" s="58" t="str">
        <f t="shared" ca="1" si="272"/>
        <v/>
      </c>
      <c r="O488" s="58">
        <f t="shared" si="273"/>
        <v>5.0000000000000001E-4</v>
      </c>
      <c r="P488" s="77"/>
      <c r="Q488" s="60"/>
      <c r="R488" s="77"/>
      <c r="S488" s="78">
        <f t="shared" si="259"/>
        <v>0</v>
      </c>
      <c r="T488" s="55">
        <f t="shared" si="259"/>
        <v>0</v>
      </c>
      <c r="U488" s="79">
        <f t="shared" si="279"/>
        <v>0</v>
      </c>
      <c r="V488" s="63">
        <f t="shared" si="280"/>
        <v>0</v>
      </c>
      <c r="W488" s="64">
        <f t="shared" si="283"/>
        <v>154</v>
      </c>
      <c r="X488" s="80">
        <f t="shared" si="283"/>
        <v>156</v>
      </c>
      <c r="Y488" s="60"/>
      <c r="Z488" s="60"/>
      <c r="AA488" s="75"/>
      <c r="AB488" s="75"/>
      <c r="AC488" s="75"/>
      <c r="AD488" s="75"/>
      <c r="AE488" s="81">
        <f t="shared" si="260"/>
        <v>0</v>
      </c>
      <c r="AF488" s="55">
        <f t="shared" si="261"/>
        <v>0</v>
      </c>
      <c r="AG488" s="76">
        <f t="shared" si="257"/>
        <v>0</v>
      </c>
      <c r="AH488" s="82">
        <f t="shared" si="258"/>
        <v>0</v>
      </c>
      <c r="AI488" s="83">
        <f t="shared" si="258"/>
        <v>0</v>
      </c>
      <c r="AJ488" s="83">
        <f t="shared" si="258"/>
        <v>0</v>
      </c>
      <c r="AK488" s="58">
        <f t="shared" si="256"/>
        <v>0</v>
      </c>
      <c r="AL488" s="82">
        <f t="shared" si="262"/>
        <v>0</v>
      </c>
      <c r="AM488" s="58">
        <f t="shared" si="263"/>
        <v>0</v>
      </c>
      <c r="AN488" s="74"/>
      <c r="AO488" s="84"/>
      <c r="AP488" s="74"/>
      <c r="AQ488" s="85"/>
      <c r="AR488" s="74"/>
      <c r="AS488" s="74"/>
      <c r="AT488" s="74"/>
      <c r="AU488" s="55" t="str">
        <f t="shared" si="275"/>
        <v/>
      </c>
      <c r="AV488" s="55" t="str">
        <f t="shared" ca="1" si="276"/>
        <v/>
      </c>
      <c r="AW488" s="55" t="str">
        <f t="shared" si="264"/>
        <v/>
      </c>
      <c r="AX488" s="55" t="str">
        <f t="shared" ca="1" si="265"/>
        <v/>
      </c>
      <c r="AY488" s="86"/>
      <c r="AZ488" s="86"/>
      <c r="BA488" s="55" t="str">
        <f t="shared" si="277"/>
        <v/>
      </c>
      <c r="BB488" s="86"/>
      <c r="BC488" s="86"/>
      <c r="BD488" s="55" t="str">
        <f t="shared" si="278"/>
        <v/>
      </c>
      <c r="BE488" s="74"/>
      <c r="BS488" s="118"/>
      <c r="BT488" s="118"/>
      <c r="BU488" s="118"/>
      <c r="BV488" s="118"/>
      <c r="BW488" s="118"/>
      <c r="BX488" s="118"/>
      <c r="BZ488" s="118"/>
      <c r="CB488" s="118"/>
      <c r="CC488" s="118"/>
      <c r="CD488" s="118"/>
    </row>
    <row r="489" spans="1:82" ht="17.399999999999999" customHeight="1">
      <c r="A489" s="87">
        <f t="shared" si="281"/>
        <v>69.3</v>
      </c>
      <c r="B489" s="111">
        <f t="shared" si="266"/>
        <v>479</v>
      </c>
      <c r="C489" s="60"/>
      <c r="D489" s="74"/>
      <c r="E489" s="75"/>
      <c r="F489" s="74"/>
      <c r="G489" s="54">
        <f t="shared" si="282"/>
        <v>0</v>
      </c>
      <c r="H489" s="55">
        <f t="shared" si="282"/>
        <v>0</v>
      </c>
      <c r="I489" s="76">
        <f t="shared" si="268"/>
        <v>0</v>
      </c>
      <c r="J489" s="58">
        <f t="shared" si="269"/>
        <v>0</v>
      </c>
      <c r="K489" s="58">
        <f t="shared" si="270"/>
        <v>0</v>
      </c>
      <c r="L489" s="58">
        <f t="shared" si="271"/>
        <v>0</v>
      </c>
      <c r="M489" s="58" t="str">
        <f t="shared" ca="1" si="272"/>
        <v/>
      </c>
      <c r="N489" s="58" t="str">
        <f t="shared" ca="1" si="272"/>
        <v/>
      </c>
      <c r="O489" s="58">
        <f t="shared" si="273"/>
        <v>5.0000000000000001E-4</v>
      </c>
      <c r="P489" s="77"/>
      <c r="Q489" s="60"/>
      <c r="R489" s="77"/>
      <c r="S489" s="78">
        <f t="shared" si="259"/>
        <v>0</v>
      </c>
      <c r="T489" s="55">
        <f t="shared" si="259"/>
        <v>0</v>
      </c>
      <c r="U489" s="79">
        <f t="shared" si="279"/>
        <v>0</v>
      </c>
      <c r="V489" s="63">
        <f t="shared" si="280"/>
        <v>0</v>
      </c>
      <c r="W489" s="64">
        <f t="shared" si="283"/>
        <v>154</v>
      </c>
      <c r="X489" s="80">
        <f t="shared" si="283"/>
        <v>156</v>
      </c>
      <c r="Y489" s="60"/>
      <c r="Z489" s="60"/>
      <c r="AA489" s="75"/>
      <c r="AB489" s="75"/>
      <c r="AC489" s="75"/>
      <c r="AD489" s="75"/>
      <c r="AE489" s="81">
        <f t="shared" si="260"/>
        <v>0</v>
      </c>
      <c r="AF489" s="55">
        <f t="shared" si="261"/>
        <v>0</v>
      </c>
      <c r="AG489" s="76">
        <f t="shared" si="257"/>
        <v>0</v>
      </c>
      <c r="AH489" s="82">
        <f t="shared" si="258"/>
        <v>0</v>
      </c>
      <c r="AI489" s="83">
        <f t="shared" si="258"/>
        <v>0</v>
      </c>
      <c r="AJ489" s="83">
        <f t="shared" si="258"/>
        <v>0</v>
      </c>
      <c r="AK489" s="58">
        <f t="shared" si="256"/>
        <v>0</v>
      </c>
      <c r="AL489" s="82">
        <f t="shared" si="262"/>
        <v>0</v>
      </c>
      <c r="AM489" s="58">
        <f t="shared" si="263"/>
        <v>0</v>
      </c>
      <c r="AN489" s="74"/>
      <c r="AO489" s="84"/>
      <c r="AP489" s="74"/>
      <c r="AQ489" s="85"/>
      <c r="AR489" s="74"/>
      <c r="AS489" s="74"/>
      <c r="AT489" s="74"/>
      <c r="AU489" s="55" t="str">
        <f t="shared" si="275"/>
        <v/>
      </c>
      <c r="AV489" s="55" t="str">
        <f t="shared" ca="1" si="276"/>
        <v/>
      </c>
      <c r="AW489" s="55" t="str">
        <f t="shared" si="264"/>
        <v/>
      </c>
      <c r="AX489" s="55" t="str">
        <f t="shared" ca="1" si="265"/>
        <v/>
      </c>
      <c r="AY489" s="86"/>
      <c r="AZ489" s="86"/>
      <c r="BA489" s="55" t="str">
        <f t="shared" si="277"/>
        <v/>
      </c>
      <c r="BB489" s="86"/>
      <c r="BC489" s="86"/>
      <c r="BD489" s="55" t="str">
        <f t="shared" si="278"/>
        <v/>
      </c>
      <c r="BE489" s="74"/>
      <c r="BS489" s="118"/>
      <c r="BT489" s="118"/>
      <c r="BU489" s="118"/>
      <c r="BV489" s="118"/>
      <c r="BW489" s="118"/>
      <c r="BX489" s="118"/>
      <c r="BZ489" s="118"/>
      <c r="CB489" s="118"/>
      <c r="CC489" s="118"/>
      <c r="CD489" s="118"/>
    </row>
    <row r="490" spans="1:82" ht="17.399999999999999" customHeight="1">
      <c r="A490" s="72">
        <f t="shared" si="281"/>
        <v>69.400000000000006</v>
      </c>
      <c r="B490" s="111">
        <f t="shared" si="266"/>
        <v>480</v>
      </c>
      <c r="C490" s="60"/>
      <c r="D490" s="74"/>
      <c r="E490" s="75"/>
      <c r="F490" s="74"/>
      <c r="G490" s="54">
        <f t="shared" si="282"/>
        <v>0</v>
      </c>
      <c r="H490" s="55">
        <f t="shared" si="282"/>
        <v>0</v>
      </c>
      <c r="I490" s="76">
        <f t="shared" si="268"/>
        <v>0</v>
      </c>
      <c r="J490" s="58">
        <f t="shared" si="269"/>
        <v>0</v>
      </c>
      <c r="K490" s="58">
        <f t="shared" si="270"/>
        <v>0</v>
      </c>
      <c r="L490" s="58">
        <f t="shared" si="271"/>
        <v>0</v>
      </c>
      <c r="M490" s="58" t="str">
        <f t="shared" ca="1" si="272"/>
        <v/>
      </c>
      <c r="N490" s="58" t="str">
        <f t="shared" ca="1" si="272"/>
        <v/>
      </c>
      <c r="O490" s="58">
        <f t="shared" si="273"/>
        <v>5.0000000000000001E-4</v>
      </c>
      <c r="P490" s="77"/>
      <c r="Q490" s="60"/>
      <c r="R490" s="77"/>
      <c r="S490" s="78">
        <f t="shared" si="259"/>
        <v>0</v>
      </c>
      <c r="T490" s="55">
        <f t="shared" si="259"/>
        <v>0</v>
      </c>
      <c r="U490" s="79">
        <f t="shared" si="279"/>
        <v>0</v>
      </c>
      <c r="V490" s="63">
        <f t="shared" si="280"/>
        <v>0</v>
      </c>
      <c r="W490" s="64">
        <f t="shared" si="283"/>
        <v>154</v>
      </c>
      <c r="X490" s="80">
        <f t="shared" si="283"/>
        <v>156</v>
      </c>
      <c r="Y490" s="60"/>
      <c r="Z490" s="60"/>
      <c r="AA490" s="75"/>
      <c r="AB490" s="75"/>
      <c r="AC490" s="75"/>
      <c r="AD490" s="75"/>
      <c r="AE490" s="81">
        <f t="shared" si="260"/>
        <v>0</v>
      </c>
      <c r="AF490" s="55">
        <f t="shared" si="261"/>
        <v>0</v>
      </c>
      <c r="AG490" s="76">
        <f t="shared" si="257"/>
        <v>0</v>
      </c>
      <c r="AH490" s="82">
        <f t="shared" si="258"/>
        <v>0</v>
      </c>
      <c r="AI490" s="83">
        <f t="shared" si="258"/>
        <v>0</v>
      </c>
      <c r="AJ490" s="83">
        <f t="shared" si="258"/>
        <v>0</v>
      </c>
      <c r="AK490" s="58">
        <f t="shared" si="256"/>
        <v>0</v>
      </c>
      <c r="AL490" s="82">
        <f t="shared" si="262"/>
        <v>0</v>
      </c>
      <c r="AM490" s="58">
        <f t="shared" si="263"/>
        <v>0</v>
      </c>
      <c r="AN490" s="74"/>
      <c r="AO490" s="84"/>
      <c r="AP490" s="74"/>
      <c r="AQ490" s="85"/>
      <c r="AR490" s="74"/>
      <c r="AS490" s="74"/>
      <c r="AT490" s="74"/>
      <c r="AU490" s="55" t="str">
        <f t="shared" si="275"/>
        <v/>
      </c>
      <c r="AV490" s="55" t="str">
        <f t="shared" ca="1" si="276"/>
        <v/>
      </c>
      <c r="AW490" s="55" t="str">
        <f t="shared" si="264"/>
        <v/>
      </c>
      <c r="AX490" s="55" t="str">
        <f t="shared" ca="1" si="265"/>
        <v/>
      </c>
      <c r="AY490" s="86"/>
      <c r="AZ490" s="86"/>
      <c r="BA490" s="55" t="str">
        <f t="shared" si="277"/>
        <v/>
      </c>
      <c r="BB490" s="86"/>
      <c r="BC490" s="86"/>
      <c r="BD490" s="55" t="str">
        <f t="shared" si="278"/>
        <v/>
      </c>
      <c r="BE490" s="74"/>
      <c r="BS490" s="118"/>
      <c r="BT490" s="118"/>
      <c r="BU490" s="118"/>
      <c r="BV490" s="118"/>
      <c r="BW490" s="118"/>
      <c r="BX490" s="118"/>
      <c r="BZ490" s="118"/>
      <c r="CB490" s="118"/>
      <c r="CC490" s="118"/>
      <c r="CD490" s="118"/>
    </row>
    <row r="491" spans="1:82" ht="17.399999999999999" customHeight="1">
      <c r="A491" s="87">
        <f t="shared" si="281"/>
        <v>69.5</v>
      </c>
      <c r="B491" s="111">
        <f t="shared" si="266"/>
        <v>481</v>
      </c>
      <c r="C491" s="60"/>
      <c r="D491" s="74"/>
      <c r="E491" s="75"/>
      <c r="F491" s="74"/>
      <c r="G491" s="54">
        <f t="shared" si="282"/>
        <v>0</v>
      </c>
      <c r="H491" s="55">
        <f t="shared" si="282"/>
        <v>0</v>
      </c>
      <c r="I491" s="76">
        <f t="shared" si="268"/>
        <v>0</v>
      </c>
      <c r="J491" s="58">
        <f t="shared" si="269"/>
        <v>0</v>
      </c>
      <c r="K491" s="58">
        <f t="shared" si="270"/>
        <v>0</v>
      </c>
      <c r="L491" s="58">
        <f t="shared" si="271"/>
        <v>0</v>
      </c>
      <c r="M491" s="58" t="str">
        <f t="shared" ca="1" si="272"/>
        <v/>
      </c>
      <c r="N491" s="58" t="str">
        <f t="shared" ca="1" si="272"/>
        <v/>
      </c>
      <c r="O491" s="58">
        <f t="shared" si="273"/>
        <v>5.0000000000000001E-4</v>
      </c>
      <c r="P491" s="77"/>
      <c r="Q491" s="60"/>
      <c r="R491" s="77"/>
      <c r="S491" s="78">
        <f t="shared" si="259"/>
        <v>0</v>
      </c>
      <c r="T491" s="55">
        <f t="shared" si="259"/>
        <v>0</v>
      </c>
      <c r="U491" s="79">
        <f t="shared" si="279"/>
        <v>0</v>
      </c>
      <c r="V491" s="63">
        <f t="shared" si="280"/>
        <v>0</v>
      </c>
      <c r="W491" s="64">
        <f t="shared" si="283"/>
        <v>154</v>
      </c>
      <c r="X491" s="80">
        <f t="shared" si="283"/>
        <v>156</v>
      </c>
      <c r="Y491" s="60"/>
      <c r="Z491" s="60"/>
      <c r="AA491" s="75"/>
      <c r="AB491" s="75"/>
      <c r="AC491" s="75"/>
      <c r="AD491" s="75"/>
      <c r="AE491" s="81">
        <f t="shared" si="260"/>
        <v>0</v>
      </c>
      <c r="AF491" s="55">
        <f t="shared" si="261"/>
        <v>0</v>
      </c>
      <c r="AG491" s="76">
        <f t="shared" si="257"/>
        <v>0</v>
      </c>
      <c r="AH491" s="82">
        <f t="shared" si="258"/>
        <v>0</v>
      </c>
      <c r="AI491" s="83">
        <f t="shared" si="258"/>
        <v>0</v>
      </c>
      <c r="AJ491" s="83">
        <f t="shared" si="258"/>
        <v>0</v>
      </c>
      <c r="AK491" s="58">
        <f t="shared" si="256"/>
        <v>0</v>
      </c>
      <c r="AL491" s="82">
        <f t="shared" si="262"/>
        <v>0</v>
      </c>
      <c r="AM491" s="58">
        <f t="shared" si="263"/>
        <v>0</v>
      </c>
      <c r="AN491" s="74"/>
      <c r="AO491" s="84"/>
      <c r="AP491" s="74"/>
      <c r="AQ491" s="85"/>
      <c r="AR491" s="74"/>
      <c r="AS491" s="74"/>
      <c r="AT491" s="74"/>
      <c r="AU491" s="55" t="str">
        <f t="shared" si="275"/>
        <v/>
      </c>
      <c r="AV491" s="55" t="str">
        <f t="shared" ca="1" si="276"/>
        <v/>
      </c>
      <c r="AW491" s="55" t="str">
        <f t="shared" si="264"/>
        <v/>
      </c>
      <c r="AX491" s="55" t="str">
        <f t="shared" ca="1" si="265"/>
        <v/>
      </c>
      <c r="AY491" s="86"/>
      <c r="AZ491" s="86"/>
      <c r="BA491" s="55" t="str">
        <f t="shared" si="277"/>
        <v/>
      </c>
      <c r="BB491" s="86"/>
      <c r="BC491" s="86"/>
      <c r="BD491" s="55" t="str">
        <f t="shared" si="278"/>
        <v/>
      </c>
      <c r="BE491" s="74"/>
      <c r="BS491" s="118"/>
      <c r="BT491" s="118"/>
      <c r="BU491" s="118"/>
      <c r="BV491" s="118"/>
      <c r="BW491" s="118"/>
      <c r="BX491" s="118"/>
      <c r="BZ491" s="118"/>
      <c r="CB491" s="118"/>
      <c r="CC491" s="118"/>
      <c r="CD491" s="118"/>
    </row>
    <row r="492" spans="1:82" ht="17.399999999999999" customHeight="1">
      <c r="A492" s="72">
        <f t="shared" si="281"/>
        <v>69.599999999999994</v>
      </c>
      <c r="B492" s="111">
        <f t="shared" si="266"/>
        <v>482</v>
      </c>
      <c r="C492" s="60"/>
      <c r="D492" s="74"/>
      <c r="E492" s="75"/>
      <c r="F492" s="74"/>
      <c r="G492" s="54">
        <f t="shared" ref="G492:H500" si="284">G491-E492-C492</f>
        <v>0</v>
      </c>
      <c r="H492" s="55">
        <f t="shared" si="284"/>
        <v>0</v>
      </c>
      <c r="I492" s="76">
        <f t="shared" si="268"/>
        <v>0</v>
      </c>
      <c r="J492" s="58">
        <f t="shared" si="269"/>
        <v>0</v>
      </c>
      <c r="K492" s="58">
        <f t="shared" si="270"/>
        <v>0</v>
      </c>
      <c r="L492" s="58">
        <f t="shared" si="271"/>
        <v>0</v>
      </c>
      <c r="M492" s="58" t="str">
        <f t="shared" ca="1" si="272"/>
        <v/>
      </c>
      <c r="N492" s="58" t="str">
        <f t="shared" ca="1" si="272"/>
        <v/>
      </c>
      <c r="O492" s="58">
        <f t="shared" si="273"/>
        <v>5.0000000000000001E-4</v>
      </c>
      <c r="P492" s="77"/>
      <c r="Q492" s="60"/>
      <c r="R492" s="77"/>
      <c r="S492" s="78">
        <f t="shared" si="259"/>
        <v>0</v>
      </c>
      <c r="T492" s="55">
        <f t="shared" si="259"/>
        <v>0</v>
      </c>
      <c r="U492" s="79">
        <f t="shared" si="279"/>
        <v>0</v>
      </c>
      <c r="V492" s="63">
        <f t="shared" si="280"/>
        <v>0</v>
      </c>
      <c r="W492" s="64">
        <f t="shared" ref="W492:X500" si="285">W491</f>
        <v>154</v>
      </c>
      <c r="X492" s="80">
        <f t="shared" si="285"/>
        <v>156</v>
      </c>
      <c r="Y492" s="60"/>
      <c r="Z492" s="60"/>
      <c r="AA492" s="75"/>
      <c r="AB492" s="75"/>
      <c r="AC492" s="75"/>
      <c r="AD492" s="75"/>
      <c r="AE492" s="81">
        <f t="shared" si="260"/>
        <v>0</v>
      </c>
      <c r="AF492" s="55">
        <f t="shared" si="261"/>
        <v>0</v>
      </c>
      <c r="AG492" s="76">
        <f t="shared" si="257"/>
        <v>0</v>
      </c>
      <c r="AH492" s="82">
        <f t="shared" si="258"/>
        <v>0</v>
      </c>
      <c r="AI492" s="83">
        <f t="shared" si="258"/>
        <v>0</v>
      </c>
      <c r="AJ492" s="83">
        <f t="shared" si="258"/>
        <v>0</v>
      </c>
      <c r="AK492" s="58">
        <f t="shared" si="256"/>
        <v>0</v>
      </c>
      <c r="AL492" s="82">
        <f t="shared" si="262"/>
        <v>0</v>
      </c>
      <c r="AM492" s="58">
        <f t="shared" si="263"/>
        <v>0</v>
      </c>
      <c r="AN492" s="74"/>
      <c r="AO492" s="84"/>
      <c r="AP492" s="74"/>
      <c r="AQ492" s="85"/>
      <c r="AR492" s="74"/>
      <c r="AS492" s="74"/>
      <c r="AT492" s="74"/>
      <c r="AU492" s="55" t="str">
        <f t="shared" si="275"/>
        <v/>
      </c>
      <c r="AV492" s="55" t="str">
        <f t="shared" ca="1" si="276"/>
        <v/>
      </c>
      <c r="AW492" s="55" t="str">
        <f t="shared" si="264"/>
        <v/>
      </c>
      <c r="AX492" s="55" t="str">
        <f t="shared" ca="1" si="265"/>
        <v/>
      </c>
      <c r="AY492" s="86"/>
      <c r="AZ492" s="86"/>
      <c r="BA492" s="55" t="str">
        <f t="shared" si="277"/>
        <v/>
      </c>
      <c r="BB492" s="86"/>
      <c r="BC492" s="86"/>
      <c r="BD492" s="55" t="str">
        <f t="shared" si="278"/>
        <v/>
      </c>
      <c r="BE492" s="74"/>
      <c r="BS492" s="118"/>
      <c r="BT492" s="118"/>
      <c r="BU492" s="118"/>
      <c r="BV492" s="118"/>
      <c r="BW492" s="118"/>
      <c r="BX492" s="118"/>
      <c r="BZ492" s="118"/>
      <c r="CB492" s="118"/>
      <c r="CC492" s="118"/>
      <c r="CD492" s="118"/>
    </row>
    <row r="493" spans="1:82" ht="17.399999999999999" customHeight="1" thickBot="1">
      <c r="A493" s="87">
        <f t="shared" si="281"/>
        <v>69.7</v>
      </c>
      <c r="B493" s="113">
        <f t="shared" si="266"/>
        <v>483</v>
      </c>
      <c r="C493" s="89"/>
      <c r="D493" s="90"/>
      <c r="E493" s="91"/>
      <c r="F493" s="90"/>
      <c r="G493" s="92">
        <f t="shared" si="284"/>
        <v>0</v>
      </c>
      <c r="H493" s="93">
        <f t="shared" si="284"/>
        <v>0</v>
      </c>
      <c r="I493" s="94">
        <f t="shared" si="268"/>
        <v>0</v>
      </c>
      <c r="J493" s="95">
        <f t="shared" si="269"/>
        <v>0</v>
      </c>
      <c r="K493" s="95">
        <f t="shared" si="270"/>
        <v>0</v>
      </c>
      <c r="L493" s="95">
        <f t="shared" si="271"/>
        <v>0</v>
      </c>
      <c r="M493" s="95" t="str">
        <f t="shared" ca="1" si="272"/>
        <v/>
      </c>
      <c r="N493" s="95" t="str">
        <f t="shared" ca="1" si="272"/>
        <v/>
      </c>
      <c r="O493" s="95">
        <f t="shared" si="273"/>
        <v>5.0000000000000001E-4</v>
      </c>
      <c r="P493" s="96"/>
      <c r="Q493" s="89"/>
      <c r="R493" s="96"/>
      <c r="S493" s="78">
        <f t="shared" si="259"/>
        <v>0</v>
      </c>
      <c r="T493" s="55">
        <f t="shared" si="259"/>
        <v>0</v>
      </c>
      <c r="U493" s="97">
        <f t="shared" si="279"/>
        <v>0</v>
      </c>
      <c r="V493" s="98">
        <f t="shared" si="280"/>
        <v>0</v>
      </c>
      <c r="W493" s="99">
        <f t="shared" si="285"/>
        <v>154</v>
      </c>
      <c r="X493" s="100">
        <f t="shared" si="285"/>
        <v>156</v>
      </c>
      <c r="Y493" s="89"/>
      <c r="Z493" s="60"/>
      <c r="AA493" s="75"/>
      <c r="AB493" s="75"/>
      <c r="AC493" s="75"/>
      <c r="AD493" s="75"/>
      <c r="AE493" s="101">
        <f t="shared" si="260"/>
        <v>0</v>
      </c>
      <c r="AF493" s="93">
        <f t="shared" si="261"/>
        <v>0</v>
      </c>
      <c r="AG493" s="94">
        <f t="shared" si="257"/>
        <v>0</v>
      </c>
      <c r="AH493" s="102">
        <f t="shared" si="258"/>
        <v>0</v>
      </c>
      <c r="AI493" s="103">
        <f t="shared" si="258"/>
        <v>0</v>
      </c>
      <c r="AJ493" s="103">
        <f t="shared" si="258"/>
        <v>0</v>
      </c>
      <c r="AK493" s="95">
        <f t="shared" si="256"/>
        <v>0</v>
      </c>
      <c r="AL493" s="102">
        <f t="shared" si="262"/>
        <v>0</v>
      </c>
      <c r="AM493" s="95">
        <f t="shared" si="263"/>
        <v>0</v>
      </c>
      <c r="AN493" s="90"/>
      <c r="AO493" s="104"/>
      <c r="AP493" s="90"/>
      <c r="AQ493" s="105"/>
      <c r="AR493" s="90"/>
      <c r="AS493" s="90"/>
      <c r="AT493" s="90"/>
      <c r="AU493" s="93" t="str">
        <f t="shared" si="275"/>
        <v/>
      </c>
      <c r="AV493" s="93" t="str">
        <f t="shared" ca="1" si="276"/>
        <v/>
      </c>
      <c r="AW493" s="93" t="str">
        <f t="shared" si="264"/>
        <v/>
      </c>
      <c r="AX493" s="93" t="str">
        <f t="shared" ca="1" si="265"/>
        <v/>
      </c>
      <c r="AY493" s="106"/>
      <c r="AZ493" s="106"/>
      <c r="BA493" s="93" t="str">
        <f t="shared" si="277"/>
        <v/>
      </c>
      <c r="BB493" s="106"/>
      <c r="BC493" s="106"/>
      <c r="BD493" s="93" t="str">
        <f t="shared" si="278"/>
        <v/>
      </c>
      <c r="BE493" s="90"/>
      <c r="BS493" s="118"/>
      <c r="BT493" s="118"/>
      <c r="BU493" s="118"/>
      <c r="BV493" s="118"/>
      <c r="BW493" s="118"/>
      <c r="BX493" s="118"/>
      <c r="BZ493" s="118"/>
      <c r="CB493" s="118"/>
      <c r="CC493" s="118"/>
      <c r="CD493" s="118"/>
    </row>
    <row r="494" spans="1:82" ht="17.399999999999999" customHeight="1" thickTop="1">
      <c r="A494" s="107">
        <f>A487+1</f>
        <v>70.099999999999994</v>
      </c>
      <c r="B494" s="108">
        <f>B493+1</f>
        <v>484</v>
      </c>
      <c r="C494" s="51"/>
      <c r="D494" s="52"/>
      <c r="E494" s="53"/>
      <c r="F494" s="52"/>
      <c r="G494" s="54">
        <f t="shared" si="284"/>
        <v>0</v>
      </c>
      <c r="H494" s="55">
        <f t="shared" si="284"/>
        <v>0</v>
      </c>
      <c r="I494" s="56">
        <f t="shared" si="268"/>
        <v>0</v>
      </c>
      <c r="J494" s="57">
        <f t="shared" si="269"/>
        <v>0</v>
      </c>
      <c r="K494" s="57">
        <f t="shared" si="270"/>
        <v>0</v>
      </c>
      <c r="L494" s="57">
        <f t="shared" si="271"/>
        <v>0</v>
      </c>
      <c r="M494" s="58" t="str">
        <f t="shared" ca="1" si="272"/>
        <v/>
      </c>
      <c r="N494" s="58" t="str">
        <f t="shared" ca="1" si="272"/>
        <v/>
      </c>
      <c r="O494" s="58">
        <f t="shared" si="273"/>
        <v>5.0000000000000001E-4</v>
      </c>
      <c r="P494" s="77"/>
      <c r="Q494" s="60"/>
      <c r="R494" s="77"/>
      <c r="S494" s="109">
        <f t="shared" si="259"/>
        <v>0</v>
      </c>
      <c r="T494" s="61">
        <f t="shared" si="259"/>
        <v>0</v>
      </c>
      <c r="U494" s="62">
        <f t="shared" si="279"/>
        <v>0</v>
      </c>
      <c r="V494" s="63">
        <f t="shared" si="280"/>
        <v>0</v>
      </c>
      <c r="W494" s="64">
        <f t="shared" si="285"/>
        <v>154</v>
      </c>
      <c r="X494" s="80">
        <f t="shared" si="285"/>
        <v>156</v>
      </c>
      <c r="Y494" s="51"/>
      <c r="Z494" s="51"/>
      <c r="AA494" s="53"/>
      <c r="AB494" s="53"/>
      <c r="AC494" s="53"/>
      <c r="AD494" s="53"/>
      <c r="AE494" s="66">
        <f t="shared" si="260"/>
        <v>0</v>
      </c>
      <c r="AF494" s="61">
        <f t="shared" si="261"/>
        <v>0</v>
      </c>
      <c r="AG494" s="56">
        <f t="shared" si="257"/>
        <v>0</v>
      </c>
      <c r="AH494" s="67">
        <f t="shared" si="258"/>
        <v>0</v>
      </c>
      <c r="AI494" s="68">
        <f t="shared" si="258"/>
        <v>0</v>
      </c>
      <c r="AJ494" s="68">
        <f t="shared" si="258"/>
        <v>0</v>
      </c>
      <c r="AK494" s="57">
        <f t="shared" si="256"/>
        <v>0</v>
      </c>
      <c r="AL494" s="67">
        <f t="shared" si="262"/>
        <v>0</v>
      </c>
      <c r="AM494" s="57">
        <f t="shared" si="263"/>
        <v>0</v>
      </c>
      <c r="AN494" s="52"/>
      <c r="AO494" s="69"/>
      <c r="AP494" s="52"/>
      <c r="AQ494" s="70"/>
      <c r="AR494" s="52"/>
      <c r="AS494" s="52"/>
      <c r="AT494" s="52"/>
      <c r="AU494" s="61" t="str">
        <f t="shared" si="275"/>
        <v/>
      </c>
      <c r="AV494" s="61" t="str">
        <f t="shared" ca="1" si="276"/>
        <v/>
      </c>
      <c r="AW494" s="61" t="str">
        <f t="shared" si="264"/>
        <v/>
      </c>
      <c r="AX494" s="61" t="str">
        <f t="shared" ca="1" si="265"/>
        <v/>
      </c>
      <c r="AY494" s="71"/>
      <c r="AZ494" s="71"/>
      <c r="BA494" s="61" t="str">
        <f t="shared" si="277"/>
        <v/>
      </c>
      <c r="BB494" s="71"/>
      <c r="BC494" s="71"/>
      <c r="BD494" s="61" t="str">
        <f t="shared" si="278"/>
        <v/>
      </c>
      <c r="BE494" s="52"/>
      <c r="BS494" s="118"/>
      <c r="BT494" s="118"/>
      <c r="BU494" s="118"/>
      <c r="BV494" s="118"/>
      <c r="BW494" s="118"/>
      <c r="BX494" s="118"/>
      <c r="BZ494" s="118"/>
      <c r="CB494" s="118"/>
      <c r="CC494" s="118"/>
      <c r="CD494" s="118"/>
    </row>
    <row r="495" spans="1:82" ht="17.399999999999999" customHeight="1">
      <c r="A495" s="87">
        <f t="shared" si="281"/>
        <v>70.2</v>
      </c>
      <c r="B495" s="111">
        <f t="shared" si="266"/>
        <v>485</v>
      </c>
      <c r="C495" s="60"/>
      <c r="D495" s="74"/>
      <c r="E495" s="75"/>
      <c r="F495" s="74"/>
      <c r="G495" s="54">
        <f t="shared" si="284"/>
        <v>0</v>
      </c>
      <c r="H495" s="55">
        <f t="shared" si="284"/>
        <v>0</v>
      </c>
      <c r="I495" s="76">
        <f t="shared" si="268"/>
        <v>0</v>
      </c>
      <c r="J495" s="58">
        <f t="shared" si="269"/>
        <v>0</v>
      </c>
      <c r="K495" s="58">
        <f t="shared" si="270"/>
        <v>0</v>
      </c>
      <c r="L495" s="58">
        <f t="shared" si="271"/>
        <v>0</v>
      </c>
      <c r="M495" s="58" t="str">
        <f t="shared" ca="1" si="272"/>
        <v/>
      </c>
      <c r="N495" s="58" t="str">
        <f t="shared" ca="1" si="272"/>
        <v/>
      </c>
      <c r="O495" s="58">
        <f t="shared" si="273"/>
        <v>5.0000000000000001E-4</v>
      </c>
      <c r="P495" s="77"/>
      <c r="Q495" s="60"/>
      <c r="R495" s="77"/>
      <c r="S495" s="78">
        <f t="shared" si="259"/>
        <v>0</v>
      </c>
      <c r="T495" s="55">
        <f t="shared" si="259"/>
        <v>0</v>
      </c>
      <c r="U495" s="79">
        <f t="shared" si="279"/>
        <v>0</v>
      </c>
      <c r="V495" s="63">
        <f t="shared" si="280"/>
        <v>0</v>
      </c>
      <c r="W495" s="64">
        <f t="shared" si="285"/>
        <v>154</v>
      </c>
      <c r="X495" s="80">
        <f t="shared" si="285"/>
        <v>156</v>
      </c>
      <c r="Y495" s="60"/>
      <c r="Z495" s="60"/>
      <c r="AA495" s="75"/>
      <c r="AB495" s="75"/>
      <c r="AC495" s="75"/>
      <c r="AD495" s="75"/>
      <c r="AE495" s="81">
        <f t="shared" si="260"/>
        <v>0</v>
      </c>
      <c r="AF495" s="55">
        <f t="shared" si="261"/>
        <v>0</v>
      </c>
      <c r="AG495" s="76">
        <f t="shared" si="257"/>
        <v>0</v>
      </c>
      <c r="AH495" s="82">
        <f t="shared" si="258"/>
        <v>0</v>
      </c>
      <c r="AI495" s="83">
        <f t="shared" si="258"/>
        <v>0</v>
      </c>
      <c r="AJ495" s="83">
        <f t="shared" si="258"/>
        <v>0</v>
      </c>
      <c r="AK495" s="58">
        <f t="shared" si="256"/>
        <v>0</v>
      </c>
      <c r="AL495" s="82">
        <f t="shared" si="262"/>
        <v>0</v>
      </c>
      <c r="AM495" s="58">
        <f t="shared" si="263"/>
        <v>0</v>
      </c>
      <c r="AN495" s="74"/>
      <c r="AO495" s="84"/>
      <c r="AP495" s="74"/>
      <c r="AQ495" s="85"/>
      <c r="AR495" s="74"/>
      <c r="AS495" s="74"/>
      <c r="AT495" s="74"/>
      <c r="AU495" s="55" t="str">
        <f t="shared" si="275"/>
        <v/>
      </c>
      <c r="AV495" s="55" t="str">
        <f t="shared" ca="1" si="276"/>
        <v/>
      </c>
      <c r="AW495" s="55" t="str">
        <f t="shared" si="264"/>
        <v/>
      </c>
      <c r="AX495" s="55" t="str">
        <f t="shared" ca="1" si="265"/>
        <v/>
      </c>
      <c r="AY495" s="86"/>
      <c r="AZ495" s="86"/>
      <c r="BA495" s="55" t="str">
        <f t="shared" si="277"/>
        <v/>
      </c>
      <c r="BB495" s="86"/>
      <c r="BC495" s="86"/>
      <c r="BD495" s="55" t="str">
        <f t="shared" si="278"/>
        <v/>
      </c>
      <c r="BE495" s="74"/>
      <c r="BS495" s="118"/>
      <c r="BT495" s="118"/>
      <c r="BU495" s="118"/>
      <c r="BV495" s="118"/>
      <c r="BW495" s="118"/>
      <c r="BX495" s="118"/>
      <c r="BZ495" s="118"/>
      <c r="CB495" s="118"/>
      <c r="CC495" s="118"/>
      <c r="CD495" s="118"/>
    </row>
    <row r="496" spans="1:82" ht="17.399999999999999" customHeight="1">
      <c r="A496" s="72">
        <f t="shared" si="281"/>
        <v>70.3</v>
      </c>
      <c r="B496" s="111">
        <f t="shared" si="266"/>
        <v>486</v>
      </c>
      <c r="C496" s="60"/>
      <c r="D496" s="74"/>
      <c r="E496" s="75"/>
      <c r="F496" s="74"/>
      <c r="G496" s="54">
        <f t="shared" si="284"/>
        <v>0</v>
      </c>
      <c r="H496" s="55">
        <f t="shared" si="284"/>
        <v>0</v>
      </c>
      <c r="I496" s="76">
        <f t="shared" si="268"/>
        <v>0</v>
      </c>
      <c r="J496" s="58">
        <f t="shared" si="269"/>
        <v>0</v>
      </c>
      <c r="K496" s="58">
        <f t="shared" si="270"/>
        <v>0</v>
      </c>
      <c r="L496" s="58">
        <f t="shared" si="271"/>
        <v>0</v>
      </c>
      <c r="M496" s="58" t="str">
        <f t="shared" ca="1" si="272"/>
        <v/>
      </c>
      <c r="N496" s="58" t="str">
        <f t="shared" ca="1" si="272"/>
        <v/>
      </c>
      <c r="O496" s="58">
        <f t="shared" si="273"/>
        <v>5.0000000000000001E-4</v>
      </c>
      <c r="P496" s="77"/>
      <c r="Q496" s="60"/>
      <c r="R496" s="77"/>
      <c r="S496" s="78">
        <f t="shared" si="259"/>
        <v>0</v>
      </c>
      <c r="T496" s="55">
        <f t="shared" si="259"/>
        <v>0</v>
      </c>
      <c r="U496" s="79">
        <f t="shared" si="279"/>
        <v>0</v>
      </c>
      <c r="V496" s="63">
        <f t="shared" si="280"/>
        <v>0</v>
      </c>
      <c r="W496" s="64">
        <f t="shared" si="285"/>
        <v>154</v>
      </c>
      <c r="X496" s="80">
        <f t="shared" si="285"/>
        <v>156</v>
      </c>
      <c r="Y496" s="60"/>
      <c r="Z496" s="60"/>
      <c r="AA496" s="75"/>
      <c r="AB496" s="75"/>
      <c r="AC496" s="75"/>
      <c r="AD496" s="75"/>
      <c r="AE496" s="81">
        <f t="shared" si="260"/>
        <v>0</v>
      </c>
      <c r="AF496" s="55">
        <f t="shared" si="261"/>
        <v>0</v>
      </c>
      <c r="AG496" s="76">
        <f t="shared" si="257"/>
        <v>0</v>
      </c>
      <c r="AH496" s="82">
        <f t="shared" si="258"/>
        <v>0</v>
      </c>
      <c r="AI496" s="83">
        <f t="shared" si="258"/>
        <v>0</v>
      </c>
      <c r="AJ496" s="83">
        <f t="shared" si="258"/>
        <v>0</v>
      </c>
      <c r="AK496" s="58">
        <f t="shared" si="256"/>
        <v>0</v>
      </c>
      <c r="AL496" s="82">
        <f t="shared" si="262"/>
        <v>0</v>
      </c>
      <c r="AM496" s="58">
        <f t="shared" si="263"/>
        <v>0</v>
      </c>
      <c r="AN496" s="74"/>
      <c r="AO496" s="84"/>
      <c r="AP496" s="74"/>
      <c r="AQ496" s="85"/>
      <c r="AR496" s="74"/>
      <c r="AS496" s="74"/>
      <c r="AT496" s="74"/>
      <c r="AU496" s="55" t="str">
        <f t="shared" si="275"/>
        <v/>
      </c>
      <c r="AV496" s="55" t="str">
        <f t="shared" ca="1" si="276"/>
        <v/>
      </c>
      <c r="AW496" s="55" t="str">
        <f t="shared" si="264"/>
        <v/>
      </c>
      <c r="AX496" s="55" t="str">
        <f t="shared" ca="1" si="265"/>
        <v/>
      </c>
      <c r="AY496" s="86"/>
      <c r="AZ496" s="86"/>
      <c r="BA496" s="55" t="str">
        <f t="shared" si="277"/>
        <v/>
      </c>
      <c r="BB496" s="86"/>
      <c r="BC496" s="86"/>
      <c r="BD496" s="55" t="str">
        <f t="shared" si="278"/>
        <v/>
      </c>
      <c r="BE496" s="74"/>
      <c r="BS496" s="118"/>
      <c r="BT496" s="118"/>
      <c r="BU496" s="118"/>
      <c r="BV496" s="118"/>
      <c r="BW496" s="118"/>
      <c r="BX496" s="118"/>
      <c r="BZ496" s="118"/>
      <c r="CB496" s="118"/>
      <c r="CC496" s="118"/>
      <c r="CD496" s="118"/>
    </row>
    <row r="497" spans="1:82" ht="17.399999999999999" customHeight="1">
      <c r="A497" s="87">
        <f t="shared" si="281"/>
        <v>70.400000000000006</v>
      </c>
      <c r="B497" s="111">
        <f t="shared" si="266"/>
        <v>487</v>
      </c>
      <c r="C497" s="60"/>
      <c r="D497" s="74"/>
      <c r="E497" s="75"/>
      <c r="F497" s="74"/>
      <c r="G497" s="54">
        <f t="shared" si="284"/>
        <v>0</v>
      </c>
      <c r="H497" s="55">
        <f t="shared" si="284"/>
        <v>0</v>
      </c>
      <c r="I497" s="76">
        <f t="shared" si="268"/>
        <v>0</v>
      </c>
      <c r="J497" s="58">
        <f t="shared" si="269"/>
        <v>0</v>
      </c>
      <c r="K497" s="58">
        <f t="shared" si="270"/>
        <v>0</v>
      </c>
      <c r="L497" s="58">
        <f t="shared" si="271"/>
        <v>0</v>
      </c>
      <c r="M497" s="58" t="str">
        <f t="shared" ca="1" si="272"/>
        <v/>
      </c>
      <c r="N497" s="58" t="str">
        <f t="shared" ca="1" si="272"/>
        <v/>
      </c>
      <c r="O497" s="58">
        <f t="shared" si="273"/>
        <v>5.0000000000000001E-4</v>
      </c>
      <c r="P497" s="77"/>
      <c r="Q497" s="60"/>
      <c r="R497" s="77"/>
      <c r="S497" s="78">
        <f t="shared" si="259"/>
        <v>0</v>
      </c>
      <c r="T497" s="55">
        <f t="shared" si="259"/>
        <v>0</v>
      </c>
      <c r="U497" s="79">
        <f t="shared" si="279"/>
        <v>0</v>
      </c>
      <c r="V497" s="63">
        <f t="shared" si="280"/>
        <v>0</v>
      </c>
      <c r="W497" s="64">
        <f t="shared" si="285"/>
        <v>154</v>
      </c>
      <c r="X497" s="80">
        <f t="shared" si="285"/>
        <v>156</v>
      </c>
      <c r="Y497" s="60"/>
      <c r="Z497" s="60"/>
      <c r="AA497" s="75"/>
      <c r="AB497" s="75"/>
      <c r="AC497" s="75"/>
      <c r="AD497" s="75"/>
      <c r="AE497" s="81">
        <f t="shared" si="260"/>
        <v>0</v>
      </c>
      <c r="AF497" s="55">
        <f t="shared" si="261"/>
        <v>0</v>
      </c>
      <c r="AG497" s="76">
        <f t="shared" si="257"/>
        <v>0</v>
      </c>
      <c r="AH497" s="82">
        <f t="shared" si="258"/>
        <v>0</v>
      </c>
      <c r="AI497" s="83">
        <f t="shared" si="258"/>
        <v>0</v>
      </c>
      <c r="AJ497" s="83">
        <f t="shared" si="258"/>
        <v>0</v>
      </c>
      <c r="AK497" s="58">
        <f t="shared" si="256"/>
        <v>0</v>
      </c>
      <c r="AL497" s="82">
        <f t="shared" si="262"/>
        <v>0</v>
      </c>
      <c r="AM497" s="58">
        <f t="shared" si="263"/>
        <v>0</v>
      </c>
      <c r="AN497" s="74"/>
      <c r="AO497" s="84"/>
      <c r="AP497" s="74"/>
      <c r="AQ497" s="85"/>
      <c r="AR497" s="74"/>
      <c r="AS497" s="74"/>
      <c r="AT497" s="74"/>
      <c r="AU497" s="55" t="str">
        <f t="shared" si="275"/>
        <v/>
      </c>
      <c r="AV497" s="55" t="str">
        <f t="shared" ca="1" si="276"/>
        <v/>
      </c>
      <c r="AW497" s="55" t="str">
        <f t="shared" si="264"/>
        <v/>
      </c>
      <c r="AX497" s="55" t="str">
        <f t="shared" ca="1" si="265"/>
        <v/>
      </c>
      <c r="AY497" s="86"/>
      <c r="AZ497" s="86"/>
      <c r="BA497" s="55" t="str">
        <f t="shared" si="277"/>
        <v/>
      </c>
      <c r="BB497" s="86"/>
      <c r="BC497" s="86"/>
      <c r="BD497" s="55" t="str">
        <f t="shared" si="278"/>
        <v/>
      </c>
      <c r="BE497" s="74"/>
      <c r="BS497" s="118"/>
      <c r="BT497" s="118"/>
      <c r="BU497" s="118"/>
      <c r="BV497" s="118"/>
      <c r="BW497" s="118"/>
      <c r="BX497" s="118"/>
      <c r="BZ497" s="118"/>
      <c r="CB497" s="118"/>
      <c r="CC497" s="118"/>
      <c r="CD497" s="118"/>
    </row>
    <row r="498" spans="1:82" ht="17.399999999999999" customHeight="1">
      <c r="A498" s="72">
        <f t="shared" si="281"/>
        <v>70.5</v>
      </c>
      <c r="B498" s="111">
        <f t="shared" si="266"/>
        <v>488</v>
      </c>
      <c r="C498" s="60"/>
      <c r="D498" s="74"/>
      <c r="E498" s="75"/>
      <c r="F498" s="74"/>
      <c r="G498" s="54">
        <f t="shared" si="284"/>
        <v>0</v>
      </c>
      <c r="H498" s="55">
        <f t="shared" si="284"/>
        <v>0</v>
      </c>
      <c r="I498" s="76">
        <f t="shared" si="268"/>
        <v>0</v>
      </c>
      <c r="J498" s="58">
        <f t="shared" si="269"/>
        <v>0</v>
      </c>
      <c r="K498" s="58">
        <f t="shared" si="270"/>
        <v>0</v>
      </c>
      <c r="L498" s="58">
        <f t="shared" si="271"/>
        <v>0</v>
      </c>
      <c r="M498" s="58" t="str">
        <f t="shared" ca="1" si="272"/>
        <v/>
      </c>
      <c r="N498" s="58" t="str">
        <f t="shared" ca="1" si="272"/>
        <v/>
      </c>
      <c r="O498" s="58">
        <f t="shared" si="273"/>
        <v>5.0000000000000001E-4</v>
      </c>
      <c r="P498" s="77"/>
      <c r="Q498" s="60"/>
      <c r="R498" s="77"/>
      <c r="S498" s="78">
        <f t="shared" si="259"/>
        <v>0</v>
      </c>
      <c r="T498" s="55">
        <f t="shared" si="259"/>
        <v>0</v>
      </c>
      <c r="U498" s="79">
        <f t="shared" si="279"/>
        <v>0</v>
      </c>
      <c r="V498" s="63">
        <f t="shared" si="280"/>
        <v>0</v>
      </c>
      <c r="W498" s="64">
        <f t="shared" si="285"/>
        <v>154</v>
      </c>
      <c r="X498" s="80">
        <f t="shared" si="285"/>
        <v>156</v>
      </c>
      <c r="Y498" s="60"/>
      <c r="Z498" s="60"/>
      <c r="AA498" s="75"/>
      <c r="AB498" s="75"/>
      <c r="AC498" s="75"/>
      <c r="AD498" s="75"/>
      <c r="AE498" s="81">
        <f t="shared" si="260"/>
        <v>0</v>
      </c>
      <c r="AF498" s="55">
        <f t="shared" si="261"/>
        <v>0</v>
      </c>
      <c r="AG498" s="76">
        <f t="shared" si="257"/>
        <v>0</v>
      </c>
      <c r="AH498" s="82">
        <f t="shared" si="258"/>
        <v>0</v>
      </c>
      <c r="AI498" s="83">
        <f t="shared" si="258"/>
        <v>0</v>
      </c>
      <c r="AJ498" s="83">
        <f t="shared" si="258"/>
        <v>0</v>
      </c>
      <c r="AK498" s="58">
        <f t="shared" si="256"/>
        <v>0</v>
      </c>
      <c r="AL498" s="82">
        <f t="shared" si="262"/>
        <v>0</v>
      </c>
      <c r="AM498" s="58">
        <f t="shared" si="263"/>
        <v>0</v>
      </c>
      <c r="AN498" s="74"/>
      <c r="AO498" s="84"/>
      <c r="AP498" s="74"/>
      <c r="AQ498" s="85"/>
      <c r="AR498" s="74"/>
      <c r="AS498" s="74"/>
      <c r="AT498" s="74"/>
      <c r="AU498" s="55" t="str">
        <f t="shared" si="275"/>
        <v/>
      </c>
      <c r="AV498" s="55" t="str">
        <f t="shared" ca="1" si="276"/>
        <v/>
      </c>
      <c r="AW498" s="55" t="str">
        <f t="shared" si="264"/>
        <v/>
      </c>
      <c r="AX498" s="55" t="str">
        <f t="shared" ca="1" si="265"/>
        <v/>
      </c>
      <c r="AY498" s="86"/>
      <c r="AZ498" s="86"/>
      <c r="BA498" s="55" t="str">
        <f t="shared" si="277"/>
        <v/>
      </c>
      <c r="BB498" s="86"/>
      <c r="BC498" s="86"/>
      <c r="BD498" s="55" t="str">
        <f t="shared" si="278"/>
        <v/>
      </c>
      <c r="BE498" s="74"/>
      <c r="BS498" s="118"/>
      <c r="BT498" s="118"/>
      <c r="BU498" s="118"/>
      <c r="BV498" s="118"/>
      <c r="BW498" s="118"/>
      <c r="BX498" s="118"/>
      <c r="BZ498" s="118"/>
      <c r="CB498" s="118"/>
      <c r="CC498" s="118"/>
      <c r="CD498" s="118"/>
    </row>
    <row r="499" spans="1:82" ht="17.399999999999999" customHeight="1">
      <c r="A499" s="87">
        <f t="shared" si="281"/>
        <v>70.599999999999994</v>
      </c>
      <c r="B499" s="111">
        <f t="shared" si="266"/>
        <v>489</v>
      </c>
      <c r="C499" s="60"/>
      <c r="D499" s="74"/>
      <c r="E499" s="75"/>
      <c r="F499" s="74"/>
      <c r="G499" s="54">
        <f t="shared" si="284"/>
        <v>0</v>
      </c>
      <c r="H499" s="55">
        <f t="shared" si="284"/>
        <v>0</v>
      </c>
      <c r="I499" s="76">
        <f t="shared" si="268"/>
        <v>0</v>
      </c>
      <c r="J499" s="58">
        <f t="shared" si="269"/>
        <v>0</v>
      </c>
      <c r="K499" s="58">
        <f t="shared" si="270"/>
        <v>0</v>
      </c>
      <c r="L499" s="58">
        <f t="shared" si="271"/>
        <v>0</v>
      </c>
      <c r="M499" s="58" t="str">
        <f t="shared" ca="1" si="272"/>
        <v/>
      </c>
      <c r="N499" s="58" t="str">
        <f t="shared" ca="1" si="272"/>
        <v/>
      </c>
      <c r="O499" s="58">
        <f t="shared" si="273"/>
        <v>5.0000000000000001E-4</v>
      </c>
      <c r="P499" s="77"/>
      <c r="Q499" s="60"/>
      <c r="R499" s="77"/>
      <c r="S499" s="78">
        <f t="shared" si="259"/>
        <v>0</v>
      </c>
      <c r="T499" s="55">
        <f t="shared" si="259"/>
        <v>0</v>
      </c>
      <c r="U499" s="79">
        <f t="shared" si="279"/>
        <v>0</v>
      </c>
      <c r="V499" s="63">
        <f t="shared" si="280"/>
        <v>0</v>
      </c>
      <c r="W499" s="64">
        <f t="shared" si="285"/>
        <v>154</v>
      </c>
      <c r="X499" s="80">
        <f t="shared" si="285"/>
        <v>156</v>
      </c>
      <c r="Y499" s="60"/>
      <c r="Z499" s="60"/>
      <c r="AA499" s="75"/>
      <c r="AB499" s="75"/>
      <c r="AC499" s="75"/>
      <c r="AD499" s="75"/>
      <c r="AE499" s="81">
        <f t="shared" si="260"/>
        <v>0</v>
      </c>
      <c r="AF499" s="55">
        <f t="shared" si="261"/>
        <v>0</v>
      </c>
      <c r="AG499" s="76">
        <f t="shared" si="257"/>
        <v>0</v>
      </c>
      <c r="AH499" s="82">
        <f t="shared" si="258"/>
        <v>0</v>
      </c>
      <c r="AI499" s="83">
        <f t="shared" si="258"/>
        <v>0</v>
      </c>
      <c r="AJ499" s="83">
        <f t="shared" si="258"/>
        <v>0</v>
      </c>
      <c r="AK499" s="58">
        <f t="shared" si="256"/>
        <v>0</v>
      </c>
      <c r="AL499" s="82">
        <f t="shared" si="262"/>
        <v>0</v>
      </c>
      <c r="AM499" s="58">
        <f t="shared" si="263"/>
        <v>0</v>
      </c>
      <c r="AN499" s="74"/>
      <c r="AO499" s="84"/>
      <c r="AP499" s="74"/>
      <c r="AQ499" s="85"/>
      <c r="AR499" s="74"/>
      <c r="AS499" s="74"/>
      <c r="AT499" s="74"/>
      <c r="AU499" s="55" t="str">
        <f t="shared" si="275"/>
        <v/>
      </c>
      <c r="AV499" s="55" t="str">
        <f t="shared" ca="1" si="276"/>
        <v/>
      </c>
      <c r="AW499" s="55" t="str">
        <f t="shared" si="264"/>
        <v/>
      </c>
      <c r="AX499" s="55" t="str">
        <f t="shared" ca="1" si="265"/>
        <v/>
      </c>
      <c r="AY499" s="86"/>
      <c r="AZ499" s="86"/>
      <c r="BA499" s="55" t="str">
        <f t="shared" si="277"/>
        <v/>
      </c>
      <c r="BB499" s="86"/>
      <c r="BC499" s="86"/>
      <c r="BD499" s="55" t="str">
        <f t="shared" si="278"/>
        <v/>
      </c>
      <c r="BE499" s="74"/>
      <c r="BS499" s="118"/>
      <c r="BT499" s="118"/>
      <c r="BU499" s="118"/>
      <c r="BV499" s="118"/>
      <c r="BW499" s="118"/>
      <c r="BX499" s="118"/>
      <c r="BZ499" s="118"/>
      <c r="CB499" s="118"/>
      <c r="CC499" s="118"/>
      <c r="CD499" s="118"/>
    </row>
    <row r="500" spans="1:82" ht="17.399999999999999" customHeight="1" thickBot="1">
      <c r="A500" s="122">
        <f t="shared" si="281"/>
        <v>70.7</v>
      </c>
      <c r="B500" s="113">
        <f t="shared" si="266"/>
        <v>490</v>
      </c>
      <c r="C500" s="89"/>
      <c r="D500" s="90"/>
      <c r="E500" s="91"/>
      <c r="F500" s="90"/>
      <c r="G500" s="92">
        <f t="shared" si="284"/>
        <v>0</v>
      </c>
      <c r="H500" s="93">
        <f t="shared" si="284"/>
        <v>0</v>
      </c>
      <c r="I500" s="94">
        <f t="shared" si="268"/>
        <v>0</v>
      </c>
      <c r="J500" s="95">
        <f t="shared" si="269"/>
        <v>0</v>
      </c>
      <c r="K500" s="95">
        <f t="shared" si="270"/>
        <v>0</v>
      </c>
      <c r="L500" s="95">
        <f t="shared" si="271"/>
        <v>0</v>
      </c>
      <c r="M500" s="95" t="str">
        <f t="shared" ca="1" si="272"/>
        <v/>
      </c>
      <c r="N500" s="95" t="str">
        <f t="shared" ca="1" si="272"/>
        <v/>
      </c>
      <c r="O500" s="95">
        <f t="shared" si="273"/>
        <v>5.0000000000000001E-4</v>
      </c>
      <c r="P500" s="96"/>
      <c r="Q500" s="89"/>
      <c r="R500" s="96"/>
      <c r="S500" s="123">
        <f t="shared" si="259"/>
        <v>0</v>
      </c>
      <c r="T500" s="93">
        <f t="shared" si="259"/>
        <v>0</v>
      </c>
      <c r="U500" s="97">
        <f t="shared" si="279"/>
        <v>0</v>
      </c>
      <c r="V500" s="98">
        <f t="shared" si="280"/>
        <v>0</v>
      </c>
      <c r="W500" s="99">
        <f t="shared" si="285"/>
        <v>154</v>
      </c>
      <c r="X500" s="100">
        <f t="shared" si="285"/>
        <v>156</v>
      </c>
      <c r="Y500" s="89"/>
      <c r="Z500" s="89"/>
      <c r="AA500" s="91"/>
      <c r="AB500" s="91"/>
      <c r="AC500" s="91"/>
      <c r="AD500" s="91"/>
      <c r="AE500" s="101">
        <f t="shared" si="260"/>
        <v>0</v>
      </c>
      <c r="AF500" s="93">
        <f t="shared" si="261"/>
        <v>0</v>
      </c>
      <c r="AG500" s="94">
        <f t="shared" si="257"/>
        <v>0</v>
      </c>
      <c r="AH500" s="102">
        <f t="shared" si="258"/>
        <v>0</v>
      </c>
      <c r="AI500" s="103">
        <f t="shared" si="258"/>
        <v>0</v>
      </c>
      <c r="AJ500" s="103">
        <f t="shared" si="258"/>
        <v>0</v>
      </c>
      <c r="AK500" s="95">
        <f t="shared" si="256"/>
        <v>0</v>
      </c>
      <c r="AL500" s="102">
        <f t="shared" si="262"/>
        <v>0</v>
      </c>
      <c r="AM500" s="95">
        <f t="shared" si="263"/>
        <v>0</v>
      </c>
      <c r="AN500" s="90"/>
      <c r="AO500" s="104"/>
      <c r="AP500" s="90"/>
      <c r="AQ500" s="105"/>
      <c r="AR500" s="90"/>
      <c r="AS500" s="90"/>
      <c r="AT500" s="90"/>
      <c r="AU500" s="93" t="str">
        <f t="shared" si="275"/>
        <v/>
      </c>
      <c r="AV500" s="93" t="str">
        <f ca="1">IF(OR(AP501="",OFFSET(AP501,-1,0)=""),"", (AP501-OFFSET(AP501,-1,0))/100*1000)</f>
        <v/>
      </c>
      <c r="AW500" s="93" t="str">
        <f t="shared" si="264"/>
        <v/>
      </c>
      <c r="AX500" s="93" t="str">
        <f ca="1">IF(OR(AR500="",AP501="",M500="",N500=""),"", ((AP501-AR500)/100*1000)/((G500+H500))*1000)</f>
        <v/>
      </c>
      <c r="AY500" s="106"/>
      <c r="AZ500" s="106"/>
      <c r="BA500" s="93" t="str">
        <f t="shared" si="277"/>
        <v/>
      </c>
      <c r="BB500" s="106"/>
      <c r="BC500" s="106"/>
      <c r="BD500" s="93" t="str">
        <f t="shared" si="278"/>
        <v/>
      </c>
      <c r="BE500" s="90"/>
      <c r="BS500" s="118"/>
      <c r="BT500" s="118"/>
      <c r="BU500" s="118"/>
      <c r="BV500" s="118"/>
      <c r="BW500" s="118"/>
      <c r="BX500" s="118"/>
      <c r="BZ500" s="118"/>
      <c r="CB500" s="118"/>
      <c r="CC500" s="118"/>
      <c r="CD500" s="118"/>
    </row>
    <row r="501" spans="1:82" ht="17.399999999999999" customHeight="1" thickTop="1">
      <c r="A501" s="4"/>
      <c r="AJ501" s="124"/>
    </row>
    <row r="502" spans="1:82" ht="17.399999999999999" customHeight="1">
      <c r="A502" s="4"/>
      <c r="AJ502" s="124"/>
    </row>
    <row r="503" spans="1:82" ht="17.399999999999999" customHeight="1">
      <c r="A503" s="4"/>
      <c r="AJ503" s="124"/>
    </row>
    <row r="504" spans="1:82" ht="17.399999999999999" customHeight="1" thickBot="1">
      <c r="A504" s="4"/>
      <c r="AJ504" s="124"/>
    </row>
    <row r="505" spans="1:82" ht="33" customHeight="1" thickBot="1">
      <c r="A505" s="125" t="s">
        <v>5</v>
      </c>
      <c r="B505" s="12" t="s">
        <v>5</v>
      </c>
      <c r="C505" s="12" t="s">
        <v>5</v>
      </c>
      <c r="D505" s="12" t="s">
        <v>5</v>
      </c>
      <c r="E505" s="12" t="s">
        <v>5</v>
      </c>
      <c r="F505" s="12" t="s">
        <v>5</v>
      </c>
      <c r="G505" s="12" t="s">
        <v>5</v>
      </c>
      <c r="H505" s="12" t="s">
        <v>5</v>
      </c>
      <c r="I505" s="12" t="s">
        <v>5</v>
      </c>
      <c r="J505" s="12" t="s">
        <v>5</v>
      </c>
      <c r="K505" s="12" t="s">
        <v>5</v>
      </c>
      <c r="L505" s="12" t="s">
        <v>5</v>
      </c>
      <c r="M505" s="12" t="s">
        <v>5</v>
      </c>
      <c r="N505" s="12" t="s">
        <v>5</v>
      </c>
      <c r="O505" s="12" t="s">
        <v>5</v>
      </c>
      <c r="P505" s="12" t="s">
        <v>5</v>
      </c>
      <c r="Q505" s="12" t="s">
        <v>5</v>
      </c>
      <c r="R505" s="12" t="s">
        <v>5</v>
      </c>
      <c r="S505" s="12" t="s">
        <v>5</v>
      </c>
      <c r="T505" s="12" t="s">
        <v>5</v>
      </c>
      <c r="U505" s="12" t="s">
        <v>5</v>
      </c>
      <c r="V505" s="12" t="s">
        <v>5</v>
      </c>
      <c r="W505" s="12" t="s">
        <v>5</v>
      </c>
      <c r="X505" s="12" t="s">
        <v>5</v>
      </c>
      <c r="Y505" s="12" t="s">
        <v>5</v>
      </c>
      <c r="Z505" s="12" t="s">
        <v>5</v>
      </c>
      <c r="AA505" s="12" t="s">
        <v>5</v>
      </c>
      <c r="AB505" s="12" t="s">
        <v>5</v>
      </c>
      <c r="AC505" s="12" t="s">
        <v>5</v>
      </c>
      <c r="AD505" s="12" t="s">
        <v>5</v>
      </c>
      <c r="AE505" s="12" t="s">
        <v>5</v>
      </c>
      <c r="AF505" s="12" t="s">
        <v>5</v>
      </c>
      <c r="AG505" s="12" t="s">
        <v>5</v>
      </c>
      <c r="AH505" s="13" t="s">
        <v>5</v>
      </c>
      <c r="AK505" s="2"/>
      <c r="AM505" s="1"/>
      <c r="AN505" s="2"/>
      <c r="BU505" s="3"/>
      <c r="BV505" s="3"/>
      <c r="CA505" s="1"/>
      <c r="CB505" s="1"/>
    </row>
    <row r="506" spans="1:82" ht="33" customHeight="1" thickBot="1">
      <c r="A506" s="126" t="s">
        <v>87</v>
      </c>
      <c r="B506" s="126" t="s">
        <v>88</v>
      </c>
      <c r="C506" s="126" t="s">
        <v>6</v>
      </c>
      <c r="D506" s="126" t="s">
        <v>7</v>
      </c>
      <c r="E506" s="126" t="s">
        <v>8</v>
      </c>
      <c r="F506" s="126" t="s">
        <v>9</v>
      </c>
      <c r="G506" s="126" t="s">
        <v>10</v>
      </c>
      <c r="H506" s="126" t="s">
        <v>11</v>
      </c>
      <c r="I506" s="127" t="s">
        <v>13</v>
      </c>
      <c r="J506" s="128" t="s">
        <v>12</v>
      </c>
      <c r="K506" s="126" t="s">
        <v>15</v>
      </c>
      <c r="L506" s="126" t="s">
        <v>14</v>
      </c>
      <c r="M506" s="126" t="s">
        <v>17</v>
      </c>
      <c r="N506" s="126" t="s">
        <v>16</v>
      </c>
      <c r="O506" s="126" t="s">
        <v>18</v>
      </c>
      <c r="P506" s="126" t="s">
        <v>19</v>
      </c>
      <c r="Q506" s="126" t="s">
        <v>20</v>
      </c>
      <c r="R506" s="126" t="s">
        <v>21</v>
      </c>
      <c r="S506" s="126" t="s">
        <v>22</v>
      </c>
      <c r="T506" s="126" t="s">
        <v>23</v>
      </c>
      <c r="U506" s="126" t="s">
        <v>24</v>
      </c>
      <c r="V506" s="126" t="s">
        <v>25</v>
      </c>
      <c r="W506" s="126" t="s">
        <v>26</v>
      </c>
      <c r="X506" s="126" t="s">
        <v>27</v>
      </c>
      <c r="Y506" s="126" t="s">
        <v>28</v>
      </c>
      <c r="Z506" s="126" t="s">
        <v>29</v>
      </c>
      <c r="AA506" s="126" t="s">
        <v>30</v>
      </c>
      <c r="AB506" s="126" t="s">
        <v>31</v>
      </c>
      <c r="AC506" s="127" t="s">
        <v>32</v>
      </c>
      <c r="AD506" s="127" t="s">
        <v>33</v>
      </c>
      <c r="AE506" s="126" t="s">
        <v>34</v>
      </c>
      <c r="AF506" s="127" t="s">
        <v>35</v>
      </c>
      <c r="AG506" s="126" t="s">
        <v>36</v>
      </c>
      <c r="AH506" s="127" t="s">
        <v>37</v>
      </c>
      <c r="AI506" s="2"/>
      <c r="AL506" s="2"/>
      <c r="AM506" s="1"/>
      <c r="BS506" s="3"/>
      <c r="BT506" s="3"/>
      <c r="BU506" s="3"/>
      <c r="BV506" s="3"/>
      <c r="BY506" s="1"/>
      <c r="BZ506" s="1"/>
      <c r="CA506" s="1"/>
      <c r="CB506" s="1"/>
    </row>
    <row r="507" spans="1:82" ht="33" customHeight="1" thickBot="1">
      <c r="A507" s="129"/>
      <c r="B507" s="129"/>
      <c r="C507" s="23" t="s">
        <v>38</v>
      </c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0" t="s">
        <v>39</v>
      </c>
      <c r="Q507" s="21"/>
      <c r="R507" s="22"/>
      <c r="S507" s="23" t="s">
        <v>40</v>
      </c>
      <c r="T507" s="24"/>
      <c r="U507" s="24"/>
      <c r="V507" s="24"/>
      <c r="W507" s="24"/>
      <c r="X507" s="24"/>
      <c r="Y507" s="24"/>
      <c r="Z507" s="24"/>
      <c r="AA507" s="24"/>
      <c r="AB507" s="25"/>
      <c r="AC507" s="20" t="s">
        <v>41</v>
      </c>
      <c r="AD507" s="21"/>
      <c r="AE507" s="21"/>
      <c r="AF507" s="21"/>
      <c r="AG507" s="21"/>
      <c r="AH507" s="22"/>
      <c r="AI507" s="2"/>
      <c r="AL507" s="2"/>
      <c r="AM507" s="1"/>
      <c r="BS507" s="3"/>
      <c r="BT507" s="3"/>
      <c r="BU507" s="3"/>
      <c r="BV507" s="3"/>
      <c r="BY507" s="1"/>
      <c r="BZ507" s="1"/>
      <c r="CA507" s="1"/>
      <c r="CB507" s="1"/>
    </row>
    <row r="508" spans="1:82" ht="33" customHeight="1" thickBot="1">
      <c r="A508" s="130">
        <v>1</v>
      </c>
      <c r="B508" s="131">
        <f>B17</f>
        <v>7</v>
      </c>
      <c r="C508" s="132">
        <f>SUM(E11:E17)</f>
        <v>0</v>
      </c>
      <c r="D508" s="133">
        <f>SUM(C11:C17)</f>
        <v>0</v>
      </c>
      <c r="E508" s="132">
        <f>SUM(F11:F17)</f>
        <v>0</v>
      </c>
      <c r="F508" s="133">
        <f>SUM(D11:D17)</f>
        <v>0</v>
      </c>
      <c r="G508" s="134">
        <f>INDEX($G$11:$G$500, MATCH($B508-6, $B$11:$B$500, 0))</f>
        <v>0</v>
      </c>
      <c r="H508" s="134">
        <f>INDEX($H$11:$H$500, MATCH($B508-6, $B$11:$B$500, 0))</f>
        <v>0</v>
      </c>
      <c r="I508" s="134">
        <f t="shared" ref="I508:I571" si="286">LOOKUP(B508,$B$11:$B$500,$H$11:$H$500)</f>
        <v>0</v>
      </c>
      <c r="J508" s="133">
        <f t="shared" ref="J508:J571" si="287">LOOKUP(B508,$B$11:$B$500,$G$11:$G$500)</f>
        <v>0</v>
      </c>
      <c r="K508" s="135" t="e">
        <f>C508/$G508</f>
        <v>#DIV/0!</v>
      </c>
      <c r="L508" s="135" t="e">
        <f>D508/$G508</f>
        <v>#DIV/0!</v>
      </c>
      <c r="M508" s="135" t="e">
        <f>E508/$H508</f>
        <v>#DIV/0!</v>
      </c>
      <c r="N508" s="135" t="e">
        <f>F508/$H508</f>
        <v>#DIV/0!</v>
      </c>
      <c r="O508" s="135">
        <f>[1]CHART!$AG$1</f>
        <v>3.0000000000000001E-3</v>
      </c>
      <c r="P508" s="136">
        <f>SUM(U11:U17)</f>
        <v>0</v>
      </c>
      <c r="Q508" s="137">
        <f>SUM(V11:V17)</f>
        <v>0</v>
      </c>
      <c r="R508" s="138">
        <f>P508+Q508</f>
        <v>0</v>
      </c>
      <c r="S508" s="132">
        <f>SUM(Y11:Y17)</f>
        <v>0</v>
      </c>
      <c r="T508" s="135">
        <f>IFERROR($S508/($H508*7),0)</f>
        <v>0</v>
      </c>
      <c r="U508" s="135">
        <f t="shared" ref="U508:U571" si="288">IFERROR(S508/(I508*7),0)</f>
        <v>0</v>
      </c>
      <c r="V508" s="133">
        <f>SUM(AD11:AD17)</f>
        <v>0</v>
      </c>
      <c r="W508" s="139">
        <f ca="1">IFERROR(SUM(OFFSET($Z$11, (ROW()-508)*7, 0, 7, 1))/S508, 0)</f>
        <v>0</v>
      </c>
      <c r="X508" s="139">
        <f ca="1">IFERROR(SUM(OFFSET($AA$11, (ROW()-508)*7, 0, 7, 1))/S508, 0)</f>
        <v>0</v>
      </c>
      <c r="Y508" s="139">
        <f ca="1">IFERROR(SUM(OFFSET($AB$11, (ROW()-508)*7, 0, 7, 1))/S508, 0)</f>
        <v>0</v>
      </c>
      <c r="Z508" s="139">
        <f ca="1">IFERROR(SUM(OFFSET($AC$11, (ROW()-508)*7, 0, 7, 1))/S508, 0)</f>
        <v>0</v>
      </c>
      <c r="AA508" s="139">
        <f t="shared" ref="AA508:AA571" si="289">IFERROR(V508/S508,0)</f>
        <v>0</v>
      </c>
      <c r="AB508" s="140">
        <f ca="1">IFERROR(AVERAGE(OFFSET($AD$11, (ROW()-508)*7, 0, 7, 1)), 0)</f>
        <v>0</v>
      </c>
      <c r="AC508" s="141">
        <f ca="1">IFERROR(AVERAGE(OFFSET($AL$11, (ROW()-508)*7, 0, 7, 1)),0)</f>
        <v>0</v>
      </c>
      <c r="AD508" s="142"/>
      <c r="AE508" s="141">
        <f ca="1">IFERROR(AVERAGE(OFFSET($AN$11, (ROW()-508)*7, 0, 7, 1)),0)</f>
        <v>0</v>
      </c>
      <c r="AF508" s="142"/>
      <c r="AG508" s="132">
        <v>150</v>
      </c>
      <c r="AH508" s="143">
        <v>115</v>
      </c>
      <c r="AI508" s="2"/>
      <c r="AL508" s="2"/>
      <c r="AM508" s="1"/>
      <c r="BS508" s="3"/>
      <c r="BT508" s="3"/>
      <c r="BU508" s="3"/>
      <c r="BV508" s="3"/>
      <c r="BY508" s="1"/>
      <c r="BZ508" s="1"/>
      <c r="CA508" s="1"/>
      <c r="CB508" s="1"/>
    </row>
    <row r="509" spans="1:82" ht="33" customHeight="1" thickBot="1">
      <c r="A509" s="130">
        <f>A508+1</f>
        <v>2</v>
      </c>
      <c r="B509" s="131">
        <f>B24</f>
        <v>14</v>
      </c>
      <c r="C509" s="132">
        <f>SUM(E18:E24)</f>
        <v>0</v>
      </c>
      <c r="D509" s="133">
        <f>SUM(C18:C24)</f>
        <v>0</v>
      </c>
      <c r="E509" s="132">
        <f>SUM(F18:F24)</f>
        <v>0</v>
      </c>
      <c r="F509" s="133">
        <f>SUM(D18:D24)</f>
        <v>0</v>
      </c>
      <c r="G509" s="134">
        <f t="shared" ref="G509:G572" si="290">INDEX($G$11:$G$500, MATCH($B509-6, $B$11:$B$500, 0))</f>
        <v>0</v>
      </c>
      <c r="H509" s="134">
        <f t="shared" ref="H509:H572" si="291">INDEX($H$11:$H$500, MATCH($B509-6, $B$11:$B$500, 0))</f>
        <v>0</v>
      </c>
      <c r="I509" s="134">
        <f t="shared" si="286"/>
        <v>0</v>
      </c>
      <c r="J509" s="133">
        <f t="shared" si="287"/>
        <v>0</v>
      </c>
      <c r="K509" s="135" t="e">
        <f t="shared" ref="K509:L572" si="292">C509/$G509</f>
        <v>#DIV/0!</v>
      </c>
      <c r="L509" s="135" t="e">
        <f t="shared" si="292"/>
        <v>#DIV/0!</v>
      </c>
      <c r="M509" s="135" t="e">
        <f t="shared" ref="M509:N572" si="293">E509/$H509</f>
        <v>#DIV/0!</v>
      </c>
      <c r="N509" s="135" t="e">
        <f t="shared" si="293"/>
        <v>#DIV/0!</v>
      </c>
      <c r="O509" s="135">
        <f>$O$508</f>
        <v>3.0000000000000001E-3</v>
      </c>
      <c r="P509" s="136">
        <f>SUM(U18:U24)</f>
        <v>0</v>
      </c>
      <c r="Q509" s="137">
        <f>SUM(V18:V24)</f>
        <v>0</v>
      </c>
      <c r="R509" s="138">
        <f t="shared" ref="R509:R572" si="294">P509+Q509</f>
        <v>0</v>
      </c>
      <c r="S509" s="132">
        <f t="shared" ref="S509:S572" si="295">SUM(Y12:Y18)</f>
        <v>0</v>
      </c>
      <c r="T509" s="135">
        <f t="shared" ref="T509:T572" si="296">IFERROR($S509/($H509*7),0)</f>
        <v>0</v>
      </c>
      <c r="U509" s="135">
        <f t="shared" si="288"/>
        <v>0</v>
      </c>
      <c r="V509" s="133">
        <f>SUM(AD18:AD24)</f>
        <v>0</v>
      </c>
      <c r="W509" s="139">
        <f t="shared" ref="W509:W572" ca="1" si="297">IFERROR(SUM(OFFSET($Z$11, (ROW()-508)*7, 0, 7, 1))/S509, 0)</f>
        <v>0</v>
      </c>
      <c r="X509" s="139">
        <f t="shared" ref="X509:X572" ca="1" si="298">IFERROR(SUM(OFFSET($AA$11, (ROW()-508)*7, 0, 7, 1))/S509, 0)</f>
        <v>0</v>
      </c>
      <c r="Y509" s="139">
        <f t="shared" ref="Y509:Y572" ca="1" si="299">IFERROR(SUM(OFFSET($AB$11, (ROW()-508)*7, 0, 7, 1))/S509, 0)</f>
        <v>0</v>
      </c>
      <c r="Z509" s="139">
        <f t="shared" ref="Z509:Z572" ca="1" si="300">IFERROR(SUM(OFFSET($AC$11, (ROW()-508)*7, 0, 7, 1))/S509, 0)</f>
        <v>0</v>
      </c>
      <c r="AA509" s="139">
        <f t="shared" si="289"/>
        <v>0</v>
      </c>
      <c r="AB509" s="140">
        <f t="shared" ref="AB509:AB572" ca="1" si="301">IFERROR(AVERAGE(OFFSET($AB$11, (ROW()-508)*7, 0, 7, 1)), 0)</f>
        <v>0</v>
      </c>
      <c r="AC509" s="141">
        <f t="shared" ref="AC509:AC572" ca="1" si="302">IFERROR(AVERAGE(OFFSET($AL$11, (ROW()-508)*7, 0, 7, 1)),0)</f>
        <v>0</v>
      </c>
      <c r="AD509" s="142">
        <f t="shared" ref="AD509:AD572" ca="1" si="303">IFERROR(AVERAGE(OFFSET($AM$11, (ROW()-508)*7, 0, 7, 1)),0)</f>
        <v>0</v>
      </c>
      <c r="AE509" s="141">
        <f t="shared" ref="AE509:AE572" ca="1" si="304">IFERROR(AVERAGE(OFFSET($AN$11, (ROW()-508)*7, 0, 7, 1)),0)</f>
        <v>0</v>
      </c>
      <c r="AF509" s="142">
        <f t="shared" ref="AF509:AF572" ca="1" si="305">IFERROR(AVERAGE(OFFSET($AO$11, (ROW()-508)*7, 0, 7, 1)),0)</f>
        <v>0</v>
      </c>
      <c r="AG509" s="132">
        <v>320</v>
      </c>
      <c r="AH509" s="143">
        <v>215</v>
      </c>
      <c r="AI509" s="2"/>
      <c r="AL509" s="2"/>
      <c r="AM509" s="1"/>
      <c r="BS509" s="3"/>
      <c r="BT509" s="3"/>
      <c r="BU509" s="3"/>
      <c r="BV509" s="3"/>
      <c r="BY509" s="1"/>
      <c r="BZ509" s="1"/>
      <c r="CA509" s="1"/>
      <c r="CB509" s="1"/>
    </row>
    <row r="510" spans="1:82" ht="33" customHeight="1" thickBot="1">
      <c r="A510" s="130">
        <f t="shared" ref="A510:A573" si="306">A509+1</f>
        <v>3</v>
      </c>
      <c r="B510" s="131">
        <f>B31</f>
        <v>21</v>
      </c>
      <c r="C510" s="132">
        <f>SUM(E25:E31)</f>
        <v>0</v>
      </c>
      <c r="D510" s="133">
        <f>SUM(C25:C31)</f>
        <v>0</v>
      </c>
      <c r="E510" s="132">
        <f>SUM(F25:F31)</f>
        <v>0</v>
      </c>
      <c r="F510" s="133">
        <f>SUM(D25:D31)</f>
        <v>0</v>
      </c>
      <c r="G510" s="134">
        <f t="shared" si="290"/>
        <v>0</v>
      </c>
      <c r="H510" s="134">
        <f t="shared" si="291"/>
        <v>0</v>
      </c>
      <c r="I510" s="134">
        <f t="shared" si="286"/>
        <v>0</v>
      </c>
      <c r="J510" s="133">
        <f t="shared" si="287"/>
        <v>0</v>
      </c>
      <c r="K510" s="135" t="e">
        <f t="shared" si="292"/>
        <v>#DIV/0!</v>
      </c>
      <c r="L510" s="135" t="e">
        <f t="shared" si="292"/>
        <v>#DIV/0!</v>
      </c>
      <c r="M510" s="135" t="e">
        <f t="shared" si="293"/>
        <v>#DIV/0!</v>
      </c>
      <c r="N510" s="135" t="e">
        <f t="shared" si="293"/>
        <v>#DIV/0!</v>
      </c>
      <c r="O510" s="135">
        <f t="shared" ref="O510:O573" si="307">$O$508</f>
        <v>3.0000000000000001E-3</v>
      </c>
      <c r="P510" s="136">
        <f>SUM(U25:U31)</f>
        <v>0</v>
      </c>
      <c r="Q510" s="137">
        <f>SUM(V25:V31)</f>
        <v>0</v>
      </c>
      <c r="R510" s="138">
        <f t="shared" si="294"/>
        <v>0</v>
      </c>
      <c r="S510" s="132">
        <f t="shared" si="295"/>
        <v>0</v>
      </c>
      <c r="T510" s="135">
        <f t="shared" si="296"/>
        <v>0</v>
      </c>
      <c r="U510" s="135">
        <f t="shared" si="288"/>
        <v>0</v>
      </c>
      <c r="V510" s="133">
        <f>SUM(AD25:AD31)</f>
        <v>0</v>
      </c>
      <c r="W510" s="139">
        <f t="shared" ca="1" si="297"/>
        <v>0</v>
      </c>
      <c r="X510" s="139">
        <f t="shared" ca="1" si="298"/>
        <v>0</v>
      </c>
      <c r="Y510" s="139">
        <f t="shared" ca="1" si="299"/>
        <v>0</v>
      </c>
      <c r="Z510" s="139">
        <f t="shared" ca="1" si="300"/>
        <v>0</v>
      </c>
      <c r="AA510" s="139">
        <f t="shared" si="289"/>
        <v>0</v>
      </c>
      <c r="AB510" s="140">
        <f t="shared" ca="1" si="301"/>
        <v>0</v>
      </c>
      <c r="AC510" s="141">
        <f t="shared" ca="1" si="302"/>
        <v>0</v>
      </c>
      <c r="AD510" s="142">
        <f t="shared" ca="1" si="303"/>
        <v>0</v>
      </c>
      <c r="AE510" s="141">
        <f t="shared" ca="1" si="304"/>
        <v>0</v>
      </c>
      <c r="AF510" s="142">
        <f t="shared" ca="1" si="305"/>
        <v>0</v>
      </c>
      <c r="AG510" s="132">
        <v>525</v>
      </c>
      <c r="AH510" s="143">
        <v>345</v>
      </c>
      <c r="AI510" s="2"/>
      <c r="AL510" s="2"/>
      <c r="AM510" s="1"/>
      <c r="BS510" s="3"/>
      <c r="BT510" s="3"/>
      <c r="BU510" s="3"/>
      <c r="BV510" s="3"/>
      <c r="BY510" s="1"/>
      <c r="BZ510" s="1"/>
      <c r="CA510" s="1"/>
      <c r="CB510" s="1"/>
    </row>
    <row r="511" spans="1:82" ht="33" customHeight="1" thickBot="1">
      <c r="A511" s="130">
        <f t="shared" si="306"/>
        <v>4</v>
      </c>
      <c r="B511" s="131">
        <f>B38</f>
        <v>28</v>
      </c>
      <c r="C511" s="132">
        <f>SUM(E32:E38)</f>
        <v>0</v>
      </c>
      <c r="D511" s="133">
        <f>SUM(C32:C38)</f>
        <v>0</v>
      </c>
      <c r="E511" s="132">
        <f>SUM(F32:F38)</f>
        <v>0</v>
      </c>
      <c r="F511" s="133">
        <f>SUM(D32:D38)</f>
        <v>0</v>
      </c>
      <c r="G511" s="134">
        <f t="shared" si="290"/>
        <v>0</v>
      </c>
      <c r="H511" s="134">
        <f t="shared" si="291"/>
        <v>0</v>
      </c>
      <c r="I511" s="134">
        <f t="shared" si="286"/>
        <v>0</v>
      </c>
      <c r="J511" s="133">
        <f t="shared" si="287"/>
        <v>0</v>
      </c>
      <c r="K511" s="135" t="e">
        <f t="shared" si="292"/>
        <v>#DIV/0!</v>
      </c>
      <c r="L511" s="135" t="e">
        <f t="shared" si="292"/>
        <v>#DIV/0!</v>
      </c>
      <c r="M511" s="135" t="e">
        <f t="shared" si="293"/>
        <v>#DIV/0!</v>
      </c>
      <c r="N511" s="135" t="e">
        <f t="shared" si="293"/>
        <v>#DIV/0!</v>
      </c>
      <c r="O511" s="135">
        <f t="shared" si="307"/>
        <v>3.0000000000000001E-3</v>
      </c>
      <c r="P511" s="136">
        <f>SUM(U32:U38)</f>
        <v>0</v>
      </c>
      <c r="Q511" s="137">
        <f>SUM(V32:V38)</f>
        <v>0</v>
      </c>
      <c r="R511" s="138">
        <f t="shared" si="294"/>
        <v>0</v>
      </c>
      <c r="S511" s="132">
        <f t="shared" si="295"/>
        <v>0</v>
      </c>
      <c r="T511" s="135">
        <f t="shared" si="296"/>
        <v>0</v>
      </c>
      <c r="U511" s="135">
        <f t="shared" si="288"/>
        <v>0</v>
      </c>
      <c r="V511" s="133">
        <f>SUM(AD32:AD38)</f>
        <v>0</v>
      </c>
      <c r="W511" s="139">
        <f t="shared" ca="1" si="297"/>
        <v>0</v>
      </c>
      <c r="X511" s="139">
        <f t="shared" ca="1" si="298"/>
        <v>0</v>
      </c>
      <c r="Y511" s="139">
        <f t="shared" ca="1" si="299"/>
        <v>0</v>
      </c>
      <c r="Z511" s="139">
        <f t="shared" ca="1" si="300"/>
        <v>0</v>
      </c>
      <c r="AA511" s="139">
        <f t="shared" si="289"/>
        <v>0</v>
      </c>
      <c r="AB511" s="140">
        <f t="shared" ca="1" si="301"/>
        <v>0</v>
      </c>
      <c r="AC511" s="141">
        <f t="shared" ca="1" si="302"/>
        <v>0</v>
      </c>
      <c r="AD511" s="142">
        <f t="shared" ca="1" si="303"/>
        <v>0</v>
      </c>
      <c r="AE511" s="141">
        <f t="shared" ca="1" si="304"/>
        <v>0</v>
      </c>
      <c r="AF511" s="142">
        <f t="shared" ca="1" si="305"/>
        <v>0</v>
      </c>
      <c r="AG511" s="132">
        <v>755</v>
      </c>
      <c r="AH511" s="143">
        <v>475</v>
      </c>
      <c r="AI511" s="2"/>
      <c r="AL511" s="2"/>
      <c r="AM511" s="1"/>
      <c r="BS511" s="3"/>
      <c r="BT511" s="3"/>
      <c r="BU511" s="3"/>
      <c r="BV511" s="3"/>
      <c r="BY511" s="1"/>
      <c r="BZ511" s="1"/>
      <c r="CA511" s="1"/>
      <c r="CB511" s="1"/>
    </row>
    <row r="512" spans="1:82" ht="33" customHeight="1" thickBot="1">
      <c r="A512" s="130">
        <f t="shared" si="306"/>
        <v>5</v>
      </c>
      <c r="B512" s="131">
        <f>B45</f>
        <v>35</v>
      </c>
      <c r="C512" s="132">
        <f>SUM(E39:E45)</f>
        <v>0</v>
      </c>
      <c r="D512" s="133">
        <f>SUM(C39:C45)</f>
        <v>0</v>
      </c>
      <c r="E512" s="132">
        <f>SUM(F39:F45)</f>
        <v>0</v>
      </c>
      <c r="F512" s="133">
        <f>SUM(D39:D45)</f>
        <v>0</v>
      </c>
      <c r="G512" s="134">
        <f t="shared" si="290"/>
        <v>0</v>
      </c>
      <c r="H512" s="134">
        <f t="shared" si="291"/>
        <v>0</v>
      </c>
      <c r="I512" s="134">
        <f t="shared" si="286"/>
        <v>0</v>
      </c>
      <c r="J512" s="133">
        <f t="shared" si="287"/>
        <v>0</v>
      </c>
      <c r="K512" s="135" t="e">
        <f t="shared" si="292"/>
        <v>#DIV/0!</v>
      </c>
      <c r="L512" s="135" t="e">
        <f t="shared" si="292"/>
        <v>#DIV/0!</v>
      </c>
      <c r="M512" s="135" t="e">
        <f t="shared" si="293"/>
        <v>#DIV/0!</v>
      </c>
      <c r="N512" s="135" t="e">
        <f t="shared" si="293"/>
        <v>#DIV/0!</v>
      </c>
      <c r="O512" s="135">
        <f t="shared" si="307"/>
        <v>3.0000000000000001E-3</v>
      </c>
      <c r="P512" s="136">
        <f>SUM(U39:U45)</f>
        <v>0</v>
      </c>
      <c r="Q512" s="137">
        <f>SUM(V39:V45)</f>
        <v>0</v>
      </c>
      <c r="R512" s="138">
        <f t="shared" si="294"/>
        <v>0</v>
      </c>
      <c r="S512" s="132">
        <f t="shared" si="295"/>
        <v>0</v>
      </c>
      <c r="T512" s="135">
        <f t="shared" si="296"/>
        <v>0</v>
      </c>
      <c r="U512" s="135">
        <f t="shared" si="288"/>
        <v>0</v>
      </c>
      <c r="V512" s="133">
        <f>SUM(AD39:AD45)</f>
        <v>0</v>
      </c>
      <c r="W512" s="139">
        <f t="shared" ca="1" si="297"/>
        <v>0</v>
      </c>
      <c r="X512" s="139">
        <f t="shared" ca="1" si="298"/>
        <v>0</v>
      </c>
      <c r="Y512" s="139">
        <f t="shared" ca="1" si="299"/>
        <v>0</v>
      </c>
      <c r="Z512" s="139">
        <f t="shared" ca="1" si="300"/>
        <v>0</v>
      </c>
      <c r="AA512" s="139">
        <f t="shared" si="289"/>
        <v>0</v>
      </c>
      <c r="AB512" s="140">
        <f t="shared" ca="1" si="301"/>
        <v>0</v>
      </c>
      <c r="AC512" s="141">
        <f t="shared" ca="1" si="302"/>
        <v>0</v>
      </c>
      <c r="AD512" s="142">
        <f t="shared" ca="1" si="303"/>
        <v>0</v>
      </c>
      <c r="AE512" s="141">
        <f t="shared" ca="1" si="304"/>
        <v>0</v>
      </c>
      <c r="AF512" s="142">
        <f t="shared" ca="1" si="305"/>
        <v>0</v>
      </c>
      <c r="AG512" s="132">
        <v>945</v>
      </c>
      <c r="AH512" s="143">
        <v>595</v>
      </c>
      <c r="AI512" s="2"/>
      <c r="AL512" s="2"/>
      <c r="AM512" s="1"/>
      <c r="BS512" s="3"/>
      <c r="BT512" s="3"/>
      <c r="BU512" s="3"/>
      <c r="BV512" s="3"/>
      <c r="BY512" s="1"/>
      <c r="BZ512" s="1"/>
      <c r="CA512" s="1"/>
      <c r="CB512" s="1"/>
    </row>
    <row r="513" spans="1:80" ht="33" customHeight="1" thickBot="1">
      <c r="A513" s="130">
        <f t="shared" si="306"/>
        <v>6</v>
      </c>
      <c r="B513" s="131">
        <f>B52</f>
        <v>42</v>
      </c>
      <c r="C513" s="132">
        <f>SUM(E46:E52)</f>
        <v>0</v>
      </c>
      <c r="D513" s="133">
        <f>SUM(C46:C52)</f>
        <v>0</v>
      </c>
      <c r="E513" s="132">
        <f>SUM(F46:F52)</f>
        <v>0</v>
      </c>
      <c r="F513" s="133">
        <f>SUM(D46:D52)</f>
        <v>0</v>
      </c>
      <c r="G513" s="134">
        <f t="shared" si="290"/>
        <v>0</v>
      </c>
      <c r="H513" s="134">
        <f t="shared" si="291"/>
        <v>0</v>
      </c>
      <c r="I513" s="134">
        <f t="shared" si="286"/>
        <v>0</v>
      </c>
      <c r="J513" s="133">
        <f t="shared" si="287"/>
        <v>0</v>
      </c>
      <c r="K513" s="135" t="e">
        <f t="shared" si="292"/>
        <v>#DIV/0!</v>
      </c>
      <c r="L513" s="135" t="e">
        <f t="shared" si="292"/>
        <v>#DIV/0!</v>
      </c>
      <c r="M513" s="135" t="e">
        <f t="shared" si="293"/>
        <v>#DIV/0!</v>
      </c>
      <c r="N513" s="135" t="e">
        <f t="shared" si="293"/>
        <v>#DIV/0!</v>
      </c>
      <c r="O513" s="135">
        <f t="shared" si="307"/>
        <v>3.0000000000000001E-3</v>
      </c>
      <c r="P513" s="136">
        <f>SUM(U46:U52)</f>
        <v>0</v>
      </c>
      <c r="Q513" s="137">
        <f>SUM(V46:V52)</f>
        <v>0</v>
      </c>
      <c r="R513" s="138">
        <f t="shared" si="294"/>
        <v>0</v>
      </c>
      <c r="S513" s="132">
        <f t="shared" si="295"/>
        <v>0</v>
      </c>
      <c r="T513" s="135">
        <f t="shared" si="296"/>
        <v>0</v>
      </c>
      <c r="U513" s="135">
        <f t="shared" si="288"/>
        <v>0</v>
      </c>
      <c r="V513" s="133">
        <f>SUM(AD46:AD52)</f>
        <v>0</v>
      </c>
      <c r="W513" s="139">
        <f t="shared" ca="1" si="297"/>
        <v>0</v>
      </c>
      <c r="X513" s="139">
        <f t="shared" ca="1" si="298"/>
        <v>0</v>
      </c>
      <c r="Y513" s="139">
        <f t="shared" ca="1" si="299"/>
        <v>0</v>
      </c>
      <c r="Z513" s="139">
        <f t="shared" ca="1" si="300"/>
        <v>0</v>
      </c>
      <c r="AA513" s="139">
        <f t="shared" si="289"/>
        <v>0</v>
      </c>
      <c r="AB513" s="140">
        <f t="shared" ca="1" si="301"/>
        <v>0</v>
      </c>
      <c r="AC513" s="141">
        <f t="shared" ca="1" si="302"/>
        <v>0</v>
      </c>
      <c r="AD513" s="142">
        <f t="shared" ca="1" si="303"/>
        <v>0</v>
      </c>
      <c r="AE513" s="141">
        <f t="shared" ca="1" si="304"/>
        <v>0</v>
      </c>
      <c r="AF513" s="142">
        <f t="shared" ca="1" si="305"/>
        <v>0</v>
      </c>
      <c r="AG513" s="132">
        <v>1130</v>
      </c>
      <c r="AH513" s="143">
        <v>705</v>
      </c>
      <c r="AI513" s="2"/>
      <c r="AL513" s="2"/>
      <c r="AM513" s="1"/>
      <c r="BS513" s="3"/>
      <c r="BT513" s="3"/>
      <c r="BU513" s="3"/>
      <c r="BV513" s="3"/>
      <c r="BY513" s="1"/>
      <c r="BZ513" s="1"/>
      <c r="CA513" s="1"/>
      <c r="CB513" s="1"/>
    </row>
    <row r="514" spans="1:80" ht="33" customHeight="1" thickBot="1">
      <c r="A514" s="130">
        <f t="shared" si="306"/>
        <v>7</v>
      </c>
      <c r="B514" s="131">
        <f>B59</f>
        <v>49</v>
      </c>
      <c r="C514" s="132">
        <f>SUM(E53:E59)</f>
        <v>0</v>
      </c>
      <c r="D514" s="133">
        <f>SUM(C53:C59)</f>
        <v>0</v>
      </c>
      <c r="E514" s="132">
        <f>SUM(F53:F59)</f>
        <v>0</v>
      </c>
      <c r="F514" s="133">
        <f>SUM(D53:D59)</f>
        <v>0</v>
      </c>
      <c r="G514" s="134">
        <f t="shared" si="290"/>
        <v>0</v>
      </c>
      <c r="H514" s="134">
        <f t="shared" si="291"/>
        <v>0</v>
      </c>
      <c r="I514" s="134">
        <f t="shared" si="286"/>
        <v>0</v>
      </c>
      <c r="J514" s="133">
        <f t="shared" si="287"/>
        <v>0</v>
      </c>
      <c r="K514" s="135" t="e">
        <f t="shared" si="292"/>
        <v>#DIV/0!</v>
      </c>
      <c r="L514" s="135" t="e">
        <f t="shared" si="292"/>
        <v>#DIV/0!</v>
      </c>
      <c r="M514" s="135" t="e">
        <f t="shared" si="293"/>
        <v>#DIV/0!</v>
      </c>
      <c r="N514" s="135" t="e">
        <f t="shared" si="293"/>
        <v>#DIV/0!</v>
      </c>
      <c r="O514" s="135">
        <f t="shared" si="307"/>
        <v>3.0000000000000001E-3</v>
      </c>
      <c r="P514" s="136">
        <f>SUM(U53:U59)</f>
        <v>0</v>
      </c>
      <c r="Q514" s="137">
        <f>SUM(V53:V59)</f>
        <v>0</v>
      </c>
      <c r="R514" s="138">
        <f t="shared" si="294"/>
        <v>0</v>
      </c>
      <c r="S514" s="132">
        <f t="shared" si="295"/>
        <v>0</v>
      </c>
      <c r="T514" s="135">
        <f t="shared" si="296"/>
        <v>0</v>
      </c>
      <c r="U514" s="135">
        <f t="shared" si="288"/>
        <v>0</v>
      </c>
      <c r="V514" s="133">
        <f>SUM(AD53:AD59)</f>
        <v>0</v>
      </c>
      <c r="W514" s="139">
        <f t="shared" ca="1" si="297"/>
        <v>0</v>
      </c>
      <c r="X514" s="139">
        <f t="shared" ca="1" si="298"/>
        <v>0</v>
      </c>
      <c r="Y514" s="139">
        <f t="shared" ca="1" si="299"/>
        <v>0</v>
      </c>
      <c r="Z514" s="139">
        <f t="shared" ca="1" si="300"/>
        <v>0</v>
      </c>
      <c r="AA514" s="139">
        <f t="shared" si="289"/>
        <v>0</v>
      </c>
      <c r="AB514" s="140">
        <f t="shared" ca="1" si="301"/>
        <v>0</v>
      </c>
      <c r="AC514" s="141">
        <f t="shared" ca="1" si="302"/>
        <v>0</v>
      </c>
      <c r="AD514" s="142">
        <f t="shared" ca="1" si="303"/>
        <v>0</v>
      </c>
      <c r="AE514" s="141">
        <f t="shared" ca="1" si="304"/>
        <v>0</v>
      </c>
      <c r="AF514" s="142">
        <f t="shared" ca="1" si="305"/>
        <v>0</v>
      </c>
      <c r="AG514" s="132">
        <v>1280</v>
      </c>
      <c r="AH514" s="143">
        <v>805</v>
      </c>
      <c r="AI514" s="2"/>
      <c r="AL514" s="2"/>
      <c r="AM514" s="1"/>
      <c r="BS514" s="3"/>
      <c r="BT514" s="3"/>
      <c r="BU514" s="3"/>
      <c r="BV514" s="3"/>
      <c r="BY514" s="1"/>
      <c r="BZ514" s="1"/>
      <c r="CA514" s="1"/>
      <c r="CB514" s="1"/>
    </row>
    <row r="515" spans="1:80" ht="33" customHeight="1" thickBot="1">
      <c r="A515" s="130">
        <f t="shared" si="306"/>
        <v>8</v>
      </c>
      <c r="B515" s="131">
        <f>B66</f>
        <v>56</v>
      </c>
      <c r="C515" s="132">
        <f>SUM(E60:E66)</f>
        <v>0</v>
      </c>
      <c r="D515" s="133">
        <f>SUM(C60:C66)</f>
        <v>0</v>
      </c>
      <c r="E515" s="132">
        <f>SUM(F60:F66)</f>
        <v>0</v>
      </c>
      <c r="F515" s="133">
        <f>SUM(D60:D66)</f>
        <v>0</v>
      </c>
      <c r="G515" s="134">
        <f t="shared" si="290"/>
        <v>0</v>
      </c>
      <c r="H515" s="134">
        <f t="shared" si="291"/>
        <v>0</v>
      </c>
      <c r="I515" s="134">
        <f t="shared" si="286"/>
        <v>0</v>
      </c>
      <c r="J515" s="133">
        <f t="shared" si="287"/>
        <v>0</v>
      </c>
      <c r="K515" s="135" t="e">
        <f t="shared" si="292"/>
        <v>#DIV/0!</v>
      </c>
      <c r="L515" s="135" t="e">
        <f t="shared" si="292"/>
        <v>#DIV/0!</v>
      </c>
      <c r="M515" s="135" t="e">
        <f t="shared" si="293"/>
        <v>#DIV/0!</v>
      </c>
      <c r="N515" s="135" t="e">
        <f t="shared" si="293"/>
        <v>#DIV/0!</v>
      </c>
      <c r="O515" s="135">
        <f t="shared" si="307"/>
        <v>3.0000000000000001E-3</v>
      </c>
      <c r="P515" s="136">
        <f>SUM(U60:U66)</f>
        <v>0</v>
      </c>
      <c r="Q515" s="137">
        <f>SUM(V60:V66)</f>
        <v>0</v>
      </c>
      <c r="R515" s="138">
        <f t="shared" si="294"/>
        <v>0</v>
      </c>
      <c r="S515" s="132">
        <f t="shared" si="295"/>
        <v>0</v>
      </c>
      <c r="T515" s="135">
        <f t="shared" si="296"/>
        <v>0</v>
      </c>
      <c r="U515" s="135">
        <f t="shared" si="288"/>
        <v>0</v>
      </c>
      <c r="V515" s="133">
        <f>SUM(AD60:AD66)</f>
        <v>0</v>
      </c>
      <c r="W515" s="139">
        <f t="shared" ca="1" si="297"/>
        <v>0</v>
      </c>
      <c r="X515" s="139">
        <f t="shared" ca="1" si="298"/>
        <v>0</v>
      </c>
      <c r="Y515" s="139">
        <f t="shared" ca="1" si="299"/>
        <v>0</v>
      </c>
      <c r="Z515" s="139">
        <f t="shared" ca="1" si="300"/>
        <v>0</v>
      </c>
      <c r="AA515" s="139">
        <f t="shared" si="289"/>
        <v>0</v>
      </c>
      <c r="AB515" s="140">
        <f t="shared" ca="1" si="301"/>
        <v>0</v>
      </c>
      <c r="AC515" s="141">
        <f t="shared" ca="1" si="302"/>
        <v>0</v>
      </c>
      <c r="AD515" s="142">
        <f t="shared" ca="1" si="303"/>
        <v>0</v>
      </c>
      <c r="AE515" s="141">
        <f t="shared" ca="1" si="304"/>
        <v>0</v>
      </c>
      <c r="AF515" s="142">
        <f t="shared" ca="1" si="305"/>
        <v>0</v>
      </c>
      <c r="AG515" s="132">
        <v>1420</v>
      </c>
      <c r="AH515" s="143">
        <v>905</v>
      </c>
      <c r="AI515" s="2"/>
      <c r="AL515" s="2"/>
      <c r="AM515" s="1"/>
      <c r="BS515" s="3"/>
      <c r="BT515" s="3"/>
      <c r="BU515" s="3"/>
      <c r="BV515" s="3"/>
      <c r="BY515" s="1"/>
      <c r="BZ515" s="1"/>
      <c r="CA515" s="1"/>
      <c r="CB515" s="1"/>
    </row>
    <row r="516" spans="1:80" ht="33" customHeight="1" thickBot="1">
      <c r="A516" s="130">
        <f t="shared" si="306"/>
        <v>9</v>
      </c>
      <c r="B516" s="131">
        <f>B73</f>
        <v>63</v>
      </c>
      <c r="C516" s="132">
        <f>SUM(E67:E73)</f>
        <v>0</v>
      </c>
      <c r="D516" s="133">
        <f>SUM(C67:C73)</f>
        <v>0</v>
      </c>
      <c r="E516" s="132">
        <f>SUM(F67:F73)</f>
        <v>0</v>
      </c>
      <c r="F516" s="133">
        <f>SUM(D67:D73)</f>
        <v>0</v>
      </c>
      <c r="G516" s="134">
        <f t="shared" si="290"/>
        <v>0</v>
      </c>
      <c r="H516" s="134">
        <f t="shared" si="291"/>
        <v>0</v>
      </c>
      <c r="I516" s="134">
        <f t="shared" si="286"/>
        <v>0</v>
      </c>
      <c r="J516" s="133">
        <f t="shared" si="287"/>
        <v>0</v>
      </c>
      <c r="K516" s="135" t="e">
        <f t="shared" si="292"/>
        <v>#DIV/0!</v>
      </c>
      <c r="L516" s="135" t="e">
        <f t="shared" si="292"/>
        <v>#DIV/0!</v>
      </c>
      <c r="M516" s="135" t="e">
        <f t="shared" si="293"/>
        <v>#DIV/0!</v>
      </c>
      <c r="N516" s="135" t="e">
        <f t="shared" si="293"/>
        <v>#DIV/0!</v>
      </c>
      <c r="O516" s="135">
        <f t="shared" si="307"/>
        <v>3.0000000000000001E-3</v>
      </c>
      <c r="P516" s="136">
        <f>SUM(U67:U73)</f>
        <v>0</v>
      </c>
      <c r="Q516" s="137">
        <f>SUM(V67:V73)</f>
        <v>0</v>
      </c>
      <c r="R516" s="138">
        <f t="shared" si="294"/>
        <v>0</v>
      </c>
      <c r="S516" s="132">
        <f t="shared" si="295"/>
        <v>0</v>
      </c>
      <c r="T516" s="135">
        <f t="shared" si="296"/>
        <v>0</v>
      </c>
      <c r="U516" s="135">
        <f t="shared" si="288"/>
        <v>0</v>
      </c>
      <c r="V516" s="133">
        <f>SUM(AD67:AD73)</f>
        <v>0</v>
      </c>
      <c r="W516" s="139">
        <f t="shared" ca="1" si="297"/>
        <v>0</v>
      </c>
      <c r="X516" s="139">
        <f t="shared" ca="1" si="298"/>
        <v>0</v>
      </c>
      <c r="Y516" s="139">
        <f t="shared" ca="1" si="299"/>
        <v>0</v>
      </c>
      <c r="Z516" s="139">
        <f t="shared" ca="1" si="300"/>
        <v>0</v>
      </c>
      <c r="AA516" s="139">
        <f t="shared" si="289"/>
        <v>0</v>
      </c>
      <c r="AB516" s="140">
        <f t="shared" ca="1" si="301"/>
        <v>0</v>
      </c>
      <c r="AC516" s="141">
        <f t="shared" ca="1" si="302"/>
        <v>0</v>
      </c>
      <c r="AD516" s="142">
        <f t="shared" ca="1" si="303"/>
        <v>0</v>
      </c>
      <c r="AE516" s="141">
        <f t="shared" ca="1" si="304"/>
        <v>0</v>
      </c>
      <c r="AF516" s="142">
        <f t="shared" ca="1" si="305"/>
        <v>0</v>
      </c>
      <c r="AG516" s="132">
        <v>1545</v>
      </c>
      <c r="AH516" s="143">
        <v>1005</v>
      </c>
      <c r="AI516" s="2"/>
      <c r="AL516" s="2"/>
      <c r="AM516" s="1"/>
      <c r="BS516" s="3"/>
      <c r="BT516" s="3"/>
      <c r="BU516" s="3"/>
      <c r="BV516" s="3"/>
      <c r="BY516" s="1"/>
      <c r="BZ516" s="1"/>
      <c r="CA516" s="1"/>
      <c r="CB516" s="1"/>
    </row>
    <row r="517" spans="1:80" ht="33" customHeight="1" thickBot="1">
      <c r="A517" s="130">
        <f t="shared" si="306"/>
        <v>10</v>
      </c>
      <c r="B517" s="131">
        <f>B80</f>
        <v>70</v>
      </c>
      <c r="C517" s="132">
        <f>SUM(E74:E80)</f>
        <v>0</v>
      </c>
      <c r="D517" s="133">
        <f>SUM(C74:C80)</f>
        <v>0</v>
      </c>
      <c r="E517" s="132">
        <f>SUM(F74:F80)</f>
        <v>0</v>
      </c>
      <c r="F517" s="133">
        <f>SUM(D74:D80)</f>
        <v>0</v>
      </c>
      <c r="G517" s="134">
        <f t="shared" si="290"/>
        <v>0</v>
      </c>
      <c r="H517" s="134">
        <f t="shared" si="291"/>
        <v>0</v>
      </c>
      <c r="I517" s="134">
        <f t="shared" si="286"/>
        <v>0</v>
      </c>
      <c r="J517" s="133">
        <f t="shared" si="287"/>
        <v>0</v>
      </c>
      <c r="K517" s="135" t="e">
        <f t="shared" si="292"/>
        <v>#DIV/0!</v>
      </c>
      <c r="L517" s="135" t="e">
        <f t="shared" si="292"/>
        <v>#DIV/0!</v>
      </c>
      <c r="M517" s="135" t="e">
        <f t="shared" si="293"/>
        <v>#DIV/0!</v>
      </c>
      <c r="N517" s="135" t="e">
        <f t="shared" si="293"/>
        <v>#DIV/0!</v>
      </c>
      <c r="O517" s="135">
        <f t="shared" si="307"/>
        <v>3.0000000000000001E-3</v>
      </c>
      <c r="P517" s="136">
        <f>SUM(U74:U80)</f>
        <v>0</v>
      </c>
      <c r="Q517" s="137">
        <f>SUM(V74:V80)</f>
        <v>0</v>
      </c>
      <c r="R517" s="138">
        <f t="shared" si="294"/>
        <v>0</v>
      </c>
      <c r="S517" s="132">
        <f t="shared" si="295"/>
        <v>0</v>
      </c>
      <c r="T517" s="135">
        <f t="shared" si="296"/>
        <v>0</v>
      </c>
      <c r="U517" s="135">
        <f t="shared" si="288"/>
        <v>0</v>
      </c>
      <c r="V517" s="133">
        <f>SUM(AD74:AD80)</f>
        <v>0</v>
      </c>
      <c r="W517" s="139">
        <f t="shared" ca="1" si="297"/>
        <v>0</v>
      </c>
      <c r="X517" s="139">
        <f t="shared" ca="1" si="298"/>
        <v>0</v>
      </c>
      <c r="Y517" s="139">
        <f t="shared" ca="1" si="299"/>
        <v>0</v>
      </c>
      <c r="Z517" s="139">
        <f t="shared" ca="1" si="300"/>
        <v>0</v>
      </c>
      <c r="AA517" s="139">
        <f t="shared" si="289"/>
        <v>0</v>
      </c>
      <c r="AB517" s="140">
        <f t="shared" ca="1" si="301"/>
        <v>0</v>
      </c>
      <c r="AC517" s="141">
        <f t="shared" ca="1" si="302"/>
        <v>0</v>
      </c>
      <c r="AD517" s="142">
        <f t="shared" ca="1" si="303"/>
        <v>0</v>
      </c>
      <c r="AE517" s="141">
        <f t="shared" ca="1" si="304"/>
        <v>0</v>
      </c>
      <c r="AF517" s="142">
        <f t="shared" ca="1" si="305"/>
        <v>0</v>
      </c>
      <c r="AG517" s="132">
        <v>1670</v>
      </c>
      <c r="AH517" s="143">
        <v>1105</v>
      </c>
      <c r="AI517" s="2"/>
      <c r="AL517" s="2"/>
      <c r="AM517" s="1"/>
      <c r="BS517" s="3"/>
      <c r="BT517" s="3"/>
      <c r="BU517" s="3"/>
      <c r="BV517" s="3"/>
      <c r="BY517" s="1"/>
      <c r="BZ517" s="1"/>
      <c r="CA517" s="1"/>
      <c r="CB517" s="1"/>
    </row>
    <row r="518" spans="1:80" ht="33" customHeight="1" thickBot="1">
      <c r="A518" s="130">
        <f t="shared" si="306"/>
        <v>11</v>
      </c>
      <c r="B518" s="131">
        <f>B87</f>
        <v>77</v>
      </c>
      <c r="C518" s="132">
        <f>SUM(E81:E87)</f>
        <v>0</v>
      </c>
      <c r="D518" s="133">
        <f>SUM(C81:C87)</f>
        <v>0</v>
      </c>
      <c r="E518" s="132">
        <f>SUM(F81:F87)</f>
        <v>0</v>
      </c>
      <c r="F518" s="133">
        <f>SUM(D81:D87)</f>
        <v>0</v>
      </c>
      <c r="G518" s="134">
        <f t="shared" si="290"/>
        <v>0</v>
      </c>
      <c r="H518" s="134">
        <f t="shared" si="291"/>
        <v>0</v>
      </c>
      <c r="I518" s="134">
        <f t="shared" si="286"/>
        <v>0</v>
      </c>
      <c r="J518" s="133">
        <f t="shared" si="287"/>
        <v>0</v>
      </c>
      <c r="K518" s="135" t="e">
        <f t="shared" si="292"/>
        <v>#DIV/0!</v>
      </c>
      <c r="L518" s="135" t="e">
        <f t="shared" si="292"/>
        <v>#DIV/0!</v>
      </c>
      <c r="M518" s="135" t="e">
        <f t="shared" si="293"/>
        <v>#DIV/0!</v>
      </c>
      <c r="N518" s="135" t="e">
        <f t="shared" si="293"/>
        <v>#DIV/0!</v>
      </c>
      <c r="O518" s="135">
        <f t="shared" si="307"/>
        <v>3.0000000000000001E-3</v>
      </c>
      <c r="P518" s="136">
        <f>SUM(U81:U87)</f>
        <v>0</v>
      </c>
      <c r="Q518" s="137">
        <f>SUM(V81:V87)</f>
        <v>0</v>
      </c>
      <c r="R518" s="138">
        <f t="shared" si="294"/>
        <v>0</v>
      </c>
      <c r="S518" s="132">
        <f t="shared" si="295"/>
        <v>0</v>
      </c>
      <c r="T518" s="135">
        <f t="shared" si="296"/>
        <v>0</v>
      </c>
      <c r="U518" s="135">
        <f t="shared" si="288"/>
        <v>0</v>
      </c>
      <c r="V518" s="133">
        <f>SUM(AD81:AD87)</f>
        <v>0</v>
      </c>
      <c r="W518" s="139">
        <f t="shared" ca="1" si="297"/>
        <v>0</v>
      </c>
      <c r="X518" s="139">
        <f t="shared" ca="1" si="298"/>
        <v>0</v>
      </c>
      <c r="Y518" s="139">
        <f t="shared" ca="1" si="299"/>
        <v>0</v>
      </c>
      <c r="Z518" s="139">
        <f t="shared" ca="1" si="300"/>
        <v>0</v>
      </c>
      <c r="AA518" s="139">
        <f t="shared" si="289"/>
        <v>0</v>
      </c>
      <c r="AB518" s="140">
        <f t="shared" ca="1" si="301"/>
        <v>0</v>
      </c>
      <c r="AC518" s="141">
        <f t="shared" ca="1" si="302"/>
        <v>0</v>
      </c>
      <c r="AD518" s="142">
        <f t="shared" ca="1" si="303"/>
        <v>0</v>
      </c>
      <c r="AE518" s="141">
        <f t="shared" ca="1" si="304"/>
        <v>0</v>
      </c>
      <c r="AF518" s="142">
        <f t="shared" ca="1" si="305"/>
        <v>0</v>
      </c>
      <c r="AG518" s="132">
        <v>1795</v>
      </c>
      <c r="AH518" s="143">
        <v>1205</v>
      </c>
      <c r="AI518" s="2"/>
      <c r="AL518" s="2"/>
      <c r="AM518" s="1"/>
      <c r="BS518" s="3"/>
      <c r="BT518" s="3"/>
      <c r="BU518" s="3"/>
      <c r="BV518" s="3"/>
      <c r="BY518" s="1"/>
      <c r="BZ518" s="1"/>
      <c r="CA518" s="1"/>
      <c r="CB518" s="1"/>
    </row>
    <row r="519" spans="1:80" ht="33" customHeight="1" thickBot="1">
      <c r="A519" s="130">
        <f t="shared" si="306"/>
        <v>12</v>
      </c>
      <c r="B519" s="131">
        <f>B94</f>
        <v>84</v>
      </c>
      <c r="C519" s="132">
        <f>SUM(E88:E94)</f>
        <v>0</v>
      </c>
      <c r="D519" s="133">
        <f>SUM(C88:C94)</f>
        <v>0</v>
      </c>
      <c r="E519" s="132">
        <f>SUM(F88:F94)</f>
        <v>0</v>
      </c>
      <c r="F519" s="133">
        <f>SUM(D88:D94)</f>
        <v>0</v>
      </c>
      <c r="G519" s="134">
        <f t="shared" si="290"/>
        <v>0</v>
      </c>
      <c r="H519" s="134">
        <f t="shared" si="291"/>
        <v>0</v>
      </c>
      <c r="I519" s="134">
        <f t="shared" si="286"/>
        <v>0</v>
      </c>
      <c r="J519" s="133">
        <f t="shared" si="287"/>
        <v>0</v>
      </c>
      <c r="K519" s="135" t="e">
        <f t="shared" si="292"/>
        <v>#DIV/0!</v>
      </c>
      <c r="L519" s="135" t="e">
        <f t="shared" si="292"/>
        <v>#DIV/0!</v>
      </c>
      <c r="M519" s="135" t="e">
        <f t="shared" si="293"/>
        <v>#DIV/0!</v>
      </c>
      <c r="N519" s="135" t="e">
        <f t="shared" si="293"/>
        <v>#DIV/0!</v>
      </c>
      <c r="O519" s="135">
        <f t="shared" si="307"/>
        <v>3.0000000000000001E-3</v>
      </c>
      <c r="P519" s="136">
        <f>SUM(U88:U94)</f>
        <v>0</v>
      </c>
      <c r="Q519" s="137">
        <f>SUM(V88:V94)</f>
        <v>0</v>
      </c>
      <c r="R519" s="138">
        <f t="shared" si="294"/>
        <v>0</v>
      </c>
      <c r="S519" s="132">
        <f t="shared" si="295"/>
        <v>0</v>
      </c>
      <c r="T519" s="135">
        <f t="shared" si="296"/>
        <v>0</v>
      </c>
      <c r="U519" s="135">
        <f t="shared" si="288"/>
        <v>0</v>
      </c>
      <c r="V519" s="133">
        <f>SUM(AD88:AD94)</f>
        <v>0</v>
      </c>
      <c r="W519" s="139">
        <f t="shared" ca="1" si="297"/>
        <v>0</v>
      </c>
      <c r="X519" s="139">
        <f t="shared" ca="1" si="298"/>
        <v>0</v>
      </c>
      <c r="Y519" s="139">
        <f t="shared" ca="1" si="299"/>
        <v>0</v>
      </c>
      <c r="Z519" s="139">
        <f t="shared" ca="1" si="300"/>
        <v>0</v>
      </c>
      <c r="AA519" s="139">
        <f t="shared" si="289"/>
        <v>0</v>
      </c>
      <c r="AB519" s="140">
        <f t="shared" ca="1" si="301"/>
        <v>0</v>
      </c>
      <c r="AC519" s="141">
        <f t="shared" ca="1" si="302"/>
        <v>0</v>
      </c>
      <c r="AD519" s="142">
        <f t="shared" ca="1" si="303"/>
        <v>0</v>
      </c>
      <c r="AE519" s="141">
        <f t="shared" ca="1" si="304"/>
        <v>0</v>
      </c>
      <c r="AF519" s="142">
        <f t="shared" ca="1" si="305"/>
        <v>0</v>
      </c>
      <c r="AG519" s="132">
        <v>1920</v>
      </c>
      <c r="AH519" s="143">
        <v>1305</v>
      </c>
      <c r="AI519" s="2"/>
      <c r="AL519" s="2"/>
      <c r="AM519" s="1"/>
      <c r="BS519" s="3"/>
      <c r="BT519" s="3"/>
      <c r="BU519" s="3"/>
      <c r="BV519" s="3"/>
      <c r="BY519" s="1"/>
      <c r="BZ519" s="1"/>
      <c r="CA519" s="1"/>
      <c r="CB519" s="1"/>
    </row>
    <row r="520" spans="1:80" ht="33" customHeight="1" thickBot="1">
      <c r="A520" s="130">
        <f t="shared" si="306"/>
        <v>13</v>
      </c>
      <c r="B520" s="131">
        <f>B101</f>
        <v>91</v>
      </c>
      <c r="C520" s="132">
        <f>SUM(E95:E101)</f>
        <v>0</v>
      </c>
      <c r="D520" s="133">
        <f>SUM(C95:C101)</f>
        <v>0</v>
      </c>
      <c r="E520" s="132">
        <f>SUM(F95:F101)</f>
        <v>0</v>
      </c>
      <c r="F520" s="133">
        <f>SUM(D95:D101)</f>
        <v>0</v>
      </c>
      <c r="G520" s="134">
        <f t="shared" si="290"/>
        <v>0</v>
      </c>
      <c r="H520" s="134">
        <f t="shared" si="291"/>
        <v>0</v>
      </c>
      <c r="I520" s="134">
        <f t="shared" si="286"/>
        <v>0</v>
      </c>
      <c r="J520" s="133">
        <f t="shared" si="287"/>
        <v>0</v>
      </c>
      <c r="K520" s="135" t="e">
        <f t="shared" si="292"/>
        <v>#DIV/0!</v>
      </c>
      <c r="L520" s="135" t="e">
        <f t="shared" si="292"/>
        <v>#DIV/0!</v>
      </c>
      <c r="M520" s="135" t="e">
        <f t="shared" si="293"/>
        <v>#DIV/0!</v>
      </c>
      <c r="N520" s="135" t="e">
        <f t="shared" si="293"/>
        <v>#DIV/0!</v>
      </c>
      <c r="O520" s="135">
        <f t="shared" si="307"/>
        <v>3.0000000000000001E-3</v>
      </c>
      <c r="P520" s="136">
        <f>SUM(U95:U101)</f>
        <v>0</v>
      </c>
      <c r="Q520" s="137">
        <f>SUM(V95:V101)</f>
        <v>0</v>
      </c>
      <c r="R520" s="138">
        <f t="shared" si="294"/>
        <v>0</v>
      </c>
      <c r="S520" s="132">
        <f t="shared" si="295"/>
        <v>0</v>
      </c>
      <c r="T520" s="135">
        <f t="shared" si="296"/>
        <v>0</v>
      </c>
      <c r="U520" s="135">
        <f t="shared" si="288"/>
        <v>0</v>
      </c>
      <c r="V520" s="133">
        <f>SUM(AD95:AD101)</f>
        <v>0</v>
      </c>
      <c r="W520" s="139">
        <f t="shared" ca="1" si="297"/>
        <v>0</v>
      </c>
      <c r="X520" s="139">
        <f t="shared" ca="1" si="298"/>
        <v>0</v>
      </c>
      <c r="Y520" s="139">
        <f t="shared" ca="1" si="299"/>
        <v>0</v>
      </c>
      <c r="Z520" s="139">
        <f t="shared" ca="1" si="300"/>
        <v>0</v>
      </c>
      <c r="AA520" s="139">
        <f t="shared" si="289"/>
        <v>0</v>
      </c>
      <c r="AB520" s="140">
        <f t="shared" ca="1" si="301"/>
        <v>0</v>
      </c>
      <c r="AC520" s="141">
        <f t="shared" ca="1" si="302"/>
        <v>0</v>
      </c>
      <c r="AD520" s="142">
        <f t="shared" ca="1" si="303"/>
        <v>0</v>
      </c>
      <c r="AE520" s="141">
        <f t="shared" ca="1" si="304"/>
        <v>0</v>
      </c>
      <c r="AF520" s="142">
        <f t="shared" ca="1" si="305"/>
        <v>0</v>
      </c>
      <c r="AG520" s="132">
        <v>2045</v>
      </c>
      <c r="AH520" s="143">
        <v>1405</v>
      </c>
      <c r="AI520" s="2"/>
      <c r="AL520" s="2"/>
      <c r="AM520" s="1"/>
      <c r="BS520" s="3"/>
      <c r="BT520" s="3"/>
      <c r="BU520" s="3"/>
      <c r="BV520" s="3"/>
      <c r="BY520" s="1"/>
      <c r="BZ520" s="1"/>
      <c r="CA520" s="1"/>
      <c r="CB520" s="1"/>
    </row>
    <row r="521" spans="1:80" ht="33" customHeight="1" thickBot="1">
      <c r="A521" s="130">
        <f t="shared" si="306"/>
        <v>14</v>
      </c>
      <c r="B521" s="131">
        <f>B108</f>
        <v>98</v>
      </c>
      <c r="C521" s="132">
        <f>SUM(E102:E108)</f>
        <v>0</v>
      </c>
      <c r="D521" s="133">
        <f>SUM(C102:C108)</f>
        <v>0</v>
      </c>
      <c r="E521" s="132">
        <f>SUM(F102:F108)</f>
        <v>0</v>
      </c>
      <c r="F521" s="133">
        <f>SUM(D102:D108)</f>
        <v>0</v>
      </c>
      <c r="G521" s="134">
        <f t="shared" si="290"/>
        <v>0</v>
      </c>
      <c r="H521" s="134">
        <f t="shared" si="291"/>
        <v>0</v>
      </c>
      <c r="I521" s="134">
        <f t="shared" si="286"/>
        <v>0</v>
      </c>
      <c r="J521" s="133">
        <f t="shared" si="287"/>
        <v>0</v>
      </c>
      <c r="K521" s="135" t="e">
        <f t="shared" si="292"/>
        <v>#DIV/0!</v>
      </c>
      <c r="L521" s="135" t="e">
        <f t="shared" si="292"/>
        <v>#DIV/0!</v>
      </c>
      <c r="M521" s="135" t="e">
        <f t="shared" si="293"/>
        <v>#DIV/0!</v>
      </c>
      <c r="N521" s="135" t="e">
        <f t="shared" si="293"/>
        <v>#DIV/0!</v>
      </c>
      <c r="O521" s="135">
        <f t="shared" si="307"/>
        <v>3.0000000000000001E-3</v>
      </c>
      <c r="P521" s="136">
        <f>SUM(U102:U108)</f>
        <v>0</v>
      </c>
      <c r="Q521" s="137">
        <f>SUM(V102:V108)</f>
        <v>0</v>
      </c>
      <c r="R521" s="138">
        <f t="shared" si="294"/>
        <v>0</v>
      </c>
      <c r="S521" s="132">
        <f t="shared" si="295"/>
        <v>0</v>
      </c>
      <c r="T521" s="135">
        <f t="shared" si="296"/>
        <v>0</v>
      </c>
      <c r="U521" s="135">
        <f t="shared" si="288"/>
        <v>0</v>
      </c>
      <c r="V521" s="133">
        <f>SUM(AD102:AD108)</f>
        <v>0</v>
      </c>
      <c r="W521" s="139">
        <f t="shared" ca="1" si="297"/>
        <v>0</v>
      </c>
      <c r="X521" s="139">
        <f t="shared" ca="1" si="298"/>
        <v>0</v>
      </c>
      <c r="Y521" s="139">
        <f t="shared" ca="1" si="299"/>
        <v>0</v>
      </c>
      <c r="Z521" s="139">
        <f t="shared" ca="1" si="300"/>
        <v>0</v>
      </c>
      <c r="AA521" s="139">
        <f t="shared" si="289"/>
        <v>0</v>
      </c>
      <c r="AB521" s="140">
        <f t="shared" ca="1" si="301"/>
        <v>0</v>
      </c>
      <c r="AC521" s="141">
        <f t="shared" ca="1" si="302"/>
        <v>0</v>
      </c>
      <c r="AD521" s="142">
        <f t="shared" ca="1" si="303"/>
        <v>0</v>
      </c>
      <c r="AE521" s="141">
        <f t="shared" ca="1" si="304"/>
        <v>0</v>
      </c>
      <c r="AF521" s="142">
        <f t="shared" ca="1" si="305"/>
        <v>0</v>
      </c>
      <c r="AG521" s="132">
        <v>2170</v>
      </c>
      <c r="AH521" s="143">
        <v>1505</v>
      </c>
      <c r="AI521" s="2"/>
      <c r="AL521" s="2"/>
      <c r="AM521" s="1"/>
      <c r="BS521" s="3"/>
      <c r="BT521" s="3"/>
      <c r="BU521" s="3"/>
      <c r="BV521" s="3"/>
      <c r="BY521" s="1"/>
      <c r="BZ521" s="1"/>
      <c r="CA521" s="1"/>
      <c r="CB521" s="1"/>
    </row>
    <row r="522" spans="1:80" ht="33" customHeight="1" thickBot="1">
      <c r="A522" s="130">
        <f t="shared" si="306"/>
        <v>15</v>
      </c>
      <c r="B522" s="131">
        <f>B115</f>
        <v>105</v>
      </c>
      <c r="C522" s="132">
        <f>SUM(E109:E115)</f>
        <v>0</v>
      </c>
      <c r="D522" s="133">
        <f>SUM(C109:C115)</f>
        <v>0</v>
      </c>
      <c r="E522" s="132">
        <f>SUM(F109:F115)</f>
        <v>0</v>
      </c>
      <c r="F522" s="133">
        <f>SUM(D109:D115)</f>
        <v>0</v>
      </c>
      <c r="G522" s="134">
        <f t="shared" si="290"/>
        <v>0</v>
      </c>
      <c r="H522" s="134">
        <f t="shared" si="291"/>
        <v>0</v>
      </c>
      <c r="I522" s="134">
        <f t="shared" si="286"/>
        <v>0</v>
      </c>
      <c r="J522" s="133">
        <f t="shared" si="287"/>
        <v>0</v>
      </c>
      <c r="K522" s="135" t="e">
        <f t="shared" si="292"/>
        <v>#DIV/0!</v>
      </c>
      <c r="L522" s="135" t="e">
        <f t="shared" si="292"/>
        <v>#DIV/0!</v>
      </c>
      <c r="M522" s="135" t="e">
        <f t="shared" si="293"/>
        <v>#DIV/0!</v>
      </c>
      <c r="N522" s="135" t="e">
        <f t="shared" si="293"/>
        <v>#DIV/0!</v>
      </c>
      <c r="O522" s="135">
        <f t="shared" si="307"/>
        <v>3.0000000000000001E-3</v>
      </c>
      <c r="P522" s="136">
        <f>SUM(U109:U115)</f>
        <v>0</v>
      </c>
      <c r="Q522" s="137">
        <f>SUM(V109:V115)</f>
        <v>0</v>
      </c>
      <c r="R522" s="138">
        <f t="shared" si="294"/>
        <v>0</v>
      </c>
      <c r="S522" s="132">
        <f t="shared" si="295"/>
        <v>0</v>
      </c>
      <c r="T522" s="135">
        <f t="shared" si="296"/>
        <v>0</v>
      </c>
      <c r="U522" s="135">
        <f t="shared" si="288"/>
        <v>0</v>
      </c>
      <c r="V522" s="133">
        <f>SUM(AD109:AD115)</f>
        <v>0</v>
      </c>
      <c r="W522" s="139">
        <f t="shared" ca="1" si="297"/>
        <v>0</v>
      </c>
      <c r="X522" s="139">
        <f t="shared" ca="1" si="298"/>
        <v>0</v>
      </c>
      <c r="Y522" s="139">
        <f t="shared" ca="1" si="299"/>
        <v>0</v>
      </c>
      <c r="Z522" s="139">
        <f t="shared" ca="1" si="300"/>
        <v>0</v>
      </c>
      <c r="AA522" s="139">
        <f t="shared" si="289"/>
        <v>0</v>
      </c>
      <c r="AB522" s="140">
        <f t="shared" ca="1" si="301"/>
        <v>0</v>
      </c>
      <c r="AC522" s="141">
        <f t="shared" ca="1" si="302"/>
        <v>0</v>
      </c>
      <c r="AD522" s="142">
        <f t="shared" ca="1" si="303"/>
        <v>0</v>
      </c>
      <c r="AE522" s="141">
        <f t="shared" ca="1" si="304"/>
        <v>0</v>
      </c>
      <c r="AF522" s="142">
        <f t="shared" ca="1" si="305"/>
        <v>0</v>
      </c>
      <c r="AG522" s="132">
        <v>2295</v>
      </c>
      <c r="AH522" s="143">
        <v>1605</v>
      </c>
      <c r="AI522" s="2"/>
      <c r="AL522" s="2"/>
      <c r="AM522" s="1"/>
      <c r="BS522" s="3"/>
      <c r="BT522" s="3"/>
      <c r="BU522" s="3"/>
      <c r="BV522" s="3"/>
      <c r="BY522" s="1"/>
      <c r="BZ522" s="1"/>
      <c r="CA522" s="1"/>
      <c r="CB522" s="1"/>
    </row>
    <row r="523" spans="1:80" ht="33" customHeight="1" thickBot="1">
      <c r="A523" s="130">
        <f t="shared" si="306"/>
        <v>16</v>
      </c>
      <c r="B523" s="131">
        <f>B122</f>
        <v>112</v>
      </c>
      <c r="C523" s="132">
        <f>SUM(E116:E122)</f>
        <v>0</v>
      </c>
      <c r="D523" s="133">
        <f>SUM(C116:C122)</f>
        <v>0</v>
      </c>
      <c r="E523" s="132">
        <f>SUM(F116:F122)</f>
        <v>0</v>
      </c>
      <c r="F523" s="133">
        <f>SUM(D116:D122)</f>
        <v>0</v>
      </c>
      <c r="G523" s="134">
        <f t="shared" si="290"/>
        <v>0</v>
      </c>
      <c r="H523" s="134">
        <f t="shared" si="291"/>
        <v>0</v>
      </c>
      <c r="I523" s="134">
        <f t="shared" si="286"/>
        <v>0</v>
      </c>
      <c r="J523" s="133">
        <f t="shared" si="287"/>
        <v>0</v>
      </c>
      <c r="K523" s="135" t="e">
        <f t="shared" si="292"/>
        <v>#DIV/0!</v>
      </c>
      <c r="L523" s="135" t="e">
        <f t="shared" si="292"/>
        <v>#DIV/0!</v>
      </c>
      <c r="M523" s="135" t="e">
        <f t="shared" si="293"/>
        <v>#DIV/0!</v>
      </c>
      <c r="N523" s="135" t="e">
        <f t="shared" si="293"/>
        <v>#DIV/0!</v>
      </c>
      <c r="O523" s="135">
        <f t="shared" si="307"/>
        <v>3.0000000000000001E-3</v>
      </c>
      <c r="P523" s="136">
        <f>SUM(U116:U122)</f>
        <v>0</v>
      </c>
      <c r="Q523" s="137">
        <f>SUM(V116:V122)</f>
        <v>0</v>
      </c>
      <c r="R523" s="138">
        <f t="shared" si="294"/>
        <v>0</v>
      </c>
      <c r="S523" s="132">
        <f t="shared" si="295"/>
        <v>0</v>
      </c>
      <c r="T523" s="135">
        <f t="shared" si="296"/>
        <v>0</v>
      </c>
      <c r="U523" s="135">
        <f t="shared" si="288"/>
        <v>0</v>
      </c>
      <c r="V523" s="133">
        <f>SUM(AD116:AD122)</f>
        <v>0</v>
      </c>
      <c r="W523" s="139">
        <f t="shared" ca="1" si="297"/>
        <v>0</v>
      </c>
      <c r="X523" s="139">
        <f t="shared" ca="1" si="298"/>
        <v>0</v>
      </c>
      <c r="Y523" s="139">
        <f t="shared" ca="1" si="299"/>
        <v>0</v>
      </c>
      <c r="Z523" s="139">
        <f t="shared" ca="1" si="300"/>
        <v>0</v>
      </c>
      <c r="AA523" s="139">
        <f t="shared" si="289"/>
        <v>0</v>
      </c>
      <c r="AB523" s="140">
        <f t="shared" ca="1" si="301"/>
        <v>0</v>
      </c>
      <c r="AC523" s="141">
        <f t="shared" ca="1" si="302"/>
        <v>0</v>
      </c>
      <c r="AD523" s="142">
        <f t="shared" ca="1" si="303"/>
        <v>0</v>
      </c>
      <c r="AE523" s="141">
        <f t="shared" ca="1" si="304"/>
        <v>0</v>
      </c>
      <c r="AF523" s="142">
        <f t="shared" ca="1" si="305"/>
        <v>0</v>
      </c>
      <c r="AG523" s="132">
        <v>2420</v>
      </c>
      <c r="AH523" s="143">
        <v>1710</v>
      </c>
      <c r="AI523" s="2"/>
      <c r="AL523" s="2"/>
      <c r="AM523" s="1"/>
      <c r="BS523" s="3"/>
      <c r="BT523" s="3"/>
      <c r="BU523" s="3"/>
      <c r="BV523" s="3"/>
      <c r="BY523" s="1"/>
      <c r="BZ523" s="1"/>
      <c r="CA523" s="1"/>
      <c r="CB523" s="1"/>
    </row>
    <row r="524" spans="1:80" ht="33" customHeight="1" thickBot="1">
      <c r="A524" s="130">
        <f t="shared" si="306"/>
        <v>17</v>
      </c>
      <c r="B524" s="131">
        <f>B129</f>
        <v>119</v>
      </c>
      <c r="C524" s="132">
        <f>SUM(E123:E129)</f>
        <v>0</v>
      </c>
      <c r="D524" s="133">
        <f>SUM(C123:C129)</f>
        <v>0</v>
      </c>
      <c r="E524" s="132">
        <f>SUM(F123:F129)</f>
        <v>0</v>
      </c>
      <c r="F524" s="133">
        <f>SUM(D123:D129)</f>
        <v>0</v>
      </c>
      <c r="G524" s="134">
        <f t="shared" si="290"/>
        <v>0</v>
      </c>
      <c r="H524" s="134">
        <f t="shared" si="291"/>
        <v>0</v>
      </c>
      <c r="I524" s="134">
        <f t="shared" si="286"/>
        <v>0</v>
      </c>
      <c r="J524" s="133">
        <f t="shared" si="287"/>
        <v>0</v>
      </c>
      <c r="K524" s="135" t="e">
        <f t="shared" si="292"/>
        <v>#DIV/0!</v>
      </c>
      <c r="L524" s="135" t="e">
        <f t="shared" si="292"/>
        <v>#DIV/0!</v>
      </c>
      <c r="M524" s="135" t="e">
        <f t="shared" si="293"/>
        <v>#DIV/0!</v>
      </c>
      <c r="N524" s="135" t="e">
        <f t="shared" si="293"/>
        <v>#DIV/0!</v>
      </c>
      <c r="O524" s="135">
        <f t="shared" si="307"/>
        <v>3.0000000000000001E-3</v>
      </c>
      <c r="P524" s="136">
        <f>SUM(U123:U129)</f>
        <v>0</v>
      </c>
      <c r="Q524" s="137">
        <f>SUM(V123:V129)</f>
        <v>0</v>
      </c>
      <c r="R524" s="138">
        <f t="shared" si="294"/>
        <v>0</v>
      </c>
      <c r="S524" s="132">
        <f t="shared" si="295"/>
        <v>0</v>
      </c>
      <c r="T524" s="135">
        <f t="shared" si="296"/>
        <v>0</v>
      </c>
      <c r="U524" s="135">
        <f t="shared" si="288"/>
        <v>0</v>
      </c>
      <c r="V524" s="133">
        <f>SUM(AD123:AD129)</f>
        <v>0</v>
      </c>
      <c r="W524" s="139">
        <f t="shared" ca="1" si="297"/>
        <v>0</v>
      </c>
      <c r="X524" s="139">
        <f t="shared" ca="1" si="298"/>
        <v>0</v>
      </c>
      <c r="Y524" s="139">
        <f t="shared" ca="1" si="299"/>
        <v>0</v>
      </c>
      <c r="Z524" s="139">
        <f t="shared" ca="1" si="300"/>
        <v>0</v>
      </c>
      <c r="AA524" s="139">
        <f t="shared" si="289"/>
        <v>0</v>
      </c>
      <c r="AB524" s="140">
        <f t="shared" ca="1" si="301"/>
        <v>0</v>
      </c>
      <c r="AC524" s="141">
        <f t="shared" ca="1" si="302"/>
        <v>0</v>
      </c>
      <c r="AD524" s="142">
        <f t="shared" ca="1" si="303"/>
        <v>0</v>
      </c>
      <c r="AE524" s="141">
        <f t="shared" ca="1" si="304"/>
        <v>0</v>
      </c>
      <c r="AF524" s="142">
        <f t="shared" ca="1" si="305"/>
        <v>0</v>
      </c>
      <c r="AG524" s="132">
        <v>2560</v>
      </c>
      <c r="AH524" s="143">
        <v>1820</v>
      </c>
      <c r="AI524" s="2"/>
      <c r="AL524" s="2"/>
      <c r="AM524" s="1"/>
      <c r="BS524" s="3"/>
      <c r="BT524" s="3"/>
      <c r="BU524" s="3"/>
      <c r="BV524" s="3"/>
      <c r="BY524" s="1"/>
      <c r="BZ524" s="1"/>
      <c r="CA524" s="1"/>
      <c r="CB524" s="1"/>
    </row>
    <row r="525" spans="1:80" ht="33" customHeight="1" thickBot="1">
      <c r="A525" s="130">
        <f t="shared" si="306"/>
        <v>18</v>
      </c>
      <c r="B525" s="131">
        <f>B136</f>
        <v>126</v>
      </c>
      <c r="C525" s="132">
        <f>SUM(E130:E136)</f>
        <v>0</v>
      </c>
      <c r="D525" s="133">
        <f>SUM(C130:C136)</f>
        <v>0</v>
      </c>
      <c r="E525" s="132">
        <f>SUM(F130:F136)</f>
        <v>0</v>
      </c>
      <c r="F525" s="133">
        <f>SUM(D130:D136)</f>
        <v>0</v>
      </c>
      <c r="G525" s="134">
        <f t="shared" si="290"/>
        <v>0</v>
      </c>
      <c r="H525" s="134">
        <f t="shared" si="291"/>
        <v>0</v>
      </c>
      <c r="I525" s="134">
        <f t="shared" si="286"/>
        <v>0</v>
      </c>
      <c r="J525" s="133">
        <f t="shared" si="287"/>
        <v>0</v>
      </c>
      <c r="K525" s="135" t="e">
        <f t="shared" si="292"/>
        <v>#DIV/0!</v>
      </c>
      <c r="L525" s="135" t="e">
        <f t="shared" si="292"/>
        <v>#DIV/0!</v>
      </c>
      <c r="M525" s="135" t="e">
        <f t="shared" si="293"/>
        <v>#DIV/0!</v>
      </c>
      <c r="N525" s="135" t="e">
        <f t="shared" si="293"/>
        <v>#DIV/0!</v>
      </c>
      <c r="O525" s="135">
        <f t="shared" si="307"/>
        <v>3.0000000000000001E-3</v>
      </c>
      <c r="P525" s="136">
        <f>SUM(U130:U136)</f>
        <v>0</v>
      </c>
      <c r="Q525" s="137">
        <f>SUM(V130:V136)</f>
        <v>0</v>
      </c>
      <c r="R525" s="138">
        <f t="shared" si="294"/>
        <v>0</v>
      </c>
      <c r="S525" s="132">
        <f t="shared" si="295"/>
        <v>0</v>
      </c>
      <c r="T525" s="135">
        <f t="shared" si="296"/>
        <v>0</v>
      </c>
      <c r="U525" s="135">
        <f t="shared" si="288"/>
        <v>0</v>
      </c>
      <c r="V525" s="133">
        <f>SUM(AD124:AD130)</f>
        <v>0</v>
      </c>
      <c r="W525" s="139">
        <f t="shared" ca="1" si="297"/>
        <v>0</v>
      </c>
      <c r="X525" s="139">
        <f t="shared" ca="1" si="298"/>
        <v>0</v>
      </c>
      <c r="Y525" s="139">
        <f t="shared" ca="1" si="299"/>
        <v>0</v>
      </c>
      <c r="Z525" s="139">
        <f t="shared" ca="1" si="300"/>
        <v>0</v>
      </c>
      <c r="AA525" s="139">
        <f t="shared" si="289"/>
        <v>0</v>
      </c>
      <c r="AB525" s="140">
        <f t="shared" ca="1" si="301"/>
        <v>0</v>
      </c>
      <c r="AC525" s="141">
        <f t="shared" ca="1" si="302"/>
        <v>0</v>
      </c>
      <c r="AD525" s="142">
        <f t="shared" ca="1" si="303"/>
        <v>0</v>
      </c>
      <c r="AE525" s="141">
        <f t="shared" ca="1" si="304"/>
        <v>0</v>
      </c>
      <c r="AF525" s="142">
        <f t="shared" ca="1" si="305"/>
        <v>0</v>
      </c>
      <c r="AG525" s="132">
        <v>2715</v>
      </c>
      <c r="AH525" s="143">
        <v>1945</v>
      </c>
      <c r="AI525" s="2"/>
      <c r="AL525" s="2"/>
      <c r="AM525" s="1"/>
      <c r="BS525" s="3"/>
      <c r="BT525" s="3"/>
      <c r="BU525" s="3"/>
      <c r="BV525" s="3"/>
      <c r="BY525" s="1"/>
      <c r="BZ525" s="1"/>
      <c r="CA525" s="1"/>
      <c r="CB525" s="1"/>
    </row>
    <row r="526" spans="1:80" ht="33" customHeight="1" thickBot="1">
      <c r="A526" s="130">
        <f t="shared" si="306"/>
        <v>19</v>
      </c>
      <c r="B526" s="131">
        <f>B143</f>
        <v>133</v>
      </c>
      <c r="C526" s="132">
        <f>SUM(E137:E143)</f>
        <v>0</v>
      </c>
      <c r="D526" s="133">
        <f>SUM(C137:C143)</f>
        <v>0</v>
      </c>
      <c r="E526" s="132">
        <f>SUM(F137:F143)</f>
        <v>0</v>
      </c>
      <c r="F526" s="133">
        <f>SUM(D137:D143)</f>
        <v>0</v>
      </c>
      <c r="G526" s="134">
        <f t="shared" si="290"/>
        <v>0</v>
      </c>
      <c r="H526" s="134">
        <f t="shared" si="291"/>
        <v>0</v>
      </c>
      <c r="I526" s="134">
        <f t="shared" si="286"/>
        <v>0</v>
      </c>
      <c r="J526" s="133">
        <f t="shared" si="287"/>
        <v>0</v>
      </c>
      <c r="K526" s="135" t="e">
        <f t="shared" si="292"/>
        <v>#DIV/0!</v>
      </c>
      <c r="L526" s="135" t="e">
        <f t="shared" si="292"/>
        <v>#DIV/0!</v>
      </c>
      <c r="M526" s="135" t="e">
        <f t="shared" si="293"/>
        <v>#DIV/0!</v>
      </c>
      <c r="N526" s="135" t="e">
        <f t="shared" si="293"/>
        <v>#DIV/0!</v>
      </c>
      <c r="O526" s="135">
        <f t="shared" si="307"/>
        <v>3.0000000000000001E-3</v>
      </c>
      <c r="P526" s="136">
        <f>SUM(U137:U143)</f>
        <v>0</v>
      </c>
      <c r="Q526" s="137">
        <f>SUM(V137:V143)</f>
        <v>0</v>
      </c>
      <c r="R526" s="138">
        <f t="shared" si="294"/>
        <v>0</v>
      </c>
      <c r="S526" s="132">
        <f t="shared" si="295"/>
        <v>0</v>
      </c>
      <c r="T526" s="135">
        <f t="shared" si="296"/>
        <v>0</v>
      </c>
      <c r="U526" s="135">
        <f t="shared" si="288"/>
        <v>0</v>
      </c>
      <c r="V526" s="133">
        <f>SUM(AD137:AD143)</f>
        <v>0</v>
      </c>
      <c r="W526" s="139">
        <f t="shared" ca="1" si="297"/>
        <v>0</v>
      </c>
      <c r="X526" s="139">
        <f t="shared" ca="1" si="298"/>
        <v>0</v>
      </c>
      <c r="Y526" s="139">
        <f t="shared" ca="1" si="299"/>
        <v>0</v>
      </c>
      <c r="Z526" s="139">
        <f t="shared" ca="1" si="300"/>
        <v>0</v>
      </c>
      <c r="AA526" s="139">
        <f t="shared" si="289"/>
        <v>0</v>
      </c>
      <c r="AB526" s="140">
        <f t="shared" ca="1" si="301"/>
        <v>0</v>
      </c>
      <c r="AC526" s="141">
        <f t="shared" ca="1" si="302"/>
        <v>0</v>
      </c>
      <c r="AD526" s="142">
        <f t="shared" ca="1" si="303"/>
        <v>0</v>
      </c>
      <c r="AE526" s="141">
        <f t="shared" ca="1" si="304"/>
        <v>0</v>
      </c>
      <c r="AF526" s="142">
        <f t="shared" ca="1" si="305"/>
        <v>0</v>
      </c>
      <c r="AG526" s="132">
        <v>2875</v>
      </c>
      <c r="AH526" s="143">
        <v>2095</v>
      </c>
      <c r="AI526" s="2"/>
      <c r="AL526" s="2"/>
      <c r="AM526" s="1"/>
      <c r="BS526" s="3"/>
      <c r="BT526" s="3"/>
      <c r="BU526" s="3"/>
      <c r="BV526" s="3"/>
      <c r="BY526" s="1"/>
      <c r="BZ526" s="1"/>
      <c r="CA526" s="1"/>
      <c r="CB526" s="1"/>
    </row>
    <row r="527" spans="1:80" ht="33" customHeight="1" thickBot="1">
      <c r="A527" s="130">
        <f t="shared" si="306"/>
        <v>20</v>
      </c>
      <c r="B527" s="131">
        <f>B150</f>
        <v>140</v>
      </c>
      <c r="C527" s="132">
        <f>SUM(E144:E150)</f>
        <v>0</v>
      </c>
      <c r="D527" s="133">
        <f>SUM(C144:C150)</f>
        <v>0</v>
      </c>
      <c r="E527" s="132">
        <f>SUM(F144:F150)</f>
        <v>0</v>
      </c>
      <c r="F527" s="133">
        <f>SUM(D144:D150)</f>
        <v>0</v>
      </c>
      <c r="G527" s="134">
        <f t="shared" si="290"/>
        <v>0</v>
      </c>
      <c r="H527" s="134">
        <f t="shared" si="291"/>
        <v>0</v>
      </c>
      <c r="I527" s="134">
        <f t="shared" si="286"/>
        <v>0</v>
      </c>
      <c r="J527" s="133">
        <f t="shared" si="287"/>
        <v>0</v>
      </c>
      <c r="K527" s="135" t="e">
        <f t="shared" si="292"/>
        <v>#DIV/0!</v>
      </c>
      <c r="L527" s="135" t="e">
        <f t="shared" si="292"/>
        <v>#DIV/0!</v>
      </c>
      <c r="M527" s="135" t="e">
        <f t="shared" si="293"/>
        <v>#DIV/0!</v>
      </c>
      <c r="N527" s="135" t="e">
        <f t="shared" si="293"/>
        <v>#DIV/0!</v>
      </c>
      <c r="O527" s="135">
        <f t="shared" si="307"/>
        <v>3.0000000000000001E-3</v>
      </c>
      <c r="P527" s="136">
        <f>SUM(U144:U150)</f>
        <v>0</v>
      </c>
      <c r="Q527" s="137">
        <f>SUM(V144:V150)</f>
        <v>0</v>
      </c>
      <c r="R527" s="138">
        <f t="shared" si="294"/>
        <v>0</v>
      </c>
      <c r="S527" s="132">
        <f t="shared" si="295"/>
        <v>0</v>
      </c>
      <c r="T527" s="135">
        <f t="shared" si="296"/>
        <v>0</v>
      </c>
      <c r="U527" s="135">
        <f t="shared" si="288"/>
        <v>0</v>
      </c>
      <c r="V527" s="133">
        <f>SUM(AD144:AD150)</f>
        <v>0</v>
      </c>
      <c r="W527" s="139">
        <f t="shared" ca="1" si="297"/>
        <v>0</v>
      </c>
      <c r="X527" s="139">
        <f t="shared" ca="1" si="298"/>
        <v>0</v>
      </c>
      <c r="Y527" s="139">
        <f t="shared" ca="1" si="299"/>
        <v>0</v>
      </c>
      <c r="Z527" s="139">
        <f t="shared" ca="1" si="300"/>
        <v>0</v>
      </c>
      <c r="AA527" s="139">
        <f t="shared" si="289"/>
        <v>0</v>
      </c>
      <c r="AB527" s="140">
        <f t="shared" ca="1" si="301"/>
        <v>0</v>
      </c>
      <c r="AC527" s="141">
        <f t="shared" ca="1" si="302"/>
        <v>0</v>
      </c>
      <c r="AD527" s="142">
        <f t="shared" ca="1" si="303"/>
        <v>0</v>
      </c>
      <c r="AE527" s="141">
        <f t="shared" ca="1" si="304"/>
        <v>0</v>
      </c>
      <c r="AF527" s="142">
        <f t="shared" ca="1" si="305"/>
        <v>0</v>
      </c>
      <c r="AG527" s="132">
        <v>3035</v>
      </c>
      <c r="AH527" s="143">
        <v>2245</v>
      </c>
      <c r="AI527" s="2"/>
      <c r="AL527" s="2"/>
      <c r="AM527" s="1"/>
      <c r="BS527" s="3"/>
      <c r="BT527" s="3"/>
      <c r="BU527" s="3"/>
      <c r="BV527" s="3"/>
      <c r="BY527" s="1"/>
      <c r="BZ527" s="1"/>
      <c r="CA527" s="1"/>
      <c r="CB527" s="1"/>
    </row>
    <row r="528" spans="1:80" ht="33" customHeight="1" thickBot="1">
      <c r="A528" s="130">
        <f t="shared" si="306"/>
        <v>21</v>
      </c>
      <c r="B528" s="131">
        <f>B157</f>
        <v>147</v>
      </c>
      <c r="C528" s="132">
        <f>SUM(E151:E157)</f>
        <v>0</v>
      </c>
      <c r="D528" s="133">
        <f>SUM(C151:C157)</f>
        <v>0</v>
      </c>
      <c r="E528" s="132">
        <f>SUM(F151:F157)</f>
        <v>0</v>
      </c>
      <c r="F528" s="133">
        <f>SUM(D151:D157)</f>
        <v>0</v>
      </c>
      <c r="G528" s="134">
        <f t="shared" si="290"/>
        <v>0</v>
      </c>
      <c r="H528" s="134">
        <f t="shared" si="291"/>
        <v>0</v>
      </c>
      <c r="I528" s="134">
        <f t="shared" si="286"/>
        <v>0</v>
      </c>
      <c r="J528" s="133">
        <f t="shared" si="287"/>
        <v>0</v>
      </c>
      <c r="K528" s="135" t="e">
        <f t="shared" si="292"/>
        <v>#DIV/0!</v>
      </c>
      <c r="L528" s="135" t="e">
        <f t="shared" si="292"/>
        <v>#DIV/0!</v>
      </c>
      <c r="M528" s="135" t="e">
        <f t="shared" si="293"/>
        <v>#DIV/0!</v>
      </c>
      <c r="N528" s="135" t="e">
        <f t="shared" si="293"/>
        <v>#DIV/0!</v>
      </c>
      <c r="O528" s="135">
        <f t="shared" si="307"/>
        <v>3.0000000000000001E-3</v>
      </c>
      <c r="P528" s="136">
        <f>SUM(U151:U157)</f>
        <v>0</v>
      </c>
      <c r="Q528" s="137">
        <f>SUM(V151:V157)</f>
        <v>0</v>
      </c>
      <c r="R528" s="138">
        <f t="shared" si="294"/>
        <v>0</v>
      </c>
      <c r="S528" s="132">
        <f t="shared" si="295"/>
        <v>0</v>
      </c>
      <c r="T528" s="135">
        <f t="shared" si="296"/>
        <v>0</v>
      </c>
      <c r="U528" s="135">
        <f t="shared" si="288"/>
        <v>0</v>
      </c>
      <c r="V528" s="133">
        <f>SUM(AD151:AD157)</f>
        <v>0</v>
      </c>
      <c r="W528" s="139">
        <f t="shared" ca="1" si="297"/>
        <v>0</v>
      </c>
      <c r="X528" s="139">
        <f t="shared" ca="1" si="298"/>
        <v>0</v>
      </c>
      <c r="Y528" s="139">
        <f t="shared" ca="1" si="299"/>
        <v>0</v>
      </c>
      <c r="Z528" s="139">
        <f t="shared" ca="1" si="300"/>
        <v>0</v>
      </c>
      <c r="AA528" s="139">
        <f t="shared" si="289"/>
        <v>0</v>
      </c>
      <c r="AB528" s="140">
        <f t="shared" ca="1" si="301"/>
        <v>0</v>
      </c>
      <c r="AC528" s="141">
        <f t="shared" ca="1" si="302"/>
        <v>0</v>
      </c>
      <c r="AD528" s="142">
        <f t="shared" ca="1" si="303"/>
        <v>0</v>
      </c>
      <c r="AE528" s="141">
        <f t="shared" ca="1" si="304"/>
        <v>0</v>
      </c>
      <c r="AF528" s="142">
        <f t="shared" ca="1" si="305"/>
        <v>0</v>
      </c>
      <c r="AG528" s="132">
        <v>3195</v>
      </c>
      <c r="AH528" s="143">
        <v>2400</v>
      </c>
      <c r="AI528" s="2"/>
      <c r="AL528" s="2"/>
      <c r="AM528" s="1"/>
      <c r="BS528" s="3"/>
      <c r="BT528" s="3"/>
      <c r="BU528" s="3"/>
      <c r="BV528" s="3"/>
      <c r="BY528" s="1"/>
      <c r="BZ528" s="1"/>
      <c r="CA528" s="1"/>
      <c r="CB528" s="1"/>
    </row>
    <row r="529" spans="1:80" ht="33" customHeight="1" thickBot="1">
      <c r="A529" s="130">
        <f t="shared" si="306"/>
        <v>22</v>
      </c>
      <c r="B529" s="131">
        <f>B164</f>
        <v>154</v>
      </c>
      <c r="C529" s="132">
        <f>SUM(E158:E164)</f>
        <v>0</v>
      </c>
      <c r="D529" s="133">
        <f>SUM(C158:C164)</f>
        <v>0</v>
      </c>
      <c r="E529" s="132">
        <f>SUM(F158:F164)</f>
        <v>0</v>
      </c>
      <c r="F529" s="133">
        <f>SUM(D158:D164)</f>
        <v>0</v>
      </c>
      <c r="G529" s="134">
        <f t="shared" si="290"/>
        <v>0</v>
      </c>
      <c r="H529" s="134">
        <f t="shared" si="291"/>
        <v>0</v>
      </c>
      <c r="I529" s="134">
        <f t="shared" si="286"/>
        <v>0</v>
      </c>
      <c r="J529" s="133">
        <f t="shared" si="287"/>
        <v>0</v>
      </c>
      <c r="K529" s="135" t="e">
        <f t="shared" si="292"/>
        <v>#DIV/0!</v>
      </c>
      <c r="L529" s="135" t="e">
        <f t="shared" si="292"/>
        <v>#DIV/0!</v>
      </c>
      <c r="M529" s="135" t="e">
        <f t="shared" si="293"/>
        <v>#DIV/0!</v>
      </c>
      <c r="N529" s="135" t="e">
        <f t="shared" si="293"/>
        <v>#DIV/0!</v>
      </c>
      <c r="O529" s="135">
        <f t="shared" si="307"/>
        <v>3.0000000000000001E-3</v>
      </c>
      <c r="P529" s="136">
        <f>SUM(U158:U164)</f>
        <v>0</v>
      </c>
      <c r="Q529" s="137">
        <f>SUM(V158:V164)</f>
        <v>0</v>
      </c>
      <c r="R529" s="138">
        <f t="shared" si="294"/>
        <v>0</v>
      </c>
      <c r="S529" s="132">
        <f t="shared" si="295"/>
        <v>0</v>
      </c>
      <c r="T529" s="135">
        <f t="shared" si="296"/>
        <v>0</v>
      </c>
      <c r="U529" s="135">
        <f t="shared" si="288"/>
        <v>0</v>
      </c>
      <c r="V529" s="133">
        <f>SUM(AD158:AD164)</f>
        <v>0</v>
      </c>
      <c r="W529" s="139">
        <f t="shared" ca="1" si="297"/>
        <v>0</v>
      </c>
      <c r="X529" s="139">
        <f t="shared" ca="1" si="298"/>
        <v>0</v>
      </c>
      <c r="Y529" s="139">
        <f t="shared" ca="1" si="299"/>
        <v>0</v>
      </c>
      <c r="Z529" s="139">
        <f t="shared" ca="1" si="300"/>
        <v>0</v>
      </c>
      <c r="AA529" s="139">
        <f t="shared" si="289"/>
        <v>0</v>
      </c>
      <c r="AB529" s="140">
        <f t="shared" ca="1" si="301"/>
        <v>0</v>
      </c>
      <c r="AC529" s="141">
        <f t="shared" ca="1" si="302"/>
        <v>0</v>
      </c>
      <c r="AD529" s="142">
        <f t="shared" ca="1" si="303"/>
        <v>0</v>
      </c>
      <c r="AE529" s="141">
        <f t="shared" ca="1" si="304"/>
        <v>0</v>
      </c>
      <c r="AF529" s="142">
        <f t="shared" ca="1" si="305"/>
        <v>0</v>
      </c>
      <c r="AG529" s="132">
        <v>3355</v>
      </c>
      <c r="AH529" s="143">
        <v>2550</v>
      </c>
      <c r="AI529" s="2"/>
      <c r="AL529" s="2"/>
      <c r="AM529" s="1"/>
      <c r="BS529" s="3"/>
      <c r="BT529" s="3"/>
      <c r="BU529" s="3"/>
      <c r="BV529" s="3"/>
      <c r="BY529" s="1"/>
      <c r="BZ529" s="1"/>
      <c r="CA529" s="1"/>
      <c r="CB529" s="1"/>
    </row>
    <row r="530" spans="1:80" ht="33" customHeight="1" thickBot="1">
      <c r="A530" s="130">
        <f t="shared" si="306"/>
        <v>23</v>
      </c>
      <c r="B530" s="131">
        <f>B171</f>
        <v>161</v>
      </c>
      <c r="C530" s="132">
        <f>SUM(E165:E171)</f>
        <v>0</v>
      </c>
      <c r="D530" s="133">
        <f>SUM(C165:C171)</f>
        <v>0</v>
      </c>
      <c r="E530" s="132">
        <f>SUM(F165:F171)</f>
        <v>0</v>
      </c>
      <c r="F530" s="133">
        <f>SUM(D165:D171)</f>
        <v>0</v>
      </c>
      <c r="G530" s="134">
        <f t="shared" si="290"/>
        <v>0</v>
      </c>
      <c r="H530" s="134">
        <f t="shared" si="291"/>
        <v>0</v>
      </c>
      <c r="I530" s="134">
        <f t="shared" si="286"/>
        <v>0</v>
      </c>
      <c r="J530" s="133">
        <f t="shared" si="287"/>
        <v>0</v>
      </c>
      <c r="K530" s="135" t="e">
        <f t="shared" si="292"/>
        <v>#DIV/0!</v>
      </c>
      <c r="L530" s="135" t="e">
        <f t="shared" si="292"/>
        <v>#DIV/0!</v>
      </c>
      <c r="M530" s="135" t="e">
        <f t="shared" si="293"/>
        <v>#DIV/0!</v>
      </c>
      <c r="N530" s="135" t="e">
        <f t="shared" si="293"/>
        <v>#DIV/0!</v>
      </c>
      <c r="O530" s="135">
        <f t="shared" si="307"/>
        <v>3.0000000000000001E-3</v>
      </c>
      <c r="P530" s="136">
        <f>SUM(U165:U171)</f>
        <v>0</v>
      </c>
      <c r="Q530" s="137">
        <f>SUM(V165:V171)</f>
        <v>0</v>
      </c>
      <c r="R530" s="138">
        <f t="shared" si="294"/>
        <v>0</v>
      </c>
      <c r="S530" s="132">
        <f t="shared" si="295"/>
        <v>0</v>
      </c>
      <c r="T530" s="135">
        <f t="shared" si="296"/>
        <v>0</v>
      </c>
      <c r="U530" s="135">
        <f t="shared" si="288"/>
        <v>0</v>
      </c>
      <c r="V530" s="133">
        <f>SUM(AD165:AD171)</f>
        <v>0</v>
      </c>
      <c r="W530" s="139">
        <f t="shared" ca="1" si="297"/>
        <v>0</v>
      </c>
      <c r="X530" s="139">
        <f t="shared" ca="1" si="298"/>
        <v>0</v>
      </c>
      <c r="Y530" s="139">
        <f t="shared" ca="1" si="299"/>
        <v>0</v>
      </c>
      <c r="Z530" s="139">
        <f t="shared" ca="1" si="300"/>
        <v>0</v>
      </c>
      <c r="AA530" s="139">
        <f t="shared" si="289"/>
        <v>0</v>
      </c>
      <c r="AB530" s="140">
        <f t="shared" ca="1" si="301"/>
        <v>0</v>
      </c>
      <c r="AC530" s="141">
        <f t="shared" ca="1" si="302"/>
        <v>0</v>
      </c>
      <c r="AD530" s="142">
        <f t="shared" ca="1" si="303"/>
        <v>0</v>
      </c>
      <c r="AE530" s="141">
        <f t="shared" ca="1" si="304"/>
        <v>0</v>
      </c>
      <c r="AF530" s="142">
        <f t="shared" ca="1" si="305"/>
        <v>0</v>
      </c>
      <c r="AG530" s="132">
        <v>3515</v>
      </c>
      <c r="AH530" s="143">
        <v>2700</v>
      </c>
      <c r="AI530" s="2"/>
      <c r="AL530" s="2"/>
      <c r="AM530" s="1"/>
      <c r="BS530" s="3"/>
      <c r="BT530" s="3"/>
      <c r="BU530" s="3"/>
      <c r="BV530" s="3"/>
      <c r="BY530" s="1"/>
      <c r="BZ530" s="1"/>
      <c r="CA530" s="1"/>
      <c r="CB530" s="1"/>
    </row>
    <row r="531" spans="1:80" ht="33" customHeight="1" thickBot="1">
      <c r="A531" s="130">
        <f t="shared" si="306"/>
        <v>24</v>
      </c>
      <c r="B531" s="131">
        <f>B178</f>
        <v>168</v>
      </c>
      <c r="C531" s="132">
        <f>SUM(E172:E178)</f>
        <v>0</v>
      </c>
      <c r="D531" s="133">
        <f>SUM(C172:C178)</f>
        <v>0</v>
      </c>
      <c r="E531" s="132">
        <f>SUM(F172:F178)</f>
        <v>0</v>
      </c>
      <c r="F531" s="133">
        <f>SUM(D172:D178)</f>
        <v>0</v>
      </c>
      <c r="G531" s="134">
        <f t="shared" si="290"/>
        <v>0</v>
      </c>
      <c r="H531" s="134">
        <f t="shared" si="291"/>
        <v>0</v>
      </c>
      <c r="I531" s="134">
        <f t="shared" si="286"/>
        <v>0</v>
      </c>
      <c r="J531" s="133">
        <f t="shared" si="287"/>
        <v>0</v>
      </c>
      <c r="K531" s="135" t="e">
        <f t="shared" si="292"/>
        <v>#DIV/0!</v>
      </c>
      <c r="L531" s="135" t="e">
        <f t="shared" si="292"/>
        <v>#DIV/0!</v>
      </c>
      <c r="M531" s="135" t="e">
        <f t="shared" si="293"/>
        <v>#DIV/0!</v>
      </c>
      <c r="N531" s="135" t="e">
        <f t="shared" si="293"/>
        <v>#DIV/0!</v>
      </c>
      <c r="O531" s="135">
        <f t="shared" si="307"/>
        <v>3.0000000000000001E-3</v>
      </c>
      <c r="P531" s="136">
        <f>SUM(U172:U178)</f>
        <v>0</v>
      </c>
      <c r="Q531" s="137">
        <f>SUM(V172:V178)</f>
        <v>0</v>
      </c>
      <c r="R531" s="138">
        <f t="shared" si="294"/>
        <v>0</v>
      </c>
      <c r="S531" s="132">
        <f t="shared" si="295"/>
        <v>0</v>
      </c>
      <c r="T531" s="135">
        <f t="shared" si="296"/>
        <v>0</v>
      </c>
      <c r="U531" s="135">
        <f t="shared" si="288"/>
        <v>0</v>
      </c>
      <c r="V531" s="133">
        <f>SUM(AD172:AD178)</f>
        <v>0</v>
      </c>
      <c r="W531" s="139">
        <f t="shared" ca="1" si="297"/>
        <v>0</v>
      </c>
      <c r="X531" s="139">
        <f t="shared" ca="1" si="298"/>
        <v>0</v>
      </c>
      <c r="Y531" s="139">
        <f t="shared" ca="1" si="299"/>
        <v>0</v>
      </c>
      <c r="Z531" s="139">
        <f t="shared" ca="1" si="300"/>
        <v>0</v>
      </c>
      <c r="AA531" s="139">
        <f t="shared" si="289"/>
        <v>0</v>
      </c>
      <c r="AB531" s="140">
        <f t="shared" ca="1" si="301"/>
        <v>0</v>
      </c>
      <c r="AC531" s="141">
        <f t="shared" ca="1" si="302"/>
        <v>0</v>
      </c>
      <c r="AD531" s="142">
        <f t="shared" ca="1" si="303"/>
        <v>0</v>
      </c>
      <c r="AE531" s="141">
        <f t="shared" ca="1" si="304"/>
        <v>0</v>
      </c>
      <c r="AF531" s="142">
        <f t="shared" ca="1" si="305"/>
        <v>0</v>
      </c>
      <c r="AG531" s="132">
        <v>3675</v>
      </c>
      <c r="AH531" s="143">
        <v>2845</v>
      </c>
      <c r="AI531" s="2"/>
      <c r="AL531" s="2"/>
      <c r="AM531" s="1"/>
      <c r="BS531" s="3"/>
      <c r="BT531" s="3"/>
      <c r="BU531" s="3"/>
      <c r="BV531" s="3"/>
      <c r="BY531" s="1"/>
      <c r="BZ531" s="1"/>
      <c r="CA531" s="1"/>
      <c r="CB531" s="1"/>
    </row>
    <row r="532" spans="1:80" ht="33" customHeight="1" thickBot="1">
      <c r="A532" s="130">
        <f t="shared" si="306"/>
        <v>25</v>
      </c>
      <c r="B532" s="131">
        <f>B185</f>
        <v>175</v>
      </c>
      <c r="C532" s="132">
        <f>SUM(E179:E185)</f>
        <v>0</v>
      </c>
      <c r="D532" s="133">
        <f>SUM(C179:C185)</f>
        <v>0</v>
      </c>
      <c r="E532" s="132">
        <f>SUM(F179:F185)</f>
        <v>0</v>
      </c>
      <c r="F532" s="133">
        <f>SUM(D179:D185)</f>
        <v>0</v>
      </c>
      <c r="G532" s="134">
        <f t="shared" si="290"/>
        <v>0</v>
      </c>
      <c r="H532" s="134">
        <f t="shared" si="291"/>
        <v>0</v>
      </c>
      <c r="I532" s="134">
        <f t="shared" si="286"/>
        <v>0</v>
      </c>
      <c r="J532" s="133">
        <f t="shared" si="287"/>
        <v>0</v>
      </c>
      <c r="K532" s="135" t="e">
        <f t="shared" si="292"/>
        <v>#DIV/0!</v>
      </c>
      <c r="L532" s="135" t="e">
        <f t="shared" si="292"/>
        <v>#DIV/0!</v>
      </c>
      <c r="M532" s="135" t="e">
        <f t="shared" si="293"/>
        <v>#DIV/0!</v>
      </c>
      <c r="N532" s="135" t="e">
        <f t="shared" si="293"/>
        <v>#DIV/0!</v>
      </c>
      <c r="O532" s="135">
        <f t="shared" si="307"/>
        <v>3.0000000000000001E-3</v>
      </c>
      <c r="P532" s="136">
        <f>SUM(U179:U185)</f>
        <v>0</v>
      </c>
      <c r="Q532" s="137">
        <f>SUM(V179:V185)</f>
        <v>0</v>
      </c>
      <c r="R532" s="138">
        <f t="shared" si="294"/>
        <v>0</v>
      </c>
      <c r="S532" s="132">
        <f t="shared" si="295"/>
        <v>0</v>
      </c>
      <c r="T532" s="135">
        <f t="shared" si="296"/>
        <v>0</v>
      </c>
      <c r="U532" s="135">
        <f t="shared" si="288"/>
        <v>0</v>
      </c>
      <c r="V532" s="133">
        <f>SUM(AD179:AD185)</f>
        <v>0</v>
      </c>
      <c r="W532" s="139">
        <f t="shared" ca="1" si="297"/>
        <v>0</v>
      </c>
      <c r="X532" s="139">
        <f t="shared" ca="1" si="298"/>
        <v>0</v>
      </c>
      <c r="Y532" s="139">
        <f t="shared" ca="1" si="299"/>
        <v>0</v>
      </c>
      <c r="Z532" s="139">
        <f t="shared" ca="1" si="300"/>
        <v>0</v>
      </c>
      <c r="AA532" s="139">
        <f t="shared" si="289"/>
        <v>0</v>
      </c>
      <c r="AB532" s="140">
        <f t="shared" ca="1" si="301"/>
        <v>0</v>
      </c>
      <c r="AC532" s="141">
        <f t="shared" ca="1" si="302"/>
        <v>0</v>
      </c>
      <c r="AD532" s="142">
        <f t="shared" ca="1" si="303"/>
        <v>0</v>
      </c>
      <c r="AE532" s="141">
        <f t="shared" ca="1" si="304"/>
        <v>0</v>
      </c>
      <c r="AF532" s="142">
        <f t="shared" ca="1" si="305"/>
        <v>0</v>
      </c>
      <c r="AG532" s="132">
        <v>3825</v>
      </c>
      <c r="AH532" s="143">
        <v>2970</v>
      </c>
      <c r="AI532" s="2"/>
      <c r="AL532" s="2"/>
      <c r="AM532" s="1"/>
      <c r="BS532" s="3"/>
      <c r="BT532" s="3"/>
      <c r="BU532" s="3"/>
      <c r="BV532" s="3"/>
      <c r="BY532" s="1"/>
      <c r="BZ532" s="1"/>
      <c r="CA532" s="1"/>
      <c r="CB532" s="1"/>
    </row>
    <row r="533" spans="1:80" ht="33" customHeight="1" thickBot="1">
      <c r="A533" s="130">
        <f t="shared" si="306"/>
        <v>26</v>
      </c>
      <c r="B533" s="131">
        <f>B192</f>
        <v>182</v>
      </c>
      <c r="C533" s="132">
        <f>SUM(E186:E192)</f>
        <v>0</v>
      </c>
      <c r="D533" s="133">
        <f>SUM(C186:C192)</f>
        <v>0</v>
      </c>
      <c r="E533" s="132">
        <f>SUM(F186:F192)</f>
        <v>0</v>
      </c>
      <c r="F533" s="133">
        <f>SUM(D186:D192)</f>
        <v>0</v>
      </c>
      <c r="G533" s="134">
        <f t="shared" si="290"/>
        <v>0</v>
      </c>
      <c r="H533" s="134">
        <f t="shared" si="291"/>
        <v>0</v>
      </c>
      <c r="I533" s="134">
        <f t="shared" si="286"/>
        <v>0</v>
      </c>
      <c r="J533" s="133">
        <f t="shared" si="287"/>
        <v>0</v>
      </c>
      <c r="K533" s="135" t="e">
        <f t="shared" si="292"/>
        <v>#DIV/0!</v>
      </c>
      <c r="L533" s="135" t="e">
        <f t="shared" si="292"/>
        <v>#DIV/0!</v>
      </c>
      <c r="M533" s="135" t="e">
        <f t="shared" si="293"/>
        <v>#DIV/0!</v>
      </c>
      <c r="N533" s="135" t="e">
        <f t="shared" si="293"/>
        <v>#DIV/0!</v>
      </c>
      <c r="O533" s="135">
        <f t="shared" si="307"/>
        <v>3.0000000000000001E-3</v>
      </c>
      <c r="P533" s="136">
        <f>SUM(U186:U192)</f>
        <v>0</v>
      </c>
      <c r="Q533" s="137">
        <f>SUM(V186:V192)</f>
        <v>0</v>
      </c>
      <c r="R533" s="138">
        <f t="shared" si="294"/>
        <v>0</v>
      </c>
      <c r="S533" s="132">
        <f t="shared" si="295"/>
        <v>0</v>
      </c>
      <c r="T533" s="135">
        <f t="shared" si="296"/>
        <v>0</v>
      </c>
      <c r="U533" s="135">
        <f t="shared" si="288"/>
        <v>0</v>
      </c>
      <c r="V533" s="133">
        <f>SUM(AD186:AD192)</f>
        <v>0</v>
      </c>
      <c r="W533" s="139">
        <f t="shared" ca="1" si="297"/>
        <v>0</v>
      </c>
      <c r="X533" s="139">
        <f t="shared" ca="1" si="298"/>
        <v>0</v>
      </c>
      <c r="Y533" s="139">
        <f t="shared" ca="1" si="299"/>
        <v>0</v>
      </c>
      <c r="Z533" s="139">
        <f t="shared" ca="1" si="300"/>
        <v>0</v>
      </c>
      <c r="AA533" s="139">
        <f t="shared" si="289"/>
        <v>0</v>
      </c>
      <c r="AB533" s="140">
        <f t="shared" ca="1" si="301"/>
        <v>0</v>
      </c>
      <c r="AC533" s="141">
        <f t="shared" ca="1" si="302"/>
        <v>0</v>
      </c>
      <c r="AD533" s="142">
        <f t="shared" ca="1" si="303"/>
        <v>0</v>
      </c>
      <c r="AE533" s="141">
        <f t="shared" ca="1" si="304"/>
        <v>0</v>
      </c>
      <c r="AF533" s="142">
        <f t="shared" ca="1" si="305"/>
        <v>0</v>
      </c>
      <c r="AG533" s="132">
        <v>3960</v>
      </c>
      <c r="AH533" s="143">
        <v>3080</v>
      </c>
      <c r="AI533" s="2"/>
      <c r="AL533" s="2"/>
      <c r="AM533" s="1"/>
      <c r="BS533" s="3"/>
      <c r="BT533" s="3"/>
      <c r="BU533" s="3"/>
      <c r="BV533" s="3"/>
      <c r="BY533" s="1"/>
      <c r="BZ533" s="1"/>
      <c r="CA533" s="1"/>
      <c r="CB533" s="1"/>
    </row>
    <row r="534" spans="1:80" ht="33" customHeight="1" thickBot="1">
      <c r="A534" s="130">
        <f t="shared" si="306"/>
        <v>27</v>
      </c>
      <c r="B534" s="131">
        <f>B199</f>
        <v>189</v>
      </c>
      <c r="C534" s="132">
        <f>SUM(E193:E199)</f>
        <v>0</v>
      </c>
      <c r="D534" s="133">
        <f>SUM(C193:C199)</f>
        <v>0</v>
      </c>
      <c r="E534" s="132">
        <f>SUM(F193:F199)</f>
        <v>0</v>
      </c>
      <c r="F534" s="133">
        <f>SUM(D193:D199)</f>
        <v>0</v>
      </c>
      <c r="G534" s="134">
        <f t="shared" si="290"/>
        <v>0</v>
      </c>
      <c r="H534" s="134">
        <f t="shared" si="291"/>
        <v>0</v>
      </c>
      <c r="I534" s="134">
        <f t="shared" si="286"/>
        <v>0</v>
      </c>
      <c r="J534" s="133">
        <f t="shared" si="287"/>
        <v>0</v>
      </c>
      <c r="K534" s="135" t="e">
        <f t="shared" si="292"/>
        <v>#DIV/0!</v>
      </c>
      <c r="L534" s="135" t="e">
        <f t="shared" si="292"/>
        <v>#DIV/0!</v>
      </c>
      <c r="M534" s="135" t="e">
        <f t="shared" si="293"/>
        <v>#DIV/0!</v>
      </c>
      <c r="N534" s="135" t="e">
        <f t="shared" si="293"/>
        <v>#DIV/0!</v>
      </c>
      <c r="O534" s="135">
        <f t="shared" si="307"/>
        <v>3.0000000000000001E-3</v>
      </c>
      <c r="P534" s="136">
        <f>SUM(U193:U199)</f>
        <v>0</v>
      </c>
      <c r="Q534" s="137">
        <f>SUM(V193:V199)</f>
        <v>0</v>
      </c>
      <c r="R534" s="138">
        <f t="shared" si="294"/>
        <v>0</v>
      </c>
      <c r="S534" s="132">
        <f t="shared" si="295"/>
        <v>0</v>
      </c>
      <c r="T534" s="135">
        <f t="shared" si="296"/>
        <v>0</v>
      </c>
      <c r="U534" s="135">
        <f t="shared" si="288"/>
        <v>0</v>
      </c>
      <c r="V534" s="133">
        <f>SUM(AD193:AD199)</f>
        <v>0</v>
      </c>
      <c r="W534" s="139">
        <f t="shared" ca="1" si="297"/>
        <v>0</v>
      </c>
      <c r="X534" s="139">
        <f t="shared" ca="1" si="298"/>
        <v>0</v>
      </c>
      <c r="Y534" s="139">
        <f t="shared" ca="1" si="299"/>
        <v>0</v>
      </c>
      <c r="Z534" s="139">
        <f t="shared" ca="1" si="300"/>
        <v>0</v>
      </c>
      <c r="AA534" s="139">
        <f t="shared" si="289"/>
        <v>0</v>
      </c>
      <c r="AB534" s="140">
        <f t="shared" ca="1" si="301"/>
        <v>0</v>
      </c>
      <c r="AC534" s="141">
        <f t="shared" ca="1" si="302"/>
        <v>0</v>
      </c>
      <c r="AD534" s="142">
        <f t="shared" ca="1" si="303"/>
        <v>0</v>
      </c>
      <c r="AE534" s="141">
        <f t="shared" ca="1" si="304"/>
        <v>0</v>
      </c>
      <c r="AF534" s="142">
        <f t="shared" ca="1" si="305"/>
        <v>0</v>
      </c>
      <c r="AG534" s="132">
        <v>4035</v>
      </c>
      <c r="AH534" s="143">
        <v>3180</v>
      </c>
      <c r="AI534" s="2"/>
      <c r="AL534" s="2"/>
      <c r="AM534" s="1"/>
      <c r="BS534" s="3"/>
      <c r="BT534" s="3"/>
      <c r="BU534" s="3"/>
      <c r="BV534" s="3"/>
      <c r="BY534" s="1"/>
      <c r="BZ534" s="1"/>
      <c r="CA534" s="1"/>
      <c r="CB534" s="1"/>
    </row>
    <row r="535" spans="1:80" ht="33" customHeight="1" thickBot="1">
      <c r="A535" s="130">
        <f t="shared" si="306"/>
        <v>28</v>
      </c>
      <c r="B535" s="131">
        <f>B206</f>
        <v>196</v>
      </c>
      <c r="C535" s="132">
        <f>SUM(E200:E206)</f>
        <v>0</v>
      </c>
      <c r="D535" s="133">
        <f>SUM(C200:C206)</f>
        <v>0</v>
      </c>
      <c r="E535" s="132">
        <f>SUM(F200:F206)</f>
        <v>0</v>
      </c>
      <c r="F535" s="133">
        <f>SUM(D200:D206)</f>
        <v>0</v>
      </c>
      <c r="G535" s="134">
        <f t="shared" si="290"/>
        <v>0</v>
      </c>
      <c r="H535" s="134">
        <f t="shared" si="291"/>
        <v>0</v>
      </c>
      <c r="I535" s="134">
        <f t="shared" si="286"/>
        <v>0</v>
      </c>
      <c r="J535" s="133">
        <f t="shared" si="287"/>
        <v>0</v>
      </c>
      <c r="K535" s="135" t="e">
        <f t="shared" si="292"/>
        <v>#DIV/0!</v>
      </c>
      <c r="L535" s="135" t="e">
        <f t="shared" si="292"/>
        <v>#DIV/0!</v>
      </c>
      <c r="M535" s="135" t="e">
        <f t="shared" si="293"/>
        <v>#DIV/0!</v>
      </c>
      <c r="N535" s="135" t="e">
        <f t="shared" si="293"/>
        <v>#DIV/0!</v>
      </c>
      <c r="O535" s="135">
        <f t="shared" si="307"/>
        <v>3.0000000000000001E-3</v>
      </c>
      <c r="P535" s="136">
        <f>SUM(U200:U206)</f>
        <v>0</v>
      </c>
      <c r="Q535" s="137">
        <f>SUM(V200:V206)</f>
        <v>0</v>
      </c>
      <c r="R535" s="138">
        <f t="shared" si="294"/>
        <v>0</v>
      </c>
      <c r="S535" s="132">
        <f t="shared" si="295"/>
        <v>0</v>
      </c>
      <c r="T535" s="135">
        <f t="shared" si="296"/>
        <v>0</v>
      </c>
      <c r="U535" s="135">
        <f t="shared" si="288"/>
        <v>0</v>
      </c>
      <c r="V535" s="133">
        <f>SUM(AD200:AD206)</f>
        <v>0</v>
      </c>
      <c r="W535" s="139">
        <f t="shared" ca="1" si="297"/>
        <v>0</v>
      </c>
      <c r="X535" s="139">
        <f t="shared" ca="1" si="298"/>
        <v>0</v>
      </c>
      <c r="Y535" s="139">
        <f t="shared" ca="1" si="299"/>
        <v>0</v>
      </c>
      <c r="Z535" s="139">
        <f t="shared" ca="1" si="300"/>
        <v>0</v>
      </c>
      <c r="AA535" s="139">
        <f t="shared" si="289"/>
        <v>0</v>
      </c>
      <c r="AB535" s="140">
        <f t="shared" ca="1" si="301"/>
        <v>0</v>
      </c>
      <c r="AC535" s="141">
        <f t="shared" ca="1" si="302"/>
        <v>0</v>
      </c>
      <c r="AD535" s="142">
        <f t="shared" ca="1" si="303"/>
        <v>0</v>
      </c>
      <c r="AE535" s="141">
        <f t="shared" ca="1" si="304"/>
        <v>0</v>
      </c>
      <c r="AF535" s="142">
        <f t="shared" ca="1" si="305"/>
        <v>0</v>
      </c>
      <c r="AG535" s="132">
        <v>4090</v>
      </c>
      <c r="AH535" s="143">
        <v>3275</v>
      </c>
      <c r="AI535" s="2"/>
      <c r="AL535" s="2"/>
      <c r="AM535" s="1"/>
      <c r="BS535" s="3"/>
      <c r="BT535" s="3"/>
      <c r="BU535" s="3"/>
      <c r="BV535" s="3"/>
      <c r="BY535" s="1"/>
      <c r="BZ535" s="1"/>
      <c r="CA535" s="1"/>
      <c r="CB535" s="1"/>
    </row>
    <row r="536" spans="1:80" ht="33" customHeight="1" thickBot="1">
      <c r="A536" s="130">
        <f t="shared" si="306"/>
        <v>29</v>
      </c>
      <c r="B536" s="131">
        <f>B213</f>
        <v>203</v>
      </c>
      <c r="C536" s="132">
        <f>SUM(E207:E213)</f>
        <v>0</v>
      </c>
      <c r="D536" s="133">
        <f>SUM(C207:C213)</f>
        <v>0</v>
      </c>
      <c r="E536" s="132">
        <f>SUM(F207:F213)</f>
        <v>0</v>
      </c>
      <c r="F536" s="133">
        <f>SUM(D207:D213)</f>
        <v>0</v>
      </c>
      <c r="G536" s="134">
        <f t="shared" si="290"/>
        <v>0</v>
      </c>
      <c r="H536" s="134">
        <f t="shared" si="291"/>
        <v>0</v>
      </c>
      <c r="I536" s="134">
        <f t="shared" si="286"/>
        <v>0</v>
      </c>
      <c r="J536" s="133">
        <f t="shared" si="287"/>
        <v>0</v>
      </c>
      <c r="K536" s="135" t="e">
        <f t="shared" si="292"/>
        <v>#DIV/0!</v>
      </c>
      <c r="L536" s="135" t="e">
        <f t="shared" si="292"/>
        <v>#DIV/0!</v>
      </c>
      <c r="M536" s="135" t="e">
        <f t="shared" si="293"/>
        <v>#DIV/0!</v>
      </c>
      <c r="N536" s="135" t="e">
        <f t="shared" si="293"/>
        <v>#DIV/0!</v>
      </c>
      <c r="O536" s="135">
        <f t="shared" si="307"/>
        <v>3.0000000000000001E-3</v>
      </c>
      <c r="P536" s="136">
        <f>SUM(U207:U213)</f>
        <v>0</v>
      </c>
      <c r="Q536" s="137">
        <f>SUM(V207:V213)</f>
        <v>0</v>
      </c>
      <c r="R536" s="138">
        <f t="shared" si="294"/>
        <v>0</v>
      </c>
      <c r="S536" s="132">
        <f t="shared" si="295"/>
        <v>0</v>
      </c>
      <c r="T536" s="135">
        <f t="shared" si="296"/>
        <v>0</v>
      </c>
      <c r="U536" s="135">
        <f t="shared" si="288"/>
        <v>0</v>
      </c>
      <c r="V536" s="133">
        <f>SUM(AD207:AD213)</f>
        <v>0</v>
      </c>
      <c r="W536" s="139">
        <f t="shared" ca="1" si="297"/>
        <v>0</v>
      </c>
      <c r="X536" s="139">
        <f t="shared" ca="1" si="298"/>
        <v>0</v>
      </c>
      <c r="Y536" s="139">
        <f t="shared" ca="1" si="299"/>
        <v>0</v>
      </c>
      <c r="Z536" s="139">
        <f t="shared" ca="1" si="300"/>
        <v>0</v>
      </c>
      <c r="AA536" s="139">
        <f t="shared" si="289"/>
        <v>0</v>
      </c>
      <c r="AB536" s="140">
        <f t="shared" ca="1" si="301"/>
        <v>0</v>
      </c>
      <c r="AC536" s="141">
        <f t="shared" ca="1" si="302"/>
        <v>0</v>
      </c>
      <c r="AD536" s="142">
        <f t="shared" ca="1" si="303"/>
        <v>0</v>
      </c>
      <c r="AE536" s="141">
        <f t="shared" ca="1" si="304"/>
        <v>0</v>
      </c>
      <c r="AF536" s="142">
        <f t="shared" ca="1" si="305"/>
        <v>0</v>
      </c>
      <c r="AG536" s="132">
        <v>4120</v>
      </c>
      <c r="AH536" s="143">
        <v>3365</v>
      </c>
      <c r="AI536" s="2"/>
      <c r="AL536" s="2"/>
      <c r="AM536" s="1"/>
      <c r="BS536" s="3"/>
      <c r="BT536" s="3"/>
      <c r="BU536" s="3"/>
      <c r="BV536" s="3"/>
      <c r="BY536" s="1"/>
      <c r="BZ536" s="1"/>
      <c r="CA536" s="1"/>
      <c r="CB536" s="1"/>
    </row>
    <row r="537" spans="1:80" ht="33" customHeight="1" thickBot="1">
      <c r="A537" s="130">
        <f t="shared" si="306"/>
        <v>30</v>
      </c>
      <c r="B537" s="131">
        <f>B220</f>
        <v>210</v>
      </c>
      <c r="C537" s="132">
        <f>SUM(E214:E220)</f>
        <v>0</v>
      </c>
      <c r="D537" s="133">
        <f>SUM(C214:C220)</f>
        <v>0</v>
      </c>
      <c r="E537" s="132">
        <f>SUM(F214:F220)</f>
        <v>0</v>
      </c>
      <c r="F537" s="133">
        <f>SUM(D214:D220)</f>
        <v>0</v>
      </c>
      <c r="G537" s="134">
        <f t="shared" si="290"/>
        <v>0</v>
      </c>
      <c r="H537" s="134">
        <f t="shared" si="291"/>
        <v>0</v>
      </c>
      <c r="I537" s="134">
        <f t="shared" si="286"/>
        <v>0</v>
      </c>
      <c r="J537" s="133">
        <f t="shared" si="287"/>
        <v>0</v>
      </c>
      <c r="K537" s="135" t="e">
        <f t="shared" si="292"/>
        <v>#DIV/0!</v>
      </c>
      <c r="L537" s="135" t="e">
        <f t="shared" si="292"/>
        <v>#DIV/0!</v>
      </c>
      <c r="M537" s="135" t="e">
        <f t="shared" si="293"/>
        <v>#DIV/0!</v>
      </c>
      <c r="N537" s="135" t="e">
        <f t="shared" si="293"/>
        <v>#DIV/0!</v>
      </c>
      <c r="O537" s="135">
        <f t="shared" si="307"/>
        <v>3.0000000000000001E-3</v>
      </c>
      <c r="P537" s="136">
        <f>SUM(U214:U220)</f>
        <v>0</v>
      </c>
      <c r="Q537" s="137">
        <f>SUM(V214:V220)</f>
        <v>0</v>
      </c>
      <c r="R537" s="138">
        <f t="shared" si="294"/>
        <v>0</v>
      </c>
      <c r="S537" s="132">
        <f t="shared" si="295"/>
        <v>0</v>
      </c>
      <c r="T537" s="135">
        <f t="shared" si="296"/>
        <v>0</v>
      </c>
      <c r="U537" s="135">
        <f t="shared" si="288"/>
        <v>0</v>
      </c>
      <c r="V537" s="133">
        <f>SUM(AD214:AD220)</f>
        <v>0</v>
      </c>
      <c r="W537" s="139">
        <f t="shared" ca="1" si="297"/>
        <v>0</v>
      </c>
      <c r="X537" s="139">
        <f t="shared" ca="1" si="298"/>
        <v>0</v>
      </c>
      <c r="Y537" s="139">
        <f t="shared" ca="1" si="299"/>
        <v>0</v>
      </c>
      <c r="Z537" s="139">
        <f t="shared" ca="1" si="300"/>
        <v>0</v>
      </c>
      <c r="AA537" s="139">
        <f t="shared" si="289"/>
        <v>0</v>
      </c>
      <c r="AB537" s="140">
        <f t="shared" ca="1" si="301"/>
        <v>0</v>
      </c>
      <c r="AC537" s="141">
        <f t="shared" ca="1" si="302"/>
        <v>0</v>
      </c>
      <c r="AD537" s="142">
        <f t="shared" ca="1" si="303"/>
        <v>0</v>
      </c>
      <c r="AE537" s="141">
        <f t="shared" ca="1" si="304"/>
        <v>0</v>
      </c>
      <c r="AF537" s="142">
        <f t="shared" ca="1" si="305"/>
        <v>0</v>
      </c>
      <c r="AG537" s="132">
        <v>4150</v>
      </c>
      <c r="AH537" s="143">
        <v>3415</v>
      </c>
      <c r="AI537" s="2"/>
      <c r="AL537" s="2"/>
      <c r="AM537" s="1"/>
      <c r="BS537" s="3"/>
      <c r="BT537" s="3"/>
      <c r="BU537" s="3"/>
      <c r="BV537" s="3"/>
      <c r="BY537" s="1"/>
      <c r="BZ537" s="1"/>
      <c r="CA537" s="1"/>
      <c r="CB537" s="1"/>
    </row>
    <row r="538" spans="1:80" ht="33" customHeight="1" thickBot="1">
      <c r="A538" s="130">
        <f t="shared" si="306"/>
        <v>31</v>
      </c>
      <c r="B538" s="131">
        <f>B227</f>
        <v>217</v>
      </c>
      <c r="C538" s="132">
        <f>SUM(E221:E227)</f>
        <v>0</v>
      </c>
      <c r="D538" s="133">
        <f>SUM(C221:C227)</f>
        <v>0</v>
      </c>
      <c r="E538" s="132">
        <f>SUM(F221:F227)</f>
        <v>0</v>
      </c>
      <c r="F538" s="133">
        <f>SUM(D221:D227)</f>
        <v>0</v>
      </c>
      <c r="G538" s="134">
        <f t="shared" si="290"/>
        <v>0</v>
      </c>
      <c r="H538" s="134">
        <f t="shared" si="291"/>
        <v>0</v>
      </c>
      <c r="I538" s="134">
        <f t="shared" si="286"/>
        <v>0</v>
      </c>
      <c r="J538" s="133">
        <f t="shared" si="287"/>
        <v>0</v>
      </c>
      <c r="K538" s="135" t="e">
        <f t="shared" si="292"/>
        <v>#DIV/0!</v>
      </c>
      <c r="L538" s="135" t="e">
        <f t="shared" si="292"/>
        <v>#DIV/0!</v>
      </c>
      <c r="M538" s="135" t="e">
        <f t="shared" si="293"/>
        <v>#DIV/0!</v>
      </c>
      <c r="N538" s="135" t="e">
        <f t="shared" si="293"/>
        <v>#DIV/0!</v>
      </c>
      <c r="O538" s="135">
        <f t="shared" si="307"/>
        <v>3.0000000000000001E-3</v>
      </c>
      <c r="P538" s="136">
        <f>SUM(U221:U227)</f>
        <v>0</v>
      </c>
      <c r="Q538" s="137">
        <f>SUM(V221:V227)</f>
        <v>0</v>
      </c>
      <c r="R538" s="138">
        <f t="shared" si="294"/>
        <v>0</v>
      </c>
      <c r="S538" s="132">
        <f t="shared" si="295"/>
        <v>0</v>
      </c>
      <c r="T538" s="135">
        <f t="shared" si="296"/>
        <v>0</v>
      </c>
      <c r="U538" s="135">
        <f t="shared" si="288"/>
        <v>0</v>
      </c>
      <c r="V538" s="133">
        <f>SUM(AD221:AD227)</f>
        <v>0</v>
      </c>
      <c r="W538" s="139">
        <f t="shared" ca="1" si="297"/>
        <v>0</v>
      </c>
      <c r="X538" s="139">
        <f t="shared" ca="1" si="298"/>
        <v>0</v>
      </c>
      <c r="Y538" s="139">
        <f t="shared" ca="1" si="299"/>
        <v>0</v>
      </c>
      <c r="Z538" s="139">
        <f t="shared" ca="1" si="300"/>
        <v>0</v>
      </c>
      <c r="AA538" s="139">
        <f t="shared" si="289"/>
        <v>0</v>
      </c>
      <c r="AB538" s="140">
        <f t="shared" ca="1" si="301"/>
        <v>0</v>
      </c>
      <c r="AC538" s="141">
        <f t="shared" ca="1" si="302"/>
        <v>0</v>
      </c>
      <c r="AD538" s="142">
        <f t="shared" ca="1" si="303"/>
        <v>0</v>
      </c>
      <c r="AE538" s="141">
        <f t="shared" ca="1" si="304"/>
        <v>0</v>
      </c>
      <c r="AF538" s="142">
        <f t="shared" ca="1" si="305"/>
        <v>0</v>
      </c>
      <c r="AG538" s="132">
        <v>4180</v>
      </c>
      <c r="AH538" s="143">
        <v>3460</v>
      </c>
      <c r="AI538" s="2"/>
      <c r="AL538" s="2"/>
      <c r="AM538" s="1"/>
      <c r="BS538" s="3"/>
      <c r="BT538" s="3"/>
      <c r="BU538" s="3"/>
      <c r="BV538" s="3"/>
      <c r="BY538" s="1"/>
      <c r="BZ538" s="1"/>
      <c r="CA538" s="1"/>
      <c r="CB538" s="1"/>
    </row>
    <row r="539" spans="1:80" ht="33" customHeight="1" thickBot="1">
      <c r="A539" s="130">
        <f t="shared" si="306"/>
        <v>32</v>
      </c>
      <c r="B539" s="131">
        <f>B234</f>
        <v>224</v>
      </c>
      <c r="C539" s="132">
        <f>SUM(E228:E234)</f>
        <v>0</v>
      </c>
      <c r="D539" s="133">
        <f>SUM(C228:C234)</f>
        <v>0</v>
      </c>
      <c r="E539" s="132">
        <f>SUM(F228:F234)</f>
        <v>0</v>
      </c>
      <c r="F539" s="133">
        <f>SUM(D228:D234)</f>
        <v>0</v>
      </c>
      <c r="G539" s="134">
        <f t="shared" si="290"/>
        <v>0</v>
      </c>
      <c r="H539" s="134">
        <f t="shared" si="291"/>
        <v>0</v>
      </c>
      <c r="I539" s="134">
        <f t="shared" si="286"/>
        <v>0</v>
      </c>
      <c r="J539" s="133">
        <f t="shared" si="287"/>
        <v>0</v>
      </c>
      <c r="K539" s="135" t="e">
        <f t="shared" si="292"/>
        <v>#DIV/0!</v>
      </c>
      <c r="L539" s="135" t="e">
        <f t="shared" si="292"/>
        <v>#DIV/0!</v>
      </c>
      <c r="M539" s="135" t="e">
        <f t="shared" si="293"/>
        <v>#DIV/0!</v>
      </c>
      <c r="N539" s="135" t="e">
        <f t="shared" si="293"/>
        <v>#DIV/0!</v>
      </c>
      <c r="O539" s="135">
        <f t="shared" si="307"/>
        <v>3.0000000000000001E-3</v>
      </c>
      <c r="P539" s="136">
        <f>SUM(U228:U234)</f>
        <v>0</v>
      </c>
      <c r="Q539" s="137">
        <f>SUM(V228:V234)</f>
        <v>0</v>
      </c>
      <c r="R539" s="138">
        <f t="shared" si="294"/>
        <v>0</v>
      </c>
      <c r="S539" s="132">
        <f t="shared" si="295"/>
        <v>0</v>
      </c>
      <c r="T539" s="135">
        <f t="shared" si="296"/>
        <v>0</v>
      </c>
      <c r="U539" s="135">
        <f t="shared" si="288"/>
        <v>0</v>
      </c>
      <c r="V539" s="133">
        <f>SUM(AD228:AD234)</f>
        <v>0</v>
      </c>
      <c r="W539" s="139">
        <f t="shared" ca="1" si="297"/>
        <v>0</v>
      </c>
      <c r="X539" s="139">
        <f t="shared" ca="1" si="298"/>
        <v>0</v>
      </c>
      <c r="Y539" s="139">
        <f t="shared" ca="1" si="299"/>
        <v>0</v>
      </c>
      <c r="Z539" s="139">
        <f t="shared" ca="1" si="300"/>
        <v>0</v>
      </c>
      <c r="AA539" s="139">
        <f t="shared" si="289"/>
        <v>0</v>
      </c>
      <c r="AB539" s="140">
        <f t="shared" ca="1" si="301"/>
        <v>0</v>
      </c>
      <c r="AC539" s="141">
        <f t="shared" ca="1" si="302"/>
        <v>0</v>
      </c>
      <c r="AD539" s="142">
        <f t="shared" ca="1" si="303"/>
        <v>0</v>
      </c>
      <c r="AE539" s="141">
        <f t="shared" ca="1" si="304"/>
        <v>0</v>
      </c>
      <c r="AF539" s="142">
        <f t="shared" ca="1" si="305"/>
        <v>0</v>
      </c>
      <c r="AG539" s="132">
        <v>4210</v>
      </c>
      <c r="AH539" s="143">
        <v>3500</v>
      </c>
      <c r="AI539" s="2"/>
      <c r="AL539" s="2"/>
      <c r="AM539" s="1"/>
      <c r="BS539" s="3"/>
      <c r="BT539" s="3"/>
      <c r="BU539" s="3"/>
      <c r="BV539" s="3"/>
      <c r="BY539" s="1"/>
      <c r="BZ539" s="1"/>
      <c r="CA539" s="1"/>
      <c r="CB539" s="1"/>
    </row>
    <row r="540" spans="1:80" ht="33" customHeight="1" thickBot="1">
      <c r="A540" s="130">
        <f t="shared" si="306"/>
        <v>33</v>
      </c>
      <c r="B540" s="131">
        <f>B241</f>
        <v>231</v>
      </c>
      <c r="C540" s="132">
        <f>SUM(E235:E241)</f>
        <v>0</v>
      </c>
      <c r="D540" s="133">
        <f>SUM(C235:C241)</f>
        <v>0</v>
      </c>
      <c r="E540" s="132">
        <f>SUM(F235:F241)</f>
        <v>0</v>
      </c>
      <c r="F540" s="133">
        <f>SUM(D235:D241)</f>
        <v>0</v>
      </c>
      <c r="G540" s="134">
        <f t="shared" si="290"/>
        <v>0</v>
      </c>
      <c r="H540" s="134">
        <f t="shared" si="291"/>
        <v>0</v>
      </c>
      <c r="I540" s="134">
        <f t="shared" si="286"/>
        <v>0</v>
      </c>
      <c r="J540" s="133">
        <f t="shared" si="287"/>
        <v>0</v>
      </c>
      <c r="K540" s="135" t="e">
        <f t="shared" si="292"/>
        <v>#DIV/0!</v>
      </c>
      <c r="L540" s="135" t="e">
        <f t="shared" si="292"/>
        <v>#DIV/0!</v>
      </c>
      <c r="M540" s="135" t="e">
        <f t="shared" si="293"/>
        <v>#DIV/0!</v>
      </c>
      <c r="N540" s="135" t="e">
        <f t="shared" si="293"/>
        <v>#DIV/0!</v>
      </c>
      <c r="O540" s="135">
        <f t="shared" si="307"/>
        <v>3.0000000000000001E-3</v>
      </c>
      <c r="P540" s="136">
        <f>SUM(U235:U241)</f>
        <v>0</v>
      </c>
      <c r="Q540" s="137">
        <f>SUM(V235:V241)</f>
        <v>0</v>
      </c>
      <c r="R540" s="138">
        <f t="shared" si="294"/>
        <v>0</v>
      </c>
      <c r="S540" s="132">
        <f t="shared" si="295"/>
        <v>0</v>
      </c>
      <c r="T540" s="135">
        <f t="shared" si="296"/>
        <v>0</v>
      </c>
      <c r="U540" s="135">
        <f t="shared" si="288"/>
        <v>0</v>
      </c>
      <c r="V540" s="133">
        <f>SUM(AD235:AD241)</f>
        <v>0</v>
      </c>
      <c r="W540" s="139">
        <f t="shared" ca="1" si="297"/>
        <v>0</v>
      </c>
      <c r="X540" s="139">
        <f t="shared" ca="1" si="298"/>
        <v>0</v>
      </c>
      <c r="Y540" s="139">
        <f t="shared" ca="1" si="299"/>
        <v>0</v>
      </c>
      <c r="Z540" s="139">
        <f t="shared" ca="1" si="300"/>
        <v>0</v>
      </c>
      <c r="AA540" s="139">
        <f t="shared" si="289"/>
        <v>0</v>
      </c>
      <c r="AB540" s="140">
        <f t="shared" ca="1" si="301"/>
        <v>0</v>
      </c>
      <c r="AC540" s="141">
        <f t="shared" ca="1" si="302"/>
        <v>0</v>
      </c>
      <c r="AD540" s="142">
        <f t="shared" ca="1" si="303"/>
        <v>0</v>
      </c>
      <c r="AE540" s="141">
        <f t="shared" ca="1" si="304"/>
        <v>0</v>
      </c>
      <c r="AF540" s="142">
        <f t="shared" ca="1" si="305"/>
        <v>0</v>
      </c>
      <c r="AG540" s="132">
        <v>4240</v>
      </c>
      <c r="AH540" s="143">
        <v>3545</v>
      </c>
      <c r="AI540" s="2"/>
      <c r="AL540" s="2"/>
      <c r="AM540" s="1"/>
      <c r="BS540" s="3"/>
      <c r="BT540" s="3"/>
      <c r="BU540" s="3"/>
      <c r="BV540" s="3"/>
      <c r="BY540" s="1"/>
      <c r="BZ540" s="1"/>
      <c r="CA540" s="1"/>
      <c r="CB540" s="1"/>
    </row>
    <row r="541" spans="1:80" ht="33" customHeight="1" thickBot="1">
      <c r="A541" s="130">
        <f t="shared" si="306"/>
        <v>34</v>
      </c>
      <c r="B541" s="131">
        <f>B248</f>
        <v>238</v>
      </c>
      <c r="C541" s="132">
        <f>SUM(E242:E248)</f>
        <v>0</v>
      </c>
      <c r="D541" s="133">
        <f>SUM(C242:C248)</f>
        <v>0</v>
      </c>
      <c r="E541" s="132">
        <f>SUM(F242:F248)</f>
        <v>0</v>
      </c>
      <c r="F541" s="133">
        <f>SUM(D242:D248)</f>
        <v>0</v>
      </c>
      <c r="G541" s="134">
        <f t="shared" si="290"/>
        <v>0</v>
      </c>
      <c r="H541" s="134">
        <f t="shared" si="291"/>
        <v>0</v>
      </c>
      <c r="I541" s="134">
        <f t="shared" si="286"/>
        <v>0</v>
      </c>
      <c r="J541" s="133">
        <f t="shared" si="287"/>
        <v>0</v>
      </c>
      <c r="K541" s="135" t="e">
        <f t="shared" si="292"/>
        <v>#DIV/0!</v>
      </c>
      <c r="L541" s="135" t="e">
        <f t="shared" si="292"/>
        <v>#DIV/0!</v>
      </c>
      <c r="M541" s="135" t="e">
        <f t="shared" si="293"/>
        <v>#DIV/0!</v>
      </c>
      <c r="N541" s="135" t="e">
        <f t="shared" si="293"/>
        <v>#DIV/0!</v>
      </c>
      <c r="O541" s="135">
        <f t="shared" si="307"/>
        <v>3.0000000000000001E-3</v>
      </c>
      <c r="P541" s="136">
        <f>SUM(U242:U248)</f>
        <v>0</v>
      </c>
      <c r="Q541" s="137">
        <f>SUM(V242:V248)</f>
        <v>0</v>
      </c>
      <c r="R541" s="138">
        <f t="shared" si="294"/>
        <v>0</v>
      </c>
      <c r="S541" s="132">
        <f t="shared" si="295"/>
        <v>0</v>
      </c>
      <c r="T541" s="135">
        <f t="shared" si="296"/>
        <v>0</v>
      </c>
      <c r="U541" s="135">
        <f t="shared" si="288"/>
        <v>0</v>
      </c>
      <c r="V541" s="133">
        <f>SUM(AD242:AD248)</f>
        <v>0</v>
      </c>
      <c r="W541" s="139">
        <f t="shared" ca="1" si="297"/>
        <v>0</v>
      </c>
      <c r="X541" s="139">
        <f t="shared" ca="1" si="298"/>
        <v>0</v>
      </c>
      <c r="Y541" s="139">
        <f t="shared" ca="1" si="299"/>
        <v>0</v>
      </c>
      <c r="Z541" s="139">
        <f t="shared" ca="1" si="300"/>
        <v>0</v>
      </c>
      <c r="AA541" s="139">
        <f t="shared" si="289"/>
        <v>0</v>
      </c>
      <c r="AB541" s="140">
        <f t="shared" ca="1" si="301"/>
        <v>0</v>
      </c>
      <c r="AC541" s="141">
        <f t="shared" ca="1" si="302"/>
        <v>0</v>
      </c>
      <c r="AD541" s="142">
        <f t="shared" ca="1" si="303"/>
        <v>0</v>
      </c>
      <c r="AE541" s="141">
        <f t="shared" ca="1" si="304"/>
        <v>0</v>
      </c>
      <c r="AF541" s="142">
        <f t="shared" ca="1" si="305"/>
        <v>0</v>
      </c>
      <c r="AG541" s="132">
        <v>4270</v>
      </c>
      <c r="AH541" s="143">
        <v>3585</v>
      </c>
      <c r="AI541" s="2"/>
      <c r="AL541" s="2"/>
      <c r="AM541" s="1"/>
      <c r="BS541" s="3"/>
      <c r="BT541" s="3"/>
      <c r="BU541" s="3"/>
      <c r="BV541" s="3"/>
      <c r="BY541" s="1"/>
      <c r="BZ541" s="1"/>
      <c r="CA541" s="1"/>
      <c r="CB541" s="1"/>
    </row>
    <row r="542" spans="1:80" ht="33" customHeight="1" thickBot="1">
      <c r="A542" s="130">
        <f t="shared" si="306"/>
        <v>35</v>
      </c>
      <c r="B542" s="131">
        <f>B255</f>
        <v>245</v>
      </c>
      <c r="C542" s="132">
        <f>SUM(E249:E255)</f>
        <v>0</v>
      </c>
      <c r="D542" s="133">
        <f>SUM(C249:C255)</f>
        <v>0</v>
      </c>
      <c r="E542" s="132">
        <f>SUM(F249:F255)</f>
        <v>0</v>
      </c>
      <c r="F542" s="133">
        <f>SUM(D249:D255)</f>
        <v>0</v>
      </c>
      <c r="G542" s="134">
        <f t="shared" si="290"/>
        <v>0</v>
      </c>
      <c r="H542" s="134">
        <f t="shared" si="291"/>
        <v>0</v>
      </c>
      <c r="I542" s="134">
        <f t="shared" si="286"/>
        <v>0</v>
      </c>
      <c r="J542" s="133">
        <f t="shared" si="287"/>
        <v>0</v>
      </c>
      <c r="K542" s="135" t="e">
        <f t="shared" si="292"/>
        <v>#DIV/0!</v>
      </c>
      <c r="L542" s="135" t="e">
        <f t="shared" si="292"/>
        <v>#DIV/0!</v>
      </c>
      <c r="M542" s="135" t="e">
        <f t="shared" si="293"/>
        <v>#DIV/0!</v>
      </c>
      <c r="N542" s="135" t="e">
        <f t="shared" si="293"/>
        <v>#DIV/0!</v>
      </c>
      <c r="O542" s="135">
        <f t="shared" si="307"/>
        <v>3.0000000000000001E-3</v>
      </c>
      <c r="P542" s="136">
        <f>SUM(U249:U255)</f>
        <v>0</v>
      </c>
      <c r="Q542" s="137">
        <f>SUM(V249:V255)</f>
        <v>0</v>
      </c>
      <c r="R542" s="138">
        <f t="shared" si="294"/>
        <v>0</v>
      </c>
      <c r="S542" s="132">
        <f t="shared" si="295"/>
        <v>0</v>
      </c>
      <c r="T542" s="135">
        <f t="shared" si="296"/>
        <v>0</v>
      </c>
      <c r="U542" s="135">
        <f t="shared" si="288"/>
        <v>0</v>
      </c>
      <c r="V542" s="133">
        <f>SUM(AD249:AD255)</f>
        <v>0</v>
      </c>
      <c r="W542" s="139">
        <f t="shared" ca="1" si="297"/>
        <v>0</v>
      </c>
      <c r="X542" s="139">
        <f t="shared" ca="1" si="298"/>
        <v>0</v>
      </c>
      <c r="Y542" s="139">
        <f t="shared" ca="1" si="299"/>
        <v>0</v>
      </c>
      <c r="Z542" s="139">
        <f t="shared" ca="1" si="300"/>
        <v>0</v>
      </c>
      <c r="AA542" s="139">
        <f t="shared" si="289"/>
        <v>0</v>
      </c>
      <c r="AB542" s="140">
        <f t="shared" ca="1" si="301"/>
        <v>0</v>
      </c>
      <c r="AC542" s="141">
        <f t="shared" ca="1" si="302"/>
        <v>0</v>
      </c>
      <c r="AD542" s="142">
        <f t="shared" ca="1" si="303"/>
        <v>0</v>
      </c>
      <c r="AE542" s="141">
        <f t="shared" ca="1" si="304"/>
        <v>0</v>
      </c>
      <c r="AF542" s="142">
        <f t="shared" ca="1" si="305"/>
        <v>0</v>
      </c>
      <c r="AG542" s="132">
        <v>4300</v>
      </c>
      <c r="AH542" s="143">
        <v>3615</v>
      </c>
      <c r="AI542" s="2"/>
      <c r="AL542" s="2"/>
      <c r="AM542" s="1"/>
      <c r="BS542" s="3"/>
      <c r="BT542" s="3"/>
      <c r="BU542" s="3"/>
      <c r="BV542" s="3"/>
      <c r="BY542" s="1"/>
      <c r="BZ542" s="1"/>
      <c r="CA542" s="1"/>
      <c r="CB542" s="1"/>
    </row>
    <row r="543" spans="1:80" ht="33" customHeight="1" thickBot="1">
      <c r="A543" s="130">
        <f t="shared" si="306"/>
        <v>36</v>
      </c>
      <c r="B543" s="131">
        <f>B262</f>
        <v>252</v>
      </c>
      <c r="C543" s="132">
        <f>SUM(E256:E262)</f>
        <v>0</v>
      </c>
      <c r="D543" s="133">
        <f>SUM(C256:C262)</f>
        <v>0</v>
      </c>
      <c r="E543" s="132">
        <f>SUM(F256:F262)</f>
        <v>0</v>
      </c>
      <c r="F543" s="133">
        <f>SUM(D256:D262)</f>
        <v>0</v>
      </c>
      <c r="G543" s="134">
        <f t="shared" si="290"/>
        <v>0</v>
      </c>
      <c r="H543" s="134">
        <f t="shared" si="291"/>
        <v>0</v>
      </c>
      <c r="I543" s="134">
        <f t="shared" si="286"/>
        <v>0</v>
      </c>
      <c r="J543" s="133">
        <f t="shared" si="287"/>
        <v>0</v>
      </c>
      <c r="K543" s="135" t="e">
        <f t="shared" si="292"/>
        <v>#DIV/0!</v>
      </c>
      <c r="L543" s="135" t="e">
        <f t="shared" si="292"/>
        <v>#DIV/0!</v>
      </c>
      <c r="M543" s="135" t="e">
        <f t="shared" si="293"/>
        <v>#DIV/0!</v>
      </c>
      <c r="N543" s="135" t="e">
        <f t="shared" si="293"/>
        <v>#DIV/0!</v>
      </c>
      <c r="O543" s="135">
        <f t="shared" si="307"/>
        <v>3.0000000000000001E-3</v>
      </c>
      <c r="P543" s="136">
        <f>SUM(U256:U262)</f>
        <v>0</v>
      </c>
      <c r="Q543" s="137">
        <f>SUM(V256:V262)</f>
        <v>0</v>
      </c>
      <c r="R543" s="138">
        <f t="shared" si="294"/>
        <v>0</v>
      </c>
      <c r="S543" s="132">
        <f t="shared" si="295"/>
        <v>0</v>
      </c>
      <c r="T543" s="135">
        <f t="shared" si="296"/>
        <v>0</v>
      </c>
      <c r="U543" s="135">
        <f t="shared" si="288"/>
        <v>0</v>
      </c>
      <c r="V543" s="133">
        <f>SUM(AD256:AD262)</f>
        <v>0</v>
      </c>
      <c r="W543" s="139">
        <f t="shared" ca="1" si="297"/>
        <v>0</v>
      </c>
      <c r="X543" s="139">
        <f t="shared" ca="1" si="298"/>
        <v>0</v>
      </c>
      <c r="Y543" s="139">
        <f t="shared" ca="1" si="299"/>
        <v>0</v>
      </c>
      <c r="Z543" s="139">
        <f t="shared" ca="1" si="300"/>
        <v>0</v>
      </c>
      <c r="AA543" s="139">
        <f t="shared" si="289"/>
        <v>0</v>
      </c>
      <c r="AB543" s="140">
        <f t="shared" ca="1" si="301"/>
        <v>0</v>
      </c>
      <c r="AC543" s="141">
        <f t="shared" ca="1" si="302"/>
        <v>0</v>
      </c>
      <c r="AD543" s="142">
        <f t="shared" ca="1" si="303"/>
        <v>0</v>
      </c>
      <c r="AE543" s="141">
        <f t="shared" ca="1" si="304"/>
        <v>0</v>
      </c>
      <c r="AF543" s="142">
        <f t="shared" ca="1" si="305"/>
        <v>0</v>
      </c>
      <c r="AG543" s="132">
        <v>4330</v>
      </c>
      <c r="AH543" s="143">
        <v>3645</v>
      </c>
      <c r="AI543" s="2"/>
      <c r="AL543" s="2"/>
      <c r="AM543" s="1"/>
      <c r="BS543" s="3"/>
      <c r="BT543" s="3"/>
      <c r="BU543" s="3"/>
      <c r="BV543" s="3"/>
      <c r="BY543" s="1"/>
      <c r="BZ543" s="1"/>
      <c r="CA543" s="1"/>
      <c r="CB543" s="1"/>
    </row>
    <row r="544" spans="1:80" ht="33" customHeight="1" thickBot="1">
      <c r="A544" s="130">
        <f t="shared" si="306"/>
        <v>37</v>
      </c>
      <c r="B544" s="131">
        <f>B269</f>
        <v>259</v>
      </c>
      <c r="C544" s="132">
        <f>SUM(E263:E269)</f>
        <v>0</v>
      </c>
      <c r="D544" s="133">
        <f>SUM(C263:C269)</f>
        <v>0</v>
      </c>
      <c r="E544" s="132">
        <f>SUM(F263:F269)</f>
        <v>0</v>
      </c>
      <c r="F544" s="133">
        <f>SUM(D263:D269)</f>
        <v>0</v>
      </c>
      <c r="G544" s="134">
        <f t="shared" si="290"/>
        <v>0</v>
      </c>
      <c r="H544" s="134">
        <f t="shared" si="291"/>
        <v>0</v>
      </c>
      <c r="I544" s="134">
        <f t="shared" si="286"/>
        <v>0</v>
      </c>
      <c r="J544" s="133">
        <f t="shared" si="287"/>
        <v>0</v>
      </c>
      <c r="K544" s="135" t="e">
        <f t="shared" si="292"/>
        <v>#DIV/0!</v>
      </c>
      <c r="L544" s="135" t="e">
        <f t="shared" si="292"/>
        <v>#DIV/0!</v>
      </c>
      <c r="M544" s="135" t="e">
        <f t="shared" si="293"/>
        <v>#DIV/0!</v>
      </c>
      <c r="N544" s="135" t="e">
        <f t="shared" si="293"/>
        <v>#DIV/0!</v>
      </c>
      <c r="O544" s="135">
        <f t="shared" si="307"/>
        <v>3.0000000000000001E-3</v>
      </c>
      <c r="P544" s="136">
        <f>SUM(U263:U269)</f>
        <v>0</v>
      </c>
      <c r="Q544" s="137">
        <f>SUM(V263:V269)</f>
        <v>0</v>
      </c>
      <c r="R544" s="138">
        <f t="shared" si="294"/>
        <v>0</v>
      </c>
      <c r="S544" s="132">
        <f t="shared" si="295"/>
        <v>0</v>
      </c>
      <c r="T544" s="135">
        <f t="shared" si="296"/>
        <v>0</v>
      </c>
      <c r="U544" s="135">
        <f t="shared" si="288"/>
        <v>0</v>
      </c>
      <c r="V544" s="133">
        <f>SUM(AD263:AD269)</f>
        <v>0</v>
      </c>
      <c r="W544" s="139">
        <f t="shared" ca="1" si="297"/>
        <v>0</v>
      </c>
      <c r="X544" s="139">
        <f t="shared" ca="1" si="298"/>
        <v>0</v>
      </c>
      <c r="Y544" s="139">
        <f t="shared" ca="1" si="299"/>
        <v>0</v>
      </c>
      <c r="Z544" s="139">
        <f t="shared" ca="1" si="300"/>
        <v>0</v>
      </c>
      <c r="AA544" s="139">
        <f t="shared" si="289"/>
        <v>0</v>
      </c>
      <c r="AB544" s="140">
        <f t="shared" ca="1" si="301"/>
        <v>0</v>
      </c>
      <c r="AC544" s="141">
        <f t="shared" ca="1" si="302"/>
        <v>0</v>
      </c>
      <c r="AD544" s="142">
        <f t="shared" ca="1" si="303"/>
        <v>0</v>
      </c>
      <c r="AE544" s="141">
        <f t="shared" ca="1" si="304"/>
        <v>0</v>
      </c>
      <c r="AF544" s="142">
        <f t="shared" ca="1" si="305"/>
        <v>0</v>
      </c>
      <c r="AG544" s="132">
        <v>4360</v>
      </c>
      <c r="AH544" s="143">
        <v>3670</v>
      </c>
      <c r="AI544" s="2"/>
      <c r="AL544" s="2"/>
      <c r="AM544" s="1"/>
      <c r="BS544" s="3"/>
      <c r="BT544" s="3"/>
      <c r="BU544" s="3"/>
      <c r="BV544" s="3"/>
      <c r="BY544" s="1"/>
      <c r="BZ544" s="1"/>
      <c r="CA544" s="1"/>
      <c r="CB544" s="1"/>
    </row>
    <row r="545" spans="1:80" ht="33" customHeight="1" thickBot="1">
      <c r="A545" s="130">
        <f t="shared" si="306"/>
        <v>38</v>
      </c>
      <c r="B545" s="131">
        <f>B276</f>
        <v>266</v>
      </c>
      <c r="C545" s="132">
        <f>SUM(E270:E276)</f>
        <v>0</v>
      </c>
      <c r="D545" s="133">
        <f>SUM(C270:C276)</f>
        <v>0</v>
      </c>
      <c r="E545" s="132">
        <f>SUM(F270:F276)</f>
        <v>0</v>
      </c>
      <c r="F545" s="133">
        <f>SUM(D270:D276)</f>
        <v>0</v>
      </c>
      <c r="G545" s="134">
        <f t="shared" si="290"/>
        <v>0</v>
      </c>
      <c r="H545" s="134">
        <f t="shared" si="291"/>
        <v>0</v>
      </c>
      <c r="I545" s="134">
        <f t="shared" si="286"/>
        <v>0</v>
      </c>
      <c r="J545" s="133">
        <f t="shared" si="287"/>
        <v>0</v>
      </c>
      <c r="K545" s="135" t="e">
        <f t="shared" si="292"/>
        <v>#DIV/0!</v>
      </c>
      <c r="L545" s="135" t="e">
        <f t="shared" si="292"/>
        <v>#DIV/0!</v>
      </c>
      <c r="M545" s="135" t="e">
        <f t="shared" si="293"/>
        <v>#DIV/0!</v>
      </c>
      <c r="N545" s="135" t="e">
        <f t="shared" si="293"/>
        <v>#DIV/0!</v>
      </c>
      <c r="O545" s="135">
        <f t="shared" si="307"/>
        <v>3.0000000000000001E-3</v>
      </c>
      <c r="P545" s="136">
        <f>SUM(U270:U276)</f>
        <v>0</v>
      </c>
      <c r="Q545" s="137">
        <f>SUM(V270:V276)</f>
        <v>0</v>
      </c>
      <c r="R545" s="138">
        <f t="shared" si="294"/>
        <v>0</v>
      </c>
      <c r="S545" s="132">
        <f t="shared" si="295"/>
        <v>0</v>
      </c>
      <c r="T545" s="135">
        <f t="shared" si="296"/>
        <v>0</v>
      </c>
      <c r="U545" s="135">
        <f t="shared" si="288"/>
        <v>0</v>
      </c>
      <c r="V545" s="133">
        <f>SUM(AD270:AD276)</f>
        <v>0</v>
      </c>
      <c r="W545" s="139">
        <f t="shared" ca="1" si="297"/>
        <v>0</v>
      </c>
      <c r="X545" s="139">
        <f t="shared" ca="1" si="298"/>
        <v>0</v>
      </c>
      <c r="Y545" s="139">
        <f t="shared" ca="1" si="299"/>
        <v>0</v>
      </c>
      <c r="Z545" s="139">
        <f t="shared" ca="1" si="300"/>
        <v>0</v>
      </c>
      <c r="AA545" s="139">
        <f t="shared" si="289"/>
        <v>0</v>
      </c>
      <c r="AB545" s="140">
        <f t="shared" ca="1" si="301"/>
        <v>0</v>
      </c>
      <c r="AC545" s="141">
        <f t="shared" ca="1" si="302"/>
        <v>0</v>
      </c>
      <c r="AD545" s="142">
        <f t="shared" ca="1" si="303"/>
        <v>0</v>
      </c>
      <c r="AE545" s="141">
        <f t="shared" ca="1" si="304"/>
        <v>0</v>
      </c>
      <c r="AF545" s="142">
        <f t="shared" ca="1" si="305"/>
        <v>0</v>
      </c>
      <c r="AG545" s="132">
        <v>4390</v>
      </c>
      <c r="AH545" s="143">
        <v>3695</v>
      </c>
      <c r="AI545" s="2"/>
      <c r="AL545" s="2"/>
      <c r="AM545" s="1"/>
      <c r="BS545" s="3"/>
      <c r="BT545" s="3"/>
      <c r="BU545" s="3"/>
      <c r="BV545" s="3"/>
      <c r="BY545" s="1"/>
      <c r="BZ545" s="1"/>
      <c r="CA545" s="1"/>
      <c r="CB545" s="1"/>
    </row>
    <row r="546" spans="1:80" ht="33" customHeight="1" thickBot="1">
      <c r="A546" s="130">
        <f t="shared" si="306"/>
        <v>39</v>
      </c>
      <c r="B546" s="131">
        <f>B283</f>
        <v>273</v>
      </c>
      <c r="C546" s="132">
        <f>SUM(E277:E283)</f>
        <v>0</v>
      </c>
      <c r="D546" s="133">
        <f>SUM(C277:C283)</f>
        <v>0</v>
      </c>
      <c r="E546" s="132">
        <f>SUM(F277:F283)</f>
        <v>0</v>
      </c>
      <c r="F546" s="133">
        <f>SUM(D277:D283)</f>
        <v>0</v>
      </c>
      <c r="G546" s="134">
        <f t="shared" si="290"/>
        <v>0</v>
      </c>
      <c r="H546" s="134">
        <f t="shared" si="291"/>
        <v>0</v>
      </c>
      <c r="I546" s="134">
        <f t="shared" si="286"/>
        <v>0</v>
      </c>
      <c r="J546" s="133">
        <f t="shared" si="287"/>
        <v>0</v>
      </c>
      <c r="K546" s="135" t="e">
        <f t="shared" si="292"/>
        <v>#DIV/0!</v>
      </c>
      <c r="L546" s="135" t="e">
        <f t="shared" si="292"/>
        <v>#DIV/0!</v>
      </c>
      <c r="M546" s="135" t="e">
        <f t="shared" si="293"/>
        <v>#DIV/0!</v>
      </c>
      <c r="N546" s="135" t="e">
        <f t="shared" si="293"/>
        <v>#DIV/0!</v>
      </c>
      <c r="O546" s="135">
        <f t="shared" si="307"/>
        <v>3.0000000000000001E-3</v>
      </c>
      <c r="P546" s="136">
        <f>SUM(U277:U283)</f>
        <v>0</v>
      </c>
      <c r="Q546" s="137">
        <f>SUM(V277:V283)</f>
        <v>0</v>
      </c>
      <c r="R546" s="138">
        <f t="shared" si="294"/>
        <v>0</v>
      </c>
      <c r="S546" s="132">
        <f t="shared" si="295"/>
        <v>0</v>
      </c>
      <c r="T546" s="135">
        <f t="shared" si="296"/>
        <v>0</v>
      </c>
      <c r="U546" s="135">
        <f t="shared" si="288"/>
        <v>0</v>
      </c>
      <c r="V546" s="133">
        <f>SUM(AD277:AD283)</f>
        <v>0</v>
      </c>
      <c r="W546" s="139">
        <f t="shared" ca="1" si="297"/>
        <v>0</v>
      </c>
      <c r="X546" s="139">
        <f t="shared" ca="1" si="298"/>
        <v>0</v>
      </c>
      <c r="Y546" s="139">
        <f t="shared" ca="1" si="299"/>
        <v>0</v>
      </c>
      <c r="Z546" s="139">
        <f t="shared" ca="1" si="300"/>
        <v>0</v>
      </c>
      <c r="AA546" s="139">
        <f t="shared" si="289"/>
        <v>0</v>
      </c>
      <c r="AB546" s="140">
        <f t="shared" ca="1" si="301"/>
        <v>0</v>
      </c>
      <c r="AC546" s="141">
        <f t="shared" ca="1" si="302"/>
        <v>0</v>
      </c>
      <c r="AD546" s="142">
        <f t="shared" ca="1" si="303"/>
        <v>0</v>
      </c>
      <c r="AE546" s="141">
        <f t="shared" ca="1" si="304"/>
        <v>0</v>
      </c>
      <c r="AF546" s="142">
        <f t="shared" ca="1" si="305"/>
        <v>0</v>
      </c>
      <c r="AG546" s="132">
        <v>4420</v>
      </c>
      <c r="AH546" s="143">
        <v>3720</v>
      </c>
      <c r="AI546" s="2"/>
      <c r="AL546" s="2"/>
      <c r="AM546" s="1"/>
      <c r="BS546" s="3"/>
      <c r="BT546" s="3"/>
      <c r="BU546" s="3"/>
      <c r="BV546" s="3"/>
      <c r="BY546" s="1"/>
      <c r="BZ546" s="1"/>
      <c r="CA546" s="1"/>
      <c r="CB546" s="1"/>
    </row>
    <row r="547" spans="1:80" ht="33" customHeight="1" thickBot="1">
      <c r="A547" s="130">
        <f t="shared" si="306"/>
        <v>40</v>
      </c>
      <c r="B547" s="131">
        <f>B290</f>
        <v>280</v>
      </c>
      <c r="C547" s="132">
        <f>SUM(E284:E290)</f>
        <v>0</v>
      </c>
      <c r="D547" s="133">
        <f>SUM(C284:C290)</f>
        <v>0</v>
      </c>
      <c r="E547" s="132">
        <f>SUM(F284:F290)</f>
        <v>0</v>
      </c>
      <c r="F547" s="133">
        <f>SUM(D284:D290)</f>
        <v>0</v>
      </c>
      <c r="G547" s="134">
        <f t="shared" si="290"/>
        <v>0</v>
      </c>
      <c r="H547" s="134">
        <f t="shared" si="291"/>
        <v>0</v>
      </c>
      <c r="I547" s="134">
        <f t="shared" si="286"/>
        <v>0</v>
      </c>
      <c r="J547" s="133">
        <f t="shared" si="287"/>
        <v>0</v>
      </c>
      <c r="K547" s="135" t="e">
        <f t="shared" si="292"/>
        <v>#DIV/0!</v>
      </c>
      <c r="L547" s="135" t="e">
        <f t="shared" si="292"/>
        <v>#DIV/0!</v>
      </c>
      <c r="M547" s="135" t="e">
        <f t="shared" si="293"/>
        <v>#DIV/0!</v>
      </c>
      <c r="N547" s="135" t="e">
        <f t="shared" si="293"/>
        <v>#DIV/0!</v>
      </c>
      <c r="O547" s="135">
        <f t="shared" si="307"/>
        <v>3.0000000000000001E-3</v>
      </c>
      <c r="P547" s="136">
        <f>SUM(U284:U290)</f>
        <v>0</v>
      </c>
      <c r="Q547" s="137">
        <f>SUM(V284:V290)</f>
        <v>0</v>
      </c>
      <c r="R547" s="138">
        <f t="shared" si="294"/>
        <v>0</v>
      </c>
      <c r="S547" s="132">
        <f t="shared" si="295"/>
        <v>0</v>
      </c>
      <c r="T547" s="135">
        <f t="shared" si="296"/>
        <v>0</v>
      </c>
      <c r="U547" s="135">
        <f t="shared" si="288"/>
        <v>0</v>
      </c>
      <c r="V547" s="133">
        <f>SUM(AD284:AD290)</f>
        <v>0</v>
      </c>
      <c r="W547" s="139">
        <f t="shared" ca="1" si="297"/>
        <v>0</v>
      </c>
      <c r="X547" s="139">
        <f t="shared" ca="1" si="298"/>
        <v>0</v>
      </c>
      <c r="Y547" s="139">
        <f t="shared" ca="1" si="299"/>
        <v>0</v>
      </c>
      <c r="Z547" s="139">
        <f t="shared" ca="1" si="300"/>
        <v>0</v>
      </c>
      <c r="AA547" s="139">
        <f t="shared" si="289"/>
        <v>0</v>
      </c>
      <c r="AB547" s="140">
        <f t="shared" ca="1" si="301"/>
        <v>0</v>
      </c>
      <c r="AC547" s="141">
        <f t="shared" ca="1" si="302"/>
        <v>0</v>
      </c>
      <c r="AD547" s="142">
        <f t="shared" ca="1" si="303"/>
        <v>0</v>
      </c>
      <c r="AE547" s="141">
        <f t="shared" ca="1" si="304"/>
        <v>0</v>
      </c>
      <c r="AF547" s="142">
        <f t="shared" ca="1" si="305"/>
        <v>0</v>
      </c>
      <c r="AG547" s="132">
        <v>4450</v>
      </c>
      <c r="AH547" s="143">
        <v>3740</v>
      </c>
      <c r="AI547" s="2"/>
      <c r="AL547" s="2"/>
      <c r="AM547" s="1"/>
      <c r="BS547" s="3"/>
      <c r="BT547" s="3"/>
      <c r="BU547" s="3"/>
      <c r="BV547" s="3"/>
      <c r="BY547" s="1"/>
      <c r="BZ547" s="1"/>
      <c r="CA547" s="1"/>
      <c r="CB547" s="1"/>
    </row>
    <row r="548" spans="1:80" ht="33" customHeight="1" thickBot="1">
      <c r="A548" s="130">
        <f t="shared" si="306"/>
        <v>41</v>
      </c>
      <c r="B548" s="131">
        <f>B297</f>
        <v>287</v>
      </c>
      <c r="C548" s="132">
        <f>SUM(E291:E297)</f>
        <v>0</v>
      </c>
      <c r="D548" s="133">
        <f>SUM(C291:C297)</f>
        <v>0</v>
      </c>
      <c r="E548" s="132">
        <f>SUM(F291:F297)</f>
        <v>0</v>
      </c>
      <c r="F548" s="133">
        <f>SUM(D291:D297)</f>
        <v>0</v>
      </c>
      <c r="G548" s="134">
        <f t="shared" si="290"/>
        <v>0</v>
      </c>
      <c r="H548" s="134">
        <f t="shared" si="291"/>
        <v>0</v>
      </c>
      <c r="I548" s="134">
        <f t="shared" si="286"/>
        <v>0</v>
      </c>
      <c r="J548" s="133">
        <f t="shared" si="287"/>
        <v>0</v>
      </c>
      <c r="K548" s="135" t="e">
        <f t="shared" si="292"/>
        <v>#DIV/0!</v>
      </c>
      <c r="L548" s="135" t="e">
        <f t="shared" si="292"/>
        <v>#DIV/0!</v>
      </c>
      <c r="M548" s="135" t="e">
        <f t="shared" si="293"/>
        <v>#DIV/0!</v>
      </c>
      <c r="N548" s="135" t="e">
        <f t="shared" si="293"/>
        <v>#DIV/0!</v>
      </c>
      <c r="O548" s="135">
        <f t="shared" si="307"/>
        <v>3.0000000000000001E-3</v>
      </c>
      <c r="P548" s="136">
        <f>SUM(U291:U297)</f>
        <v>0</v>
      </c>
      <c r="Q548" s="137">
        <f>SUM(V291:V297)</f>
        <v>0</v>
      </c>
      <c r="R548" s="138">
        <f t="shared" si="294"/>
        <v>0</v>
      </c>
      <c r="S548" s="132">
        <f t="shared" si="295"/>
        <v>0</v>
      </c>
      <c r="T548" s="135">
        <f t="shared" si="296"/>
        <v>0</v>
      </c>
      <c r="U548" s="135">
        <f t="shared" si="288"/>
        <v>0</v>
      </c>
      <c r="V548" s="133">
        <f>SUM(AD291:AD297)</f>
        <v>0</v>
      </c>
      <c r="W548" s="139">
        <f t="shared" ca="1" si="297"/>
        <v>0</v>
      </c>
      <c r="X548" s="139">
        <f t="shared" ca="1" si="298"/>
        <v>0</v>
      </c>
      <c r="Y548" s="139">
        <f t="shared" ca="1" si="299"/>
        <v>0</v>
      </c>
      <c r="Z548" s="139">
        <f t="shared" ca="1" si="300"/>
        <v>0</v>
      </c>
      <c r="AA548" s="139">
        <f t="shared" si="289"/>
        <v>0</v>
      </c>
      <c r="AB548" s="140">
        <f t="shared" ca="1" si="301"/>
        <v>0</v>
      </c>
      <c r="AC548" s="141">
        <f t="shared" ca="1" si="302"/>
        <v>0</v>
      </c>
      <c r="AD548" s="142">
        <f t="shared" ca="1" si="303"/>
        <v>0</v>
      </c>
      <c r="AE548" s="141">
        <f t="shared" ca="1" si="304"/>
        <v>0</v>
      </c>
      <c r="AF548" s="142">
        <f t="shared" ca="1" si="305"/>
        <v>0</v>
      </c>
      <c r="AG548" s="132">
        <v>4480</v>
      </c>
      <c r="AH548" s="143">
        <v>3760</v>
      </c>
      <c r="AI548" s="2"/>
      <c r="AL548" s="2"/>
      <c r="AM548" s="1"/>
      <c r="BS548" s="3"/>
      <c r="BT548" s="3"/>
      <c r="BU548" s="3"/>
      <c r="BV548" s="3"/>
      <c r="BY548" s="1"/>
      <c r="BZ548" s="1"/>
      <c r="CA548" s="1"/>
      <c r="CB548" s="1"/>
    </row>
    <row r="549" spans="1:80" ht="33" customHeight="1" thickBot="1">
      <c r="A549" s="130">
        <f t="shared" si="306"/>
        <v>42</v>
      </c>
      <c r="B549" s="131">
        <f>B304</f>
        <v>294</v>
      </c>
      <c r="C549" s="132">
        <f>SUM(E298:E304)</f>
        <v>0</v>
      </c>
      <c r="D549" s="133">
        <f>SUM(C298:C304)</f>
        <v>0</v>
      </c>
      <c r="E549" s="132">
        <f>SUM(F298:F304)</f>
        <v>0</v>
      </c>
      <c r="F549" s="133">
        <f>SUM(D298:D304)</f>
        <v>0</v>
      </c>
      <c r="G549" s="134">
        <f t="shared" si="290"/>
        <v>0</v>
      </c>
      <c r="H549" s="134">
        <f t="shared" si="291"/>
        <v>0</v>
      </c>
      <c r="I549" s="134">
        <f t="shared" si="286"/>
        <v>0</v>
      </c>
      <c r="J549" s="133">
        <f t="shared" si="287"/>
        <v>0</v>
      </c>
      <c r="K549" s="135" t="e">
        <f t="shared" si="292"/>
        <v>#DIV/0!</v>
      </c>
      <c r="L549" s="135" t="e">
        <f t="shared" si="292"/>
        <v>#DIV/0!</v>
      </c>
      <c r="M549" s="135" t="e">
        <f t="shared" si="293"/>
        <v>#DIV/0!</v>
      </c>
      <c r="N549" s="135" t="e">
        <f t="shared" si="293"/>
        <v>#DIV/0!</v>
      </c>
      <c r="O549" s="135">
        <f t="shared" si="307"/>
        <v>3.0000000000000001E-3</v>
      </c>
      <c r="P549" s="136">
        <f>SUM(U298:U304)</f>
        <v>0</v>
      </c>
      <c r="Q549" s="137">
        <f>SUM(V298:V304)</f>
        <v>0</v>
      </c>
      <c r="R549" s="138">
        <f t="shared" si="294"/>
        <v>0</v>
      </c>
      <c r="S549" s="132">
        <f t="shared" si="295"/>
        <v>0</v>
      </c>
      <c r="T549" s="135">
        <f t="shared" si="296"/>
        <v>0</v>
      </c>
      <c r="U549" s="135">
        <f t="shared" si="288"/>
        <v>0</v>
      </c>
      <c r="V549" s="133">
        <f>SUM(AD298:AD304)</f>
        <v>0</v>
      </c>
      <c r="W549" s="139">
        <f t="shared" ca="1" si="297"/>
        <v>0</v>
      </c>
      <c r="X549" s="139">
        <f t="shared" ca="1" si="298"/>
        <v>0</v>
      </c>
      <c r="Y549" s="139">
        <f t="shared" ca="1" si="299"/>
        <v>0</v>
      </c>
      <c r="Z549" s="139">
        <f t="shared" ca="1" si="300"/>
        <v>0</v>
      </c>
      <c r="AA549" s="139">
        <f t="shared" si="289"/>
        <v>0</v>
      </c>
      <c r="AB549" s="140">
        <f t="shared" ca="1" si="301"/>
        <v>0</v>
      </c>
      <c r="AC549" s="141">
        <f t="shared" ca="1" si="302"/>
        <v>0</v>
      </c>
      <c r="AD549" s="142">
        <f t="shared" ca="1" si="303"/>
        <v>0</v>
      </c>
      <c r="AE549" s="141">
        <f t="shared" ca="1" si="304"/>
        <v>0</v>
      </c>
      <c r="AF549" s="142">
        <f t="shared" ca="1" si="305"/>
        <v>0</v>
      </c>
      <c r="AG549" s="132">
        <v>4510</v>
      </c>
      <c r="AH549" s="143">
        <v>3780</v>
      </c>
      <c r="AI549" s="2"/>
      <c r="AL549" s="2"/>
      <c r="AM549" s="1"/>
      <c r="BS549" s="3"/>
      <c r="BT549" s="3"/>
      <c r="BU549" s="3"/>
      <c r="BV549" s="3"/>
      <c r="BY549" s="1"/>
      <c r="BZ549" s="1"/>
      <c r="CA549" s="1"/>
      <c r="CB549" s="1"/>
    </row>
    <row r="550" spans="1:80" ht="33" customHeight="1" thickBot="1">
      <c r="A550" s="130">
        <f t="shared" si="306"/>
        <v>43</v>
      </c>
      <c r="B550" s="131">
        <f>B311</f>
        <v>301</v>
      </c>
      <c r="C550" s="132">
        <f>SUM(E305:E311)</f>
        <v>0</v>
      </c>
      <c r="D550" s="133">
        <f>SUM(C305:C311)</f>
        <v>0</v>
      </c>
      <c r="E550" s="132">
        <f>SUM(F305:F311)</f>
        <v>0</v>
      </c>
      <c r="F550" s="133">
        <f>SUM(D305:D311)</f>
        <v>0</v>
      </c>
      <c r="G550" s="134">
        <f t="shared" si="290"/>
        <v>0</v>
      </c>
      <c r="H550" s="134">
        <f t="shared" si="291"/>
        <v>0</v>
      </c>
      <c r="I550" s="134">
        <f t="shared" si="286"/>
        <v>0</v>
      </c>
      <c r="J550" s="133">
        <f t="shared" si="287"/>
        <v>0</v>
      </c>
      <c r="K550" s="135" t="e">
        <f t="shared" si="292"/>
        <v>#DIV/0!</v>
      </c>
      <c r="L550" s="135" t="e">
        <f t="shared" si="292"/>
        <v>#DIV/0!</v>
      </c>
      <c r="M550" s="135" t="e">
        <f t="shared" si="293"/>
        <v>#DIV/0!</v>
      </c>
      <c r="N550" s="135" t="e">
        <f t="shared" si="293"/>
        <v>#DIV/0!</v>
      </c>
      <c r="O550" s="135">
        <f t="shared" si="307"/>
        <v>3.0000000000000001E-3</v>
      </c>
      <c r="P550" s="136">
        <f>SUM(U305:U311)</f>
        <v>0</v>
      </c>
      <c r="Q550" s="137">
        <f>SUM(V305:V311)</f>
        <v>0</v>
      </c>
      <c r="R550" s="138">
        <f t="shared" si="294"/>
        <v>0</v>
      </c>
      <c r="S550" s="132">
        <f t="shared" si="295"/>
        <v>0</v>
      </c>
      <c r="T550" s="135">
        <f t="shared" si="296"/>
        <v>0</v>
      </c>
      <c r="U550" s="135">
        <f t="shared" si="288"/>
        <v>0</v>
      </c>
      <c r="V550" s="133">
        <f>SUM(AD305:AD311)</f>
        <v>0</v>
      </c>
      <c r="W550" s="139">
        <f t="shared" ca="1" si="297"/>
        <v>0</v>
      </c>
      <c r="X550" s="139">
        <f t="shared" ca="1" si="298"/>
        <v>0</v>
      </c>
      <c r="Y550" s="139">
        <f t="shared" ca="1" si="299"/>
        <v>0</v>
      </c>
      <c r="Z550" s="139">
        <f t="shared" ca="1" si="300"/>
        <v>0</v>
      </c>
      <c r="AA550" s="139">
        <f t="shared" si="289"/>
        <v>0</v>
      </c>
      <c r="AB550" s="140">
        <f t="shared" ca="1" si="301"/>
        <v>0</v>
      </c>
      <c r="AC550" s="141">
        <f t="shared" ca="1" si="302"/>
        <v>0</v>
      </c>
      <c r="AD550" s="142">
        <f t="shared" ca="1" si="303"/>
        <v>0</v>
      </c>
      <c r="AE550" s="141">
        <f t="shared" ca="1" si="304"/>
        <v>0</v>
      </c>
      <c r="AF550" s="142">
        <f t="shared" ca="1" si="305"/>
        <v>0</v>
      </c>
      <c r="AG550" s="132">
        <v>4540</v>
      </c>
      <c r="AH550" s="143">
        <v>3800</v>
      </c>
      <c r="AI550" s="2"/>
      <c r="AL550" s="2"/>
      <c r="AM550" s="1"/>
      <c r="BS550" s="3"/>
      <c r="BT550" s="3"/>
      <c r="BU550" s="3"/>
      <c r="BV550" s="3"/>
      <c r="BY550" s="1"/>
      <c r="BZ550" s="1"/>
      <c r="CA550" s="1"/>
      <c r="CB550" s="1"/>
    </row>
    <row r="551" spans="1:80" ht="33" customHeight="1" thickBot="1">
      <c r="A551" s="130">
        <f t="shared" si="306"/>
        <v>44</v>
      </c>
      <c r="B551" s="131">
        <f>B318</f>
        <v>308</v>
      </c>
      <c r="C551" s="132">
        <f>SUM(E312:E318)</f>
        <v>0</v>
      </c>
      <c r="D551" s="133">
        <f>SUM(C312:C318)</f>
        <v>0</v>
      </c>
      <c r="E551" s="132">
        <f>SUM(F312:F318)</f>
        <v>0</v>
      </c>
      <c r="F551" s="133">
        <f>SUM(D312:D318)</f>
        <v>0</v>
      </c>
      <c r="G551" s="134">
        <f t="shared" si="290"/>
        <v>0</v>
      </c>
      <c r="H551" s="134">
        <f t="shared" si="291"/>
        <v>0</v>
      </c>
      <c r="I551" s="134">
        <f t="shared" si="286"/>
        <v>0</v>
      </c>
      <c r="J551" s="133">
        <f t="shared" si="287"/>
        <v>0</v>
      </c>
      <c r="K551" s="135" t="e">
        <f t="shared" si="292"/>
        <v>#DIV/0!</v>
      </c>
      <c r="L551" s="135" t="e">
        <f t="shared" si="292"/>
        <v>#DIV/0!</v>
      </c>
      <c r="M551" s="135" t="e">
        <f t="shared" si="293"/>
        <v>#DIV/0!</v>
      </c>
      <c r="N551" s="135" t="e">
        <f t="shared" si="293"/>
        <v>#DIV/0!</v>
      </c>
      <c r="O551" s="135">
        <f t="shared" si="307"/>
        <v>3.0000000000000001E-3</v>
      </c>
      <c r="P551" s="136">
        <f>SUM(U312:U318)</f>
        <v>0</v>
      </c>
      <c r="Q551" s="137">
        <f>SUM(V312:V318)</f>
        <v>0</v>
      </c>
      <c r="R551" s="138">
        <f t="shared" si="294"/>
        <v>0</v>
      </c>
      <c r="S551" s="132">
        <f t="shared" si="295"/>
        <v>0</v>
      </c>
      <c r="T551" s="135">
        <f t="shared" si="296"/>
        <v>0</v>
      </c>
      <c r="U551" s="135">
        <f t="shared" si="288"/>
        <v>0</v>
      </c>
      <c r="V551" s="133">
        <f>SUM(AD312:AD318)</f>
        <v>0</v>
      </c>
      <c r="W551" s="139">
        <f t="shared" ca="1" si="297"/>
        <v>0</v>
      </c>
      <c r="X551" s="139">
        <f t="shared" ca="1" si="298"/>
        <v>0</v>
      </c>
      <c r="Y551" s="139">
        <f t="shared" ca="1" si="299"/>
        <v>0</v>
      </c>
      <c r="Z551" s="139">
        <f t="shared" ca="1" si="300"/>
        <v>0</v>
      </c>
      <c r="AA551" s="139">
        <f t="shared" si="289"/>
        <v>0</v>
      </c>
      <c r="AB551" s="140">
        <f t="shared" ca="1" si="301"/>
        <v>0</v>
      </c>
      <c r="AC551" s="141">
        <f t="shared" ca="1" si="302"/>
        <v>0</v>
      </c>
      <c r="AD551" s="142">
        <f t="shared" ca="1" si="303"/>
        <v>0</v>
      </c>
      <c r="AE551" s="141">
        <f t="shared" ca="1" si="304"/>
        <v>0</v>
      </c>
      <c r="AF551" s="142">
        <f t="shared" ca="1" si="305"/>
        <v>0</v>
      </c>
      <c r="AG551" s="132">
        <v>4570</v>
      </c>
      <c r="AH551" s="143">
        <v>3820</v>
      </c>
      <c r="AI551" s="2"/>
      <c r="AL551" s="2"/>
      <c r="AM551" s="1"/>
      <c r="BS551" s="3"/>
      <c r="BT551" s="3"/>
      <c r="BU551" s="3"/>
      <c r="BV551" s="3"/>
      <c r="BY551" s="1"/>
      <c r="BZ551" s="1"/>
      <c r="CA551" s="1"/>
      <c r="CB551" s="1"/>
    </row>
    <row r="552" spans="1:80" ht="33" customHeight="1" thickBot="1">
      <c r="A552" s="130">
        <f t="shared" si="306"/>
        <v>45</v>
      </c>
      <c r="B552" s="131">
        <f>B325</f>
        <v>315</v>
      </c>
      <c r="C552" s="132">
        <f>SUM(E319:E325)</f>
        <v>0</v>
      </c>
      <c r="D552" s="133">
        <f>SUM(C319:C325)</f>
        <v>0</v>
      </c>
      <c r="E552" s="132">
        <f>SUM(F319:F325)</f>
        <v>0</v>
      </c>
      <c r="F552" s="133">
        <f>SUM(D319:D325)</f>
        <v>0</v>
      </c>
      <c r="G552" s="134">
        <f t="shared" si="290"/>
        <v>0</v>
      </c>
      <c r="H552" s="134">
        <f t="shared" si="291"/>
        <v>0</v>
      </c>
      <c r="I552" s="134">
        <f t="shared" si="286"/>
        <v>0</v>
      </c>
      <c r="J552" s="133">
        <f t="shared" si="287"/>
        <v>0</v>
      </c>
      <c r="K552" s="135" t="e">
        <f t="shared" si="292"/>
        <v>#DIV/0!</v>
      </c>
      <c r="L552" s="135" t="e">
        <f t="shared" si="292"/>
        <v>#DIV/0!</v>
      </c>
      <c r="M552" s="135" t="e">
        <f t="shared" si="293"/>
        <v>#DIV/0!</v>
      </c>
      <c r="N552" s="135" t="e">
        <f t="shared" si="293"/>
        <v>#DIV/0!</v>
      </c>
      <c r="O552" s="135">
        <f t="shared" si="307"/>
        <v>3.0000000000000001E-3</v>
      </c>
      <c r="P552" s="136">
        <f>SUM(U319:U325)</f>
        <v>0</v>
      </c>
      <c r="Q552" s="137">
        <f>SUM(V319:V325)</f>
        <v>0</v>
      </c>
      <c r="R552" s="138">
        <f t="shared" si="294"/>
        <v>0</v>
      </c>
      <c r="S552" s="132">
        <f t="shared" si="295"/>
        <v>0</v>
      </c>
      <c r="T552" s="135">
        <f t="shared" si="296"/>
        <v>0</v>
      </c>
      <c r="U552" s="135">
        <f t="shared" si="288"/>
        <v>0</v>
      </c>
      <c r="V552" s="133">
        <f>SUM(AD319:AD325)</f>
        <v>0</v>
      </c>
      <c r="W552" s="139">
        <f t="shared" ca="1" si="297"/>
        <v>0</v>
      </c>
      <c r="X552" s="139">
        <f t="shared" ca="1" si="298"/>
        <v>0</v>
      </c>
      <c r="Y552" s="139">
        <f t="shared" ca="1" si="299"/>
        <v>0</v>
      </c>
      <c r="Z552" s="139">
        <f t="shared" ca="1" si="300"/>
        <v>0</v>
      </c>
      <c r="AA552" s="139">
        <f t="shared" si="289"/>
        <v>0</v>
      </c>
      <c r="AB552" s="140">
        <f t="shared" ca="1" si="301"/>
        <v>0</v>
      </c>
      <c r="AC552" s="141">
        <f t="shared" ca="1" si="302"/>
        <v>0</v>
      </c>
      <c r="AD552" s="142">
        <f t="shared" ca="1" si="303"/>
        <v>0</v>
      </c>
      <c r="AE552" s="141">
        <f t="shared" ca="1" si="304"/>
        <v>0</v>
      </c>
      <c r="AF552" s="142">
        <f t="shared" ca="1" si="305"/>
        <v>0</v>
      </c>
      <c r="AG552" s="132">
        <v>4600</v>
      </c>
      <c r="AH552" s="143">
        <v>3840</v>
      </c>
      <c r="AI552" s="2"/>
      <c r="AL552" s="2"/>
      <c r="AM552" s="1"/>
      <c r="BS552" s="3"/>
      <c r="BT552" s="3"/>
      <c r="BU552" s="3"/>
      <c r="BV552" s="3"/>
      <c r="BY552" s="1"/>
      <c r="BZ552" s="1"/>
      <c r="CA552" s="1"/>
      <c r="CB552" s="1"/>
    </row>
    <row r="553" spans="1:80" ht="33" customHeight="1" thickBot="1">
      <c r="A553" s="130">
        <f t="shared" si="306"/>
        <v>46</v>
      </c>
      <c r="B553" s="131">
        <f>B332</f>
        <v>322</v>
      </c>
      <c r="C553" s="132">
        <f>SUM(E326:E332)</f>
        <v>0</v>
      </c>
      <c r="D553" s="133">
        <f>SUM(C326:C332)</f>
        <v>0</v>
      </c>
      <c r="E553" s="132">
        <f>SUM(F326:F332)</f>
        <v>0</v>
      </c>
      <c r="F553" s="133">
        <f>SUM(D326:D332)</f>
        <v>0</v>
      </c>
      <c r="G553" s="134">
        <f t="shared" si="290"/>
        <v>0</v>
      </c>
      <c r="H553" s="134">
        <f t="shared" si="291"/>
        <v>0</v>
      </c>
      <c r="I553" s="134">
        <f t="shared" si="286"/>
        <v>0</v>
      </c>
      <c r="J553" s="133">
        <f t="shared" si="287"/>
        <v>0</v>
      </c>
      <c r="K553" s="135" t="e">
        <f t="shared" si="292"/>
        <v>#DIV/0!</v>
      </c>
      <c r="L553" s="135" t="e">
        <f t="shared" si="292"/>
        <v>#DIV/0!</v>
      </c>
      <c r="M553" s="135" t="e">
        <f t="shared" si="293"/>
        <v>#DIV/0!</v>
      </c>
      <c r="N553" s="135" t="e">
        <f t="shared" si="293"/>
        <v>#DIV/0!</v>
      </c>
      <c r="O553" s="135">
        <f t="shared" si="307"/>
        <v>3.0000000000000001E-3</v>
      </c>
      <c r="P553" s="136">
        <f>SUM(U326:U332)</f>
        <v>0</v>
      </c>
      <c r="Q553" s="137">
        <f>SUM(V326:V332)</f>
        <v>0</v>
      </c>
      <c r="R553" s="138">
        <f t="shared" si="294"/>
        <v>0</v>
      </c>
      <c r="S553" s="132">
        <f t="shared" si="295"/>
        <v>0</v>
      </c>
      <c r="T553" s="135">
        <f t="shared" si="296"/>
        <v>0</v>
      </c>
      <c r="U553" s="135">
        <f t="shared" si="288"/>
        <v>0</v>
      </c>
      <c r="V553" s="133">
        <f>SUM(AD326:AD332)</f>
        <v>0</v>
      </c>
      <c r="W553" s="139">
        <f t="shared" ca="1" si="297"/>
        <v>0</v>
      </c>
      <c r="X553" s="139">
        <f t="shared" ca="1" si="298"/>
        <v>0</v>
      </c>
      <c r="Y553" s="139">
        <f t="shared" ca="1" si="299"/>
        <v>0</v>
      </c>
      <c r="Z553" s="139">
        <f t="shared" ca="1" si="300"/>
        <v>0</v>
      </c>
      <c r="AA553" s="139">
        <f t="shared" si="289"/>
        <v>0</v>
      </c>
      <c r="AB553" s="140">
        <f t="shared" ca="1" si="301"/>
        <v>0</v>
      </c>
      <c r="AC553" s="141">
        <f t="shared" ca="1" si="302"/>
        <v>0</v>
      </c>
      <c r="AD553" s="142">
        <f t="shared" ca="1" si="303"/>
        <v>0</v>
      </c>
      <c r="AE553" s="141">
        <f t="shared" ca="1" si="304"/>
        <v>0</v>
      </c>
      <c r="AF553" s="142">
        <f t="shared" ca="1" si="305"/>
        <v>0</v>
      </c>
      <c r="AG553" s="132">
        <v>4630</v>
      </c>
      <c r="AH553" s="143">
        <v>3860</v>
      </c>
      <c r="AI553" s="2"/>
      <c r="AL553" s="2"/>
      <c r="AM553" s="1"/>
      <c r="BS553" s="3"/>
      <c r="BT553" s="3"/>
      <c r="BU553" s="3"/>
      <c r="BV553" s="3"/>
      <c r="BY553" s="1"/>
      <c r="BZ553" s="1"/>
      <c r="CA553" s="1"/>
      <c r="CB553" s="1"/>
    </row>
    <row r="554" spans="1:80" ht="33" customHeight="1" thickBot="1">
      <c r="A554" s="130">
        <f t="shared" si="306"/>
        <v>47</v>
      </c>
      <c r="B554" s="131">
        <f>B339</f>
        <v>329</v>
      </c>
      <c r="C554" s="132">
        <f>SUM(E333:E339)</f>
        <v>0</v>
      </c>
      <c r="D554" s="133">
        <f>SUM(C333:C339)</f>
        <v>0</v>
      </c>
      <c r="E554" s="132">
        <f>SUM(F333:F339)</f>
        <v>0</v>
      </c>
      <c r="F554" s="133">
        <f>SUM(D333:D339)</f>
        <v>0</v>
      </c>
      <c r="G554" s="134">
        <f t="shared" si="290"/>
        <v>0</v>
      </c>
      <c r="H554" s="134">
        <f t="shared" si="291"/>
        <v>0</v>
      </c>
      <c r="I554" s="134">
        <f t="shared" si="286"/>
        <v>0</v>
      </c>
      <c r="J554" s="133">
        <f t="shared" si="287"/>
        <v>0</v>
      </c>
      <c r="K554" s="135" t="e">
        <f t="shared" si="292"/>
        <v>#DIV/0!</v>
      </c>
      <c r="L554" s="135" t="e">
        <f t="shared" si="292"/>
        <v>#DIV/0!</v>
      </c>
      <c r="M554" s="135" t="e">
        <f t="shared" si="293"/>
        <v>#DIV/0!</v>
      </c>
      <c r="N554" s="135" t="e">
        <f t="shared" si="293"/>
        <v>#DIV/0!</v>
      </c>
      <c r="O554" s="135">
        <f t="shared" si="307"/>
        <v>3.0000000000000001E-3</v>
      </c>
      <c r="P554" s="136">
        <f>SUM(U333:U339)</f>
        <v>0</v>
      </c>
      <c r="Q554" s="137">
        <f>SUM(V333:V339)</f>
        <v>0</v>
      </c>
      <c r="R554" s="138">
        <f t="shared" si="294"/>
        <v>0</v>
      </c>
      <c r="S554" s="132">
        <f t="shared" si="295"/>
        <v>0</v>
      </c>
      <c r="T554" s="135">
        <f t="shared" si="296"/>
        <v>0</v>
      </c>
      <c r="U554" s="135">
        <f t="shared" si="288"/>
        <v>0</v>
      </c>
      <c r="V554" s="133">
        <f>SUM(AD333:AD339)</f>
        <v>0</v>
      </c>
      <c r="W554" s="139">
        <f t="shared" ca="1" si="297"/>
        <v>0</v>
      </c>
      <c r="X554" s="139">
        <f t="shared" ca="1" si="298"/>
        <v>0</v>
      </c>
      <c r="Y554" s="139">
        <f t="shared" ca="1" si="299"/>
        <v>0</v>
      </c>
      <c r="Z554" s="139">
        <f t="shared" ca="1" si="300"/>
        <v>0</v>
      </c>
      <c r="AA554" s="139">
        <f t="shared" si="289"/>
        <v>0</v>
      </c>
      <c r="AB554" s="140">
        <f t="shared" ca="1" si="301"/>
        <v>0</v>
      </c>
      <c r="AC554" s="141">
        <f t="shared" ca="1" si="302"/>
        <v>0</v>
      </c>
      <c r="AD554" s="142">
        <f t="shared" ca="1" si="303"/>
        <v>0</v>
      </c>
      <c r="AE554" s="141">
        <f t="shared" ca="1" si="304"/>
        <v>0</v>
      </c>
      <c r="AF554" s="142">
        <f t="shared" ca="1" si="305"/>
        <v>0</v>
      </c>
      <c r="AG554" s="132">
        <v>4660</v>
      </c>
      <c r="AH554" s="143">
        <v>3880</v>
      </c>
      <c r="AI554" s="2"/>
      <c r="AL554" s="2"/>
      <c r="AM554" s="1"/>
      <c r="BS554" s="3"/>
      <c r="BT554" s="3"/>
      <c r="BU554" s="3"/>
      <c r="BV554" s="3"/>
      <c r="BY554" s="1"/>
      <c r="BZ554" s="1"/>
      <c r="CA554" s="1"/>
      <c r="CB554" s="1"/>
    </row>
    <row r="555" spans="1:80" ht="33" customHeight="1" thickBot="1">
      <c r="A555" s="130">
        <f t="shared" si="306"/>
        <v>48</v>
      </c>
      <c r="B555" s="131">
        <f>B346</f>
        <v>336</v>
      </c>
      <c r="C555" s="132">
        <f>SUM(E340:E346)</f>
        <v>0</v>
      </c>
      <c r="D555" s="133">
        <f>SUM(C340:C346)</f>
        <v>0</v>
      </c>
      <c r="E555" s="132">
        <f>SUM(F340:F346)</f>
        <v>0</v>
      </c>
      <c r="F555" s="133">
        <f>SUM(D340:D346)</f>
        <v>0</v>
      </c>
      <c r="G555" s="134">
        <f t="shared" si="290"/>
        <v>0</v>
      </c>
      <c r="H555" s="134">
        <f t="shared" si="291"/>
        <v>0</v>
      </c>
      <c r="I555" s="134">
        <f t="shared" si="286"/>
        <v>0</v>
      </c>
      <c r="J555" s="133">
        <f t="shared" si="287"/>
        <v>0</v>
      </c>
      <c r="K555" s="135" t="e">
        <f t="shared" si="292"/>
        <v>#DIV/0!</v>
      </c>
      <c r="L555" s="135" t="e">
        <f t="shared" si="292"/>
        <v>#DIV/0!</v>
      </c>
      <c r="M555" s="135" t="e">
        <f t="shared" si="293"/>
        <v>#DIV/0!</v>
      </c>
      <c r="N555" s="135" t="e">
        <f t="shared" si="293"/>
        <v>#DIV/0!</v>
      </c>
      <c r="O555" s="135">
        <f t="shared" si="307"/>
        <v>3.0000000000000001E-3</v>
      </c>
      <c r="P555" s="136">
        <f>SUM(U340:U346)</f>
        <v>0</v>
      </c>
      <c r="Q555" s="137">
        <f>SUM(V340:V346)</f>
        <v>0</v>
      </c>
      <c r="R555" s="138">
        <f t="shared" si="294"/>
        <v>0</v>
      </c>
      <c r="S555" s="132">
        <f t="shared" si="295"/>
        <v>0</v>
      </c>
      <c r="T555" s="135">
        <f t="shared" si="296"/>
        <v>0</v>
      </c>
      <c r="U555" s="135">
        <f t="shared" si="288"/>
        <v>0</v>
      </c>
      <c r="V555" s="133">
        <f>SUM(AD340:AD346)</f>
        <v>0</v>
      </c>
      <c r="W555" s="139">
        <f t="shared" ca="1" si="297"/>
        <v>0</v>
      </c>
      <c r="X555" s="139">
        <f t="shared" ca="1" si="298"/>
        <v>0</v>
      </c>
      <c r="Y555" s="139">
        <f t="shared" ca="1" si="299"/>
        <v>0</v>
      </c>
      <c r="Z555" s="139">
        <f t="shared" ca="1" si="300"/>
        <v>0</v>
      </c>
      <c r="AA555" s="139">
        <f t="shared" si="289"/>
        <v>0</v>
      </c>
      <c r="AB555" s="140">
        <f t="shared" ca="1" si="301"/>
        <v>0</v>
      </c>
      <c r="AC555" s="141">
        <f t="shared" ca="1" si="302"/>
        <v>0</v>
      </c>
      <c r="AD555" s="142">
        <f t="shared" ca="1" si="303"/>
        <v>0</v>
      </c>
      <c r="AE555" s="141">
        <f t="shared" ca="1" si="304"/>
        <v>0</v>
      </c>
      <c r="AF555" s="142">
        <f t="shared" ca="1" si="305"/>
        <v>0</v>
      </c>
      <c r="AG555" s="132">
        <v>4690</v>
      </c>
      <c r="AH555" s="143">
        <v>3900</v>
      </c>
      <c r="AI555" s="2"/>
      <c r="AL555" s="2"/>
      <c r="AM555" s="1"/>
      <c r="BS555" s="3"/>
      <c r="BT555" s="3"/>
      <c r="BU555" s="3"/>
      <c r="BV555" s="3"/>
      <c r="BY555" s="1"/>
      <c r="BZ555" s="1"/>
      <c r="CA555" s="1"/>
      <c r="CB555" s="1"/>
    </row>
    <row r="556" spans="1:80" ht="33" customHeight="1" thickBot="1">
      <c r="A556" s="130">
        <f t="shared" si="306"/>
        <v>49</v>
      </c>
      <c r="B556" s="131">
        <f>B353</f>
        <v>343</v>
      </c>
      <c r="C556" s="132">
        <f>SUM(E347:E353)</f>
        <v>0</v>
      </c>
      <c r="D556" s="133">
        <f>SUM(C347:C353)</f>
        <v>0</v>
      </c>
      <c r="E556" s="132">
        <f>SUM(F347:F353)</f>
        <v>0</v>
      </c>
      <c r="F556" s="133">
        <f>SUM(D347:D353)</f>
        <v>0</v>
      </c>
      <c r="G556" s="134">
        <f t="shared" si="290"/>
        <v>0</v>
      </c>
      <c r="H556" s="134">
        <f t="shared" si="291"/>
        <v>0</v>
      </c>
      <c r="I556" s="134">
        <f t="shared" si="286"/>
        <v>0</v>
      </c>
      <c r="J556" s="133">
        <f t="shared" si="287"/>
        <v>0</v>
      </c>
      <c r="K556" s="135" t="e">
        <f t="shared" si="292"/>
        <v>#DIV/0!</v>
      </c>
      <c r="L556" s="135" t="e">
        <f t="shared" si="292"/>
        <v>#DIV/0!</v>
      </c>
      <c r="M556" s="135" t="e">
        <f t="shared" si="293"/>
        <v>#DIV/0!</v>
      </c>
      <c r="N556" s="135" t="e">
        <f t="shared" si="293"/>
        <v>#DIV/0!</v>
      </c>
      <c r="O556" s="135">
        <f t="shared" si="307"/>
        <v>3.0000000000000001E-3</v>
      </c>
      <c r="P556" s="136">
        <f>SUM(U347:U353)</f>
        <v>0</v>
      </c>
      <c r="Q556" s="137">
        <f>SUM(V347:V353)</f>
        <v>0</v>
      </c>
      <c r="R556" s="138">
        <f t="shared" si="294"/>
        <v>0</v>
      </c>
      <c r="S556" s="132">
        <f t="shared" si="295"/>
        <v>0</v>
      </c>
      <c r="T556" s="135">
        <f t="shared" si="296"/>
        <v>0</v>
      </c>
      <c r="U556" s="135">
        <f t="shared" si="288"/>
        <v>0</v>
      </c>
      <c r="V556" s="133">
        <f>SUM(AD347:AD353)</f>
        <v>0</v>
      </c>
      <c r="W556" s="139">
        <f t="shared" ca="1" si="297"/>
        <v>0</v>
      </c>
      <c r="X556" s="139">
        <f t="shared" ca="1" si="298"/>
        <v>0</v>
      </c>
      <c r="Y556" s="139">
        <f t="shared" ca="1" si="299"/>
        <v>0</v>
      </c>
      <c r="Z556" s="139">
        <f t="shared" ca="1" si="300"/>
        <v>0</v>
      </c>
      <c r="AA556" s="139">
        <f t="shared" si="289"/>
        <v>0</v>
      </c>
      <c r="AB556" s="140">
        <f t="shared" ca="1" si="301"/>
        <v>0</v>
      </c>
      <c r="AC556" s="141">
        <f t="shared" ca="1" si="302"/>
        <v>0</v>
      </c>
      <c r="AD556" s="142">
        <f t="shared" ca="1" si="303"/>
        <v>0</v>
      </c>
      <c r="AE556" s="141">
        <f t="shared" ca="1" si="304"/>
        <v>0</v>
      </c>
      <c r="AF556" s="142">
        <f t="shared" ca="1" si="305"/>
        <v>0</v>
      </c>
      <c r="AG556" s="132">
        <v>4720</v>
      </c>
      <c r="AH556" s="143">
        <v>3920</v>
      </c>
      <c r="AI556" s="2"/>
      <c r="AL556" s="2"/>
      <c r="AM556" s="1"/>
      <c r="BS556" s="3"/>
      <c r="BT556" s="3"/>
      <c r="BU556" s="3"/>
      <c r="BV556" s="3"/>
      <c r="BY556" s="1"/>
      <c r="BZ556" s="1"/>
      <c r="CA556" s="1"/>
      <c r="CB556" s="1"/>
    </row>
    <row r="557" spans="1:80" ht="33" customHeight="1" thickBot="1">
      <c r="A557" s="130">
        <f t="shared" si="306"/>
        <v>50</v>
      </c>
      <c r="B557" s="131">
        <f>B360</f>
        <v>350</v>
      </c>
      <c r="C557" s="132">
        <f>SUM(E354:E360)</f>
        <v>0</v>
      </c>
      <c r="D557" s="133">
        <f>SUM(C354:C360)</f>
        <v>0</v>
      </c>
      <c r="E557" s="132">
        <f>SUM(F354:F360)</f>
        <v>0</v>
      </c>
      <c r="F557" s="133">
        <f>SUM(D354:D360)</f>
        <v>0</v>
      </c>
      <c r="G557" s="134">
        <f t="shared" si="290"/>
        <v>0</v>
      </c>
      <c r="H557" s="134">
        <f t="shared" si="291"/>
        <v>0</v>
      </c>
      <c r="I557" s="134">
        <f t="shared" si="286"/>
        <v>0</v>
      </c>
      <c r="J557" s="133">
        <f t="shared" si="287"/>
        <v>0</v>
      </c>
      <c r="K557" s="135" t="e">
        <f t="shared" si="292"/>
        <v>#DIV/0!</v>
      </c>
      <c r="L557" s="135" t="e">
        <f t="shared" si="292"/>
        <v>#DIV/0!</v>
      </c>
      <c r="M557" s="135" t="e">
        <f t="shared" si="293"/>
        <v>#DIV/0!</v>
      </c>
      <c r="N557" s="135" t="e">
        <f t="shared" si="293"/>
        <v>#DIV/0!</v>
      </c>
      <c r="O557" s="135">
        <f t="shared" si="307"/>
        <v>3.0000000000000001E-3</v>
      </c>
      <c r="P557" s="136">
        <f>SUM(U354:U360)</f>
        <v>0</v>
      </c>
      <c r="Q557" s="137">
        <f>SUM(V354:V360)</f>
        <v>0</v>
      </c>
      <c r="R557" s="138">
        <f t="shared" si="294"/>
        <v>0</v>
      </c>
      <c r="S557" s="132">
        <f t="shared" si="295"/>
        <v>0</v>
      </c>
      <c r="T557" s="135">
        <f t="shared" si="296"/>
        <v>0</v>
      </c>
      <c r="U557" s="135">
        <f t="shared" si="288"/>
        <v>0</v>
      </c>
      <c r="V557" s="133">
        <f>SUM(AD354:AD360)</f>
        <v>0</v>
      </c>
      <c r="W557" s="139">
        <f t="shared" ca="1" si="297"/>
        <v>0</v>
      </c>
      <c r="X557" s="139">
        <f t="shared" ca="1" si="298"/>
        <v>0</v>
      </c>
      <c r="Y557" s="139">
        <f t="shared" ca="1" si="299"/>
        <v>0</v>
      </c>
      <c r="Z557" s="139">
        <f t="shared" ca="1" si="300"/>
        <v>0</v>
      </c>
      <c r="AA557" s="139">
        <f t="shared" si="289"/>
        <v>0</v>
      </c>
      <c r="AB557" s="140">
        <f t="shared" ca="1" si="301"/>
        <v>0</v>
      </c>
      <c r="AC557" s="141">
        <f t="shared" ca="1" si="302"/>
        <v>0</v>
      </c>
      <c r="AD557" s="142">
        <f t="shared" ca="1" si="303"/>
        <v>0</v>
      </c>
      <c r="AE557" s="141">
        <f t="shared" ca="1" si="304"/>
        <v>0</v>
      </c>
      <c r="AF557" s="142">
        <f t="shared" ca="1" si="305"/>
        <v>0</v>
      </c>
      <c r="AG557" s="132">
        <v>4750</v>
      </c>
      <c r="AH557" s="143">
        <v>3940</v>
      </c>
      <c r="AI557" s="2"/>
      <c r="AL557" s="2"/>
      <c r="AM557" s="1"/>
      <c r="BS557" s="3"/>
      <c r="BT557" s="3"/>
      <c r="BU557" s="3"/>
      <c r="BV557" s="3"/>
      <c r="BY557" s="1"/>
      <c r="BZ557" s="1"/>
      <c r="CA557" s="1"/>
      <c r="CB557" s="1"/>
    </row>
    <row r="558" spans="1:80" ht="33" customHeight="1" thickBot="1">
      <c r="A558" s="130">
        <f t="shared" si="306"/>
        <v>51</v>
      </c>
      <c r="B558" s="131">
        <f>B367</f>
        <v>357</v>
      </c>
      <c r="C558" s="132">
        <f>SUM(E361:E367)</f>
        <v>0</v>
      </c>
      <c r="D558" s="133">
        <f>SUM(C361:C367)</f>
        <v>0</v>
      </c>
      <c r="E558" s="132">
        <f>SUM(F361:F367)</f>
        <v>0</v>
      </c>
      <c r="F558" s="133">
        <f>SUM(D361:D367)</f>
        <v>0</v>
      </c>
      <c r="G558" s="134">
        <f t="shared" si="290"/>
        <v>0</v>
      </c>
      <c r="H558" s="134">
        <f t="shared" si="291"/>
        <v>0</v>
      </c>
      <c r="I558" s="134">
        <f t="shared" si="286"/>
        <v>0</v>
      </c>
      <c r="J558" s="133">
        <f t="shared" si="287"/>
        <v>0</v>
      </c>
      <c r="K558" s="135" t="e">
        <f t="shared" si="292"/>
        <v>#DIV/0!</v>
      </c>
      <c r="L558" s="135" t="e">
        <f t="shared" si="292"/>
        <v>#DIV/0!</v>
      </c>
      <c r="M558" s="135" t="e">
        <f t="shared" si="293"/>
        <v>#DIV/0!</v>
      </c>
      <c r="N558" s="135" t="e">
        <f t="shared" si="293"/>
        <v>#DIV/0!</v>
      </c>
      <c r="O558" s="135">
        <f t="shared" si="307"/>
        <v>3.0000000000000001E-3</v>
      </c>
      <c r="P558" s="136">
        <f>SUM(U361:U367)</f>
        <v>0</v>
      </c>
      <c r="Q558" s="137">
        <f>SUM(V361:V367)</f>
        <v>0</v>
      </c>
      <c r="R558" s="138">
        <f t="shared" si="294"/>
        <v>0</v>
      </c>
      <c r="S558" s="132">
        <f t="shared" si="295"/>
        <v>0</v>
      </c>
      <c r="T558" s="135">
        <f t="shared" si="296"/>
        <v>0</v>
      </c>
      <c r="U558" s="135">
        <f t="shared" si="288"/>
        <v>0</v>
      </c>
      <c r="V558" s="133">
        <f>SUM(AD361:AD367)</f>
        <v>0</v>
      </c>
      <c r="W558" s="139">
        <f t="shared" ca="1" si="297"/>
        <v>0</v>
      </c>
      <c r="X558" s="139">
        <f t="shared" ca="1" si="298"/>
        <v>0</v>
      </c>
      <c r="Y558" s="139">
        <f t="shared" ca="1" si="299"/>
        <v>0</v>
      </c>
      <c r="Z558" s="139">
        <f t="shared" ca="1" si="300"/>
        <v>0</v>
      </c>
      <c r="AA558" s="139">
        <f t="shared" si="289"/>
        <v>0</v>
      </c>
      <c r="AB558" s="140">
        <f t="shared" ca="1" si="301"/>
        <v>0</v>
      </c>
      <c r="AC558" s="141">
        <f t="shared" ca="1" si="302"/>
        <v>0</v>
      </c>
      <c r="AD558" s="142">
        <f t="shared" ca="1" si="303"/>
        <v>0</v>
      </c>
      <c r="AE558" s="141">
        <f t="shared" ca="1" si="304"/>
        <v>0</v>
      </c>
      <c r="AF558" s="142">
        <f t="shared" ca="1" si="305"/>
        <v>0</v>
      </c>
      <c r="AG558" s="132">
        <v>4775</v>
      </c>
      <c r="AH558" s="143">
        <v>3960</v>
      </c>
      <c r="AI558" s="2"/>
      <c r="AL558" s="2"/>
      <c r="AM558" s="1"/>
      <c r="BS558" s="3"/>
      <c r="BT558" s="3"/>
      <c r="BU558" s="3"/>
      <c r="BV558" s="3"/>
      <c r="BY558" s="1"/>
      <c r="BZ558" s="1"/>
      <c r="CA558" s="1"/>
      <c r="CB558" s="1"/>
    </row>
    <row r="559" spans="1:80" ht="33" customHeight="1" thickBot="1">
      <c r="A559" s="130">
        <f t="shared" si="306"/>
        <v>52</v>
      </c>
      <c r="B559" s="131">
        <f>B374</f>
        <v>364</v>
      </c>
      <c r="C559" s="132">
        <f>SUM(E368:E374)</f>
        <v>0</v>
      </c>
      <c r="D559" s="133">
        <f>SUM(C368:C374)</f>
        <v>0</v>
      </c>
      <c r="E559" s="132">
        <f>SUM(F368:F374)</f>
        <v>0</v>
      </c>
      <c r="F559" s="133">
        <f>SUM(D368:D374)</f>
        <v>0</v>
      </c>
      <c r="G559" s="134">
        <f t="shared" si="290"/>
        <v>0</v>
      </c>
      <c r="H559" s="134">
        <f t="shared" si="291"/>
        <v>0</v>
      </c>
      <c r="I559" s="134">
        <f t="shared" si="286"/>
        <v>0</v>
      </c>
      <c r="J559" s="133">
        <f t="shared" si="287"/>
        <v>0</v>
      </c>
      <c r="K559" s="135" t="e">
        <f t="shared" si="292"/>
        <v>#DIV/0!</v>
      </c>
      <c r="L559" s="135" t="e">
        <f t="shared" si="292"/>
        <v>#DIV/0!</v>
      </c>
      <c r="M559" s="135" t="e">
        <f t="shared" si="293"/>
        <v>#DIV/0!</v>
      </c>
      <c r="N559" s="135" t="e">
        <f t="shared" si="293"/>
        <v>#DIV/0!</v>
      </c>
      <c r="O559" s="135">
        <f t="shared" si="307"/>
        <v>3.0000000000000001E-3</v>
      </c>
      <c r="P559" s="136">
        <f>SUM(U368:U374)</f>
        <v>0</v>
      </c>
      <c r="Q559" s="137">
        <f>SUM(V368:V374)</f>
        <v>0</v>
      </c>
      <c r="R559" s="138">
        <f t="shared" si="294"/>
        <v>0</v>
      </c>
      <c r="S559" s="132">
        <f t="shared" si="295"/>
        <v>0</v>
      </c>
      <c r="T559" s="135">
        <f t="shared" si="296"/>
        <v>0</v>
      </c>
      <c r="U559" s="135">
        <f t="shared" si="288"/>
        <v>0</v>
      </c>
      <c r="V559" s="133">
        <f>SUM(AD368:AD374)</f>
        <v>0</v>
      </c>
      <c r="W559" s="139">
        <f t="shared" ca="1" si="297"/>
        <v>0</v>
      </c>
      <c r="X559" s="139">
        <f t="shared" ca="1" si="298"/>
        <v>0</v>
      </c>
      <c r="Y559" s="139">
        <f t="shared" ca="1" si="299"/>
        <v>0</v>
      </c>
      <c r="Z559" s="139">
        <f t="shared" ca="1" si="300"/>
        <v>0</v>
      </c>
      <c r="AA559" s="139">
        <f t="shared" si="289"/>
        <v>0</v>
      </c>
      <c r="AB559" s="140">
        <f t="shared" ca="1" si="301"/>
        <v>0</v>
      </c>
      <c r="AC559" s="141">
        <f t="shared" ca="1" si="302"/>
        <v>0</v>
      </c>
      <c r="AD559" s="142">
        <f t="shared" ca="1" si="303"/>
        <v>0</v>
      </c>
      <c r="AE559" s="141">
        <f t="shared" ca="1" si="304"/>
        <v>0</v>
      </c>
      <c r="AF559" s="142">
        <f t="shared" ca="1" si="305"/>
        <v>0</v>
      </c>
      <c r="AG559" s="132">
        <v>4800</v>
      </c>
      <c r="AH559" s="143">
        <v>3975</v>
      </c>
      <c r="AI559" s="2"/>
      <c r="AL559" s="2"/>
      <c r="AM559" s="1"/>
      <c r="BS559" s="3"/>
      <c r="BT559" s="3"/>
      <c r="BU559" s="3"/>
      <c r="BV559" s="3"/>
      <c r="BY559" s="1"/>
      <c r="BZ559" s="1"/>
      <c r="CA559" s="1"/>
      <c r="CB559" s="1"/>
    </row>
    <row r="560" spans="1:80" ht="33" customHeight="1" thickBot="1">
      <c r="A560" s="130">
        <f t="shared" si="306"/>
        <v>53</v>
      </c>
      <c r="B560" s="131">
        <f>B381</f>
        <v>371</v>
      </c>
      <c r="C560" s="132">
        <f>SUM(E375:E381)</f>
        <v>0</v>
      </c>
      <c r="D560" s="133">
        <f>SUM(C375:C381)</f>
        <v>0</v>
      </c>
      <c r="E560" s="132">
        <f>SUM(F375:F381)</f>
        <v>0</v>
      </c>
      <c r="F560" s="133">
        <f>SUM(D375:D381)</f>
        <v>0</v>
      </c>
      <c r="G560" s="134">
        <f t="shared" si="290"/>
        <v>0</v>
      </c>
      <c r="H560" s="134">
        <f t="shared" si="291"/>
        <v>0</v>
      </c>
      <c r="I560" s="134">
        <f t="shared" si="286"/>
        <v>0</v>
      </c>
      <c r="J560" s="133">
        <f t="shared" si="287"/>
        <v>0</v>
      </c>
      <c r="K560" s="135" t="e">
        <f t="shared" si="292"/>
        <v>#DIV/0!</v>
      </c>
      <c r="L560" s="135" t="e">
        <f t="shared" si="292"/>
        <v>#DIV/0!</v>
      </c>
      <c r="M560" s="135" t="e">
        <f t="shared" si="293"/>
        <v>#DIV/0!</v>
      </c>
      <c r="N560" s="135" t="e">
        <f t="shared" si="293"/>
        <v>#DIV/0!</v>
      </c>
      <c r="O560" s="135">
        <f t="shared" si="307"/>
        <v>3.0000000000000001E-3</v>
      </c>
      <c r="P560" s="136">
        <f>SUM(U375:U381)</f>
        <v>0</v>
      </c>
      <c r="Q560" s="137">
        <f>SUM(V375:V381)</f>
        <v>0</v>
      </c>
      <c r="R560" s="138">
        <f t="shared" si="294"/>
        <v>0</v>
      </c>
      <c r="S560" s="132">
        <f t="shared" si="295"/>
        <v>0</v>
      </c>
      <c r="T560" s="135">
        <f t="shared" si="296"/>
        <v>0</v>
      </c>
      <c r="U560" s="135">
        <f t="shared" si="288"/>
        <v>0</v>
      </c>
      <c r="V560" s="133">
        <f>SUM(AD375:AD381)</f>
        <v>0</v>
      </c>
      <c r="W560" s="139">
        <f t="shared" ca="1" si="297"/>
        <v>0</v>
      </c>
      <c r="X560" s="139">
        <f t="shared" ca="1" si="298"/>
        <v>0</v>
      </c>
      <c r="Y560" s="139">
        <f t="shared" ca="1" si="299"/>
        <v>0</v>
      </c>
      <c r="Z560" s="139">
        <f t="shared" ca="1" si="300"/>
        <v>0</v>
      </c>
      <c r="AA560" s="139">
        <f t="shared" si="289"/>
        <v>0</v>
      </c>
      <c r="AB560" s="140">
        <f t="shared" ca="1" si="301"/>
        <v>0</v>
      </c>
      <c r="AC560" s="141">
        <f t="shared" ca="1" si="302"/>
        <v>0</v>
      </c>
      <c r="AD560" s="142">
        <f t="shared" ca="1" si="303"/>
        <v>0</v>
      </c>
      <c r="AE560" s="141">
        <f t="shared" ca="1" si="304"/>
        <v>0</v>
      </c>
      <c r="AF560" s="142">
        <f t="shared" ca="1" si="305"/>
        <v>0</v>
      </c>
      <c r="AG560" s="132">
        <v>4825</v>
      </c>
      <c r="AH560" s="143">
        <v>3990</v>
      </c>
      <c r="AI560" s="2"/>
      <c r="AL560" s="2"/>
      <c r="AM560" s="1"/>
      <c r="BS560" s="3"/>
      <c r="BT560" s="3"/>
      <c r="BU560" s="3"/>
      <c r="BV560" s="3"/>
      <c r="BY560" s="1"/>
      <c r="BZ560" s="1"/>
      <c r="CA560" s="1"/>
      <c r="CB560" s="1"/>
    </row>
    <row r="561" spans="1:80" ht="33" customHeight="1" thickBot="1">
      <c r="A561" s="130">
        <f t="shared" si="306"/>
        <v>54</v>
      </c>
      <c r="B561" s="131">
        <f>B388</f>
        <v>378</v>
      </c>
      <c r="C561" s="132">
        <f>SUM(E382:E388)</f>
        <v>0</v>
      </c>
      <c r="D561" s="133">
        <f>SUM(C382:C388)</f>
        <v>0</v>
      </c>
      <c r="E561" s="132">
        <f>SUM(F382:F388)</f>
        <v>0</v>
      </c>
      <c r="F561" s="133">
        <f>SUM(D382:D388)</f>
        <v>0</v>
      </c>
      <c r="G561" s="134">
        <f t="shared" si="290"/>
        <v>0</v>
      </c>
      <c r="H561" s="134">
        <f t="shared" si="291"/>
        <v>0</v>
      </c>
      <c r="I561" s="134">
        <f t="shared" si="286"/>
        <v>0</v>
      </c>
      <c r="J561" s="133">
        <f t="shared" si="287"/>
        <v>0</v>
      </c>
      <c r="K561" s="135" t="e">
        <f t="shared" si="292"/>
        <v>#DIV/0!</v>
      </c>
      <c r="L561" s="135" t="e">
        <f t="shared" si="292"/>
        <v>#DIV/0!</v>
      </c>
      <c r="M561" s="135" t="e">
        <f t="shared" si="293"/>
        <v>#DIV/0!</v>
      </c>
      <c r="N561" s="135" t="e">
        <f t="shared" si="293"/>
        <v>#DIV/0!</v>
      </c>
      <c r="O561" s="135">
        <f t="shared" si="307"/>
        <v>3.0000000000000001E-3</v>
      </c>
      <c r="P561" s="136">
        <f>SUM(U382:U388)</f>
        <v>0</v>
      </c>
      <c r="Q561" s="137">
        <f>SUM(V382:V388)</f>
        <v>0</v>
      </c>
      <c r="R561" s="138">
        <f t="shared" si="294"/>
        <v>0</v>
      </c>
      <c r="S561" s="132">
        <f t="shared" si="295"/>
        <v>0</v>
      </c>
      <c r="T561" s="135">
        <f t="shared" si="296"/>
        <v>0</v>
      </c>
      <c r="U561" s="135">
        <f t="shared" si="288"/>
        <v>0</v>
      </c>
      <c r="V561" s="133">
        <f>SUM(AD382:AD388)</f>
        <v>0</v>
      </c>
      <c r="W561" s="139">
        <f t="shared" ca="1" si="297"/>
        <v>0</v>
      </c>
      <c r="X561" s="139">
        <f t="shared" ca="1" si="298"/>
        <v>0</v>
      </c>
      <c r="Y561" s="139">
        <f t="shared" ca="1" si="299"/>
        <v>0</v>
      </c>
      <c r="Z561" s="139">
        <f t="shared" ca="1" si="300"/>
        <v>0</v>
      </c>
      <c r="AA561" s="139">
        <f t="shared" si="289"/>
        <v>0</v>
      </c>
      <c r="AB561" s="140">
        <f t="shared" ca="1" si="301"/>
        <v>0</v>
      </c>
      <c r="AC561" s="141">
        <f t="shared" ca="1" si="302"/>
        <v>0</v>
      </c>
      <c r="AD561" s="142">
        <f t="shared" ca="1" si="303"/>
        <v>0</v>
      </c>
      <c r="AE561" s="141">
        <f t="shared" ca="1" si="304"/>
        <v>0</v>
      </c>
      <c r="AF561" s="142">
        <f t="shared" ca="1" si="305"/>
        <v>0</v>
      </c>
      <c r="AG561" s="132">
        <v>4850</v>
      </c>
      <c r="AH561" s="143">
        <v>4000</v>
      </c>
      <c r="AI561" s="2"/>
      <c r="AL561" s="2"/>
      <c r="AM561" s="1"/>
      <c r="BS561" s="3"/>
      <c r="BT561" s="3"/>
      <c r="BU561" s="3"/>
      <c r="BV561" s="3"/>
      <c r="BY561" s="1"/>
      <c r="BZ561" s="1"/>
      <c r="CA561" s="1"/>
      <c r="CB561" s="1"/>
    </row>
    <row r="562" spans="1:80" ht="33" customHeight="1" thickBot="1">
      <c r="A562" s="130">
        <f t="shared" si="306"/>
        <v>55</v>
      </c>
      <c r="B562" s="131">
        <f>B395</f>
        <v>385</v>
      </c>
      <c r="C562" s="132">
        <f>SUM(E389:E395)</f>
        <v>0</v>
      </c>
      <c r="D562" s="133">
        <f>SUM(C389:C395)</f>
        <v>0</v>
      </c>
      <c r="E562" s="132">
        <f>SUM(F389:F395)</f>
        <v>0</v>
      </c>
      <c r="F562" s="133">
        <f>SUM(D389:D395)</f>
        <v>0</v>
      </c>
      <c r="G562" s="134">
        <f t="shared" si="290"/>
        <v>0</v>
      </c>
      <c r="H562" s="134">
        <f t="shared" si="291"/>
        <v>0</v>
      </c>
      <c r="I562" s="134">
        <f t="shared" si="286"/>
        <v>0</v>
      </c>
      <c r="J562" s="133">
        <f t="shared" si="287"/>
        <v>0</v>
      </c>
      <c r="K562" s="135" t="e">
        <f t="shared" si="292"/>
        <v>#DIV/0!</v>
      </c>
      <c r="L562" s="135" t="e">
        <f t="shared" si="292"/>
        <v>#DIV/0!</v>
      </c>
      <c r="M562" s="135" t="e">
        <f t="shared" si="293"/>
        <v>#DIV/0!</v>
      </c>
      <c r="N562" s="135" t="e">
        <f t="shared" si="293"/>
        <v>#DIV/0!</v>
      </c>
      <c r="O562" s="135">
        <f t="shared" si="307"/>
        <v>3.0000000000000001E-3</v>
      </c>
      <c r="P562" s="136">
        <f>SUM(U389:U395)</f>
        <v>0</v>
      </c>
      <c r="Q562" s="137">
        <f>SUM(V389:V395)</f>
        <v>0</v>
      </c>
      <c r="R562" s="138">
        <f t="shared" si="294"/>
        <v>0</v>
      </c>
      <c r="S562" s="132">
        <f t="shared" si="295"/>
        <v>0</v>
      </c>
      <c r="T562" s="135">
        <f t="shared" si="296"/>
        <v>0</v>
      </c>
      <c r="U562" s="135">
        <f t="shared" si="288"/>
        <v>0</v>
      </c>
      <c r="V562" s="133">
        <f>SUM(AD389:AD395)</f>
        <v>0</v>
      </c>
      <c r="W562" s="139">
        <f t="shared" ca="1" si="297"/>
        <v>0</v>
      </c>
      <c r="X562" s="139">
        <f t="shared" ca="1" si="298"/>
        <v>0</v>
      </c>
      <c r="Y562" s="139">
        <f t="shared" ca="1" si="299"/>
        <v>0</v>
      </c>
      <c r="Z562" s="139">
        <f t="shared" ca="1" si="300"/>
        <v>0</v>
      </c>
      <c r="AA562" s="139">
        <f t="shared" si="289"/>
        <v>0</v>
      </c>
      <c r="AB562" s="140">
        <f t="shared" ca="1" si="301"/>
        <v>0</v>
      </c>
      <c r="AC562" s="141">
        <f t="shared" ca="1" si="302"/>
        <v>0</v>
      </c>
      <c r="AD562" s="142">
        <f t="shared" ca="1" si="303"/>
        <v>0</v>
      </c>
      <c r="AE562" s="141">
        <f t="shared" ca="1" si="304"/>
        <v>0</v>
      </c>
      <c r="AF562" s="142">
        <f t="shared" ca="1" si="305"/>
        <v>0</v>
      </c>
      <c r="AG562" s="132">
        <v>4875</v>
      </c>
      <c r="AH562" s="143">
        <v>4010</v>
      </c>
      <c r="AI562" s="2"/>
      <c r="AL562" s="2"/>
      <c r="AM562" s="1"/>
      <c r="BS562" s="3"/>
      <c r="BT562" s="3"/>
      <c r="BU562" s="3"/>
      <c r="BV562" s="3"/>
      <c r="BY562" s="1"/>
      <c r="BZ562" s="1"/>
      <c r="CA562" s="1"/>
      <c r="CB562" s="1"/>
    </row>
    <row r="563" spans="1:80" ht="33" customHeight="1" thickBot="1">
      <c r="A563" s="130">
        <f t="shared" si="306"/>
        <v>56</v>
      </c>
      <c r="B563" s="131">
        <f>B402</f>
        <v>392</v>
      </c>
      <c r="C563" s="132">
        <f>SUM(E396:E402)</f>
        <v>0</v>
      </c>
      <c r="D563" s="133">
        <f>SUM(C396:C402)</f>
        <v>0</v>
      </c>
      <c r="E563" s="132">
        <f>SUM(F396:F402)</f>
        <v>0</v>
      </c>
      <c r="F563" s="133">
        <f>SUM(D396:D402)</f>
        <v>0</v>
      </c>
      <c r="G563" s="134">
        <f t="shared" si="290"/>
        <v>0</v>
      </c>
      <c r="H563" s="134">
        <f t="shared" si="291"/>
        <v>0</v>
      </c>
      <c r="I563" s="134">
        <f t="shared" si="286"/>
        <v>0</v>
      </c>
      <c r="J563" s="133">
        <f t="shared" si="287"/>
        <v>0</v>
      </c>
      <c r="K563" s="135" t="e">
        <f t="shared" si="292"/>
        <v>#DIV/0!</v>
      </c>
      <c r="L563" s="135" t="e">
        <f t="shared" si="292"/>
        <v>#DIV/0!</v>
      </c>
      <c r="M563" s="135" t="e">
        <f t="shared" si="293"/>
        <v>#DIV/0!</v>
      </c>
      <c r="N563" s="135" t="e">
        <f t="shared" si="293"/>
        <v>#DIV/0!</v>
      </c>
      <c r="O563" s="135">
        <f t="shared" si="307"/>
        <v>3.0000000000000001E-3</v>
      </c>
      <c r="P563" s="136">
        <f>SUM(U396:U402)</f>
        <v>0</v>
      </c>
      <c r="Q563" s="137">
        <f>SUM(V396:V402)</f>
        <v>0</v>
      </c>
      <c r="R563" s="138">
        <f t="shared" si="294"/>
        <v>0</v>
      </c>
      <c r="S563" s="132">
        <f t="shared" si="295"/>
        <v>0</v>
      </c>
      <c r="T563" s="135">
        <f t="shared" si="296"/>
        <v>0</v>
      </c>
      <c r="U563" s="135">
        <f t="shared" si="288"/>
        <v>0</v>
      </c>
      <c r="V563" s="133">
        <f>SUM(AD396:AD402)</f>
        <v>0</v>
      </c>
      <c r="W563" s="139">
        <f t="shared" ca="1" si="297"/>
        <v>0</v>
      </c>
      <c r="X563" s="139">
        <f t="shared" ca="1" si="298"/>
        <v>0</v>
      </c>
      <c r="Y563" s="139">
        <f t="shared" ca="1" si="299"/>
        <v>0</v>
      </c>
      <c r="Z563" s="139">
        <f t="shared" ca="1" si="300"/>
        <v>0</v>
      </c>
      <c r="AA563" s="139">
        <f t="shared" si="289"/>
        <v>0</v>
      </c>
      <c r="AB563" s="140">
        <f t="shared" ca="1" si="301"/>
        <v>0</v>
      </c>
      <c r="AC563" s="141">
        <f t="shared" ca="1" si="302"/>
        <v>0</v>
      </c>
      <c r="AD563" s="142">
        <f t="shared" ca="1" si="303"/>
        <v>0</v>
      </c>
      <c r="AE563" s="141">
        <f t="shared" ca="1" si="304"/>
        <v>0</v>
      </c>
      <c r="AF563" s="142">
        <f t="shared" ca="1" si="305"/>
        <v>0</v>
      </c>
      <c r="AG563" s="132">
        <v>4900</v>
      </c>
      <c r="AH563" s="143">
        <v>4020</v>
      </c>
      <c r="AI563" s="2"/>
      <c r="AL563" s="2"/>
      <c r="AM563" s="1"/>
      <c r="BS563" s="3"/>
      <c r="BT563" s="3"/>
      <c r="BU563" s="3"/>
      <c r="BV563" s="3"/>
      <c r="BY563" s="1"/>
      <c r="BZ563" s="1"/>
      <c r="CA563" s="1"/>
      <c r="CB563" s="1"/>
    </row>
    <row r="564" spans="1:80" ht="33" customHeight="1" thickBot="1">
      <c r="A564" s="130">
        <f t="shared" si="306"/>
        <v>57</v>
      </c>
      <c r="B564" s="131">
        <f>B409</f>
        <v>399</v>
      </c>
      <c r="C564" s="132">
        <f>SUM(E403:E409)</f>
        <v>0</v>
      </c>
      <c r="D564" s="133">
        <f>SUM(C403:C409)</f>
        <v>0</v>
      </c>
      <c r="E564" s="132">
        <f>SUM(F403:F409)</f>
        <v>0</v>
      </c>
      <c r="F564" s="133">
        <f>SUM(D403:D409)</f>
        <v>0</v>
      </c>
      <c r="G564" s="134">
        <f t="shared" si="290"/>
        <v>0</v>
      </c>
      <c r="H564" s="134">
        <f t="shared" si="291"/>
        <v>0</v>
      </c>
      <c r="I564" s="134">
        <f t="shared" si="286"/>
        <v>0</v>
      </c>
      <c r="J564" s="133">
        <f t="shared" si="287"/>
        <v>0</v>
      </c>
      <c r="K564" s="135" t="e">
        <f t="shared" si="292"/>
        <v>#DIV/0!</v>
      </c>
      <c r="L564" s="135" t="e">
        <f t="shared" si="292"/>
        <v>#DIV/0!</v>
      </c>
      <c r="M564" s="135" t="e">
        <f t="shared" si="293"/>
        <v>#DIV/0!</v>
      </c>
      <c r="N564" s="135" t="e">
        <f t="shared" si="293"/>
        <v>#DIV/0!</v>
      </c>
      <c r="O564" s="135">
        <f t="shared" si="307"/>
        <v>3.0000000000000001E-3</v>
      </c>
      <c r="P564" s="136">
        <f>SUM(U403:U409)</f>
        <v>0</v>
      </c>
      <c r="Q564" s="137">
        <f>SUM(V403:V409)</f>
        <v>0</v>
      </c>
      <c r="R564" s="138">
        <f t="shared" si="294"/>
        <v>0</v>
      </c>
      <c r="S564" s="132">
        <f t="shared" si="295"/>
        <v>0</v>
      </c>
      <c r="T564" s="135">
        <f t="shared" si="296"/>
        <v>0</v>
      </c>
      <c r="U564" s="135">
        <f t="shared" si="288"/>
        <v>0</v>
      </c>
      <c r="V564" s="133">
        <f>SUM(AD403:AD409)</f>
        <v>0</v>
      </c>
      <c r="W564" s="139">
        <f t="shared" ca="1" si="297"/>
        <v>0</v>
      </c>
      <c r="X564" s="139">
        <f t="shared" ca="1" si="298"/>
        <v>0</v>
      </c>
      <c r="Y564" s="139">
        <f t="shared" ca="1" si="299"/>
        <v>0</v>
      </c>
      <c r="Z564" s="139">
        <f t="shared" ca="1" si="300"/>
        <v>0</v>
      </c>
      <c r="AA564" s="139">
        <f t="shared" si="289"/>
        <v>0</v>
      </c>
      <c r="AB564" s="140">
        <f t="shared" ca="1" si="301"/>
        <v>0</v>
      </c>
      <c r="AC564" s="141">
        <f t="shared" ca="1" si="302"/>
        <v>0</v>
      </c>
      <c r="AD564" s="142">
        <f t="shared" ca="1" si="303"/>
        <v>0</v>
      </c>
      <c r="AE564" s="141">
        <f t="shared" ca="1" si="304"/>
        <v>0</v>
      </c>
      <c r="AF564" s="142">
        <f t="shared" ca="1" si="305"/>
        <v>0</v>
      </c>
      <c r="AG564" s="132">
        <v>4925</v>
      </c>
      <c r="AH564" s="143">
        <v>4030</v>
      </c>
      <c r="AI564" s="2"/>
      <c r="AL564" s="2"/>
      <c r="AM564" s="1"/>
      <c r="BS564" s="3"/>
      <c r="BT564" s="3"/>
      <c r="BU564" s="3"/>
      <c r="BV564" s="3"/>
      <c r="BY564" s="1"/>
      <c r="BZ564" s="1"/>
      <c r="CA564" s="1"/>
      <c r="CB564" s="1"/>
    </row>
    <row r="565" spans="1:80" ht="33" customHeight="1" thickBot="1">
      <c r="A565" s="130">
        <f t="shared" si="306"/>
        <v>58</v>
      </c>
      <c r="B565" s="131">
        <f>B416</f>
        <v>406</v>
      </c>
      <c r="C565" s="132">
        <f>SUM(E410:E416)</f>
        <v>0</v>
      </c>
      <c r="D565" s="133">
        <f>SUM(C410:C416)</f>
        <v>0</v>
      </c>
      <c r="E565" s="132">
        <f>SUM(F410:F416)</f>
        <v>0</v>
      </c>
      <c r="F565" s="133">
        <f>SUM(D410:D416)</f>
        <v>0</v>
      </c>
      <c r="G565" s="134">
        <f t="shared" si="290"/>
        <v>0</v>
      </c>
      <c r="H565" s="134">
        <f t="shared" si="291"/>
        <v>0</v>
      </c>
      <c r="I565" s="134">
        <f t="shared" si="286"/>
        <v>0</v>
      </c>
      <c r="J565" s="133">
        <f t="shared" si="287"/>
        <v>0</v>
      </c>
      <c r="K565" s="135" t="e">
        <f t="shared" si="292"/>
        <v>#DIV/0!</v>
      </c>
      <c r="L565" s="135" t="e">
        <f t="shared" si="292"/>
        <v>#DIV/0!</v>
      </c>
      <c r="M565" s="135" t="e">
        <f t="shared" si="293"/>
        <v>#DIV/0!</v>
      </c>
      <c r="N565" s="135" t="e">
        <f t="shared" si="293"/>
        <v>#DIV/0!</v>
      </c>
      <c r="O565" s="135">
        <f t="shared" si="307"/>
        <v>3.0000000000000001E-3</v>
      </c>
      <c r="P565" s="136">
        <f>SUM(U410:U416)</f>
        <v>0</v>
      </c>
      <c r="Q565" s="137">
        <f>SUM(V410:V416)</f>
        <v>0</v>
      </c>
      <c r="R565" s="138">
        <f t="shared" si="294"/>
        <v>0</v>
      </c>
      <c r="S565" s="132">
        <f t="shared" si="295"/>
        <v>0</v>
      </c>
      <c r="T565" s="135">
        <f t="shared" si="296"/>
        <v>0</v>
      </c>
      <c r="U565" s="135">
        <f t="shared" si="288"/>
        <v>0</v>
      </c>
      <c r="V565" s="133">
        <f>SUM(AD410:AD416)</f>
        <v>0</v>
      </c>
      <c r="W565" s="139">
        <f t="shared" ca="1" si="297"/>
        <v>0</v>
      </c>
      <c r="X565" s="139">
        <f t="shared" ca="1" si="298"/>
        <v>0</v>
      </c>
      <c r="Y565" s="139">
        <f t="shared" ca="1" si="299"/>
        <v>0</v>
      </c>
      <c r="Z565" s="139">
        <f t="shared" ca="1" si="300"/>
        <v>0</v>
      </c>
      <c r="AA565" s="139">
        <f t="shared" si="289"/>
        <v>0</v>
      </c>
      <c r="AB565" s="140">
        <f t="shared" ca="1" si="301"/>
        <v>0</v>
      </c>
      <c r="AC565" s="141">
        <f t="shared" ca="1" si="302"/>
        <v>0</v>
      </c>
      <c r="AD565" s="142">
        <f t="shared" ca="1" si="303"/>
        <v>0</v>
      </c>
      <c r="AE565" s="141">
        <f t="shared" ca="1" si="304"/>
        <v>0</v>
      </c>
      <c r="AF565" s="142">
        <f t="shared" ca="1" si="305"/>
        <v>0</v>
      </c>
      <c r="AG565" s="132">
        <v>4950</v>
      </c>
      <c r="AH565" s="143">
        <v>4040</v>
      </c>
      <c r="AI565" s="2"/>
      <c r="AL565" s="2"/>
      <c r="AM565" s="1"/>
      <c r="BS565" s="3"/>
      <c r="BT565" s="3"/>
      <c r="BU565" s="3"/>
      <c r="BV565" s="3"/>
      <c r="BY565" s="1"/>
      <c r="BZ565" s="1"/>
      <c r="CA565" s="1"/>
      <c r="CB565" s="1"/>
    </row>
    <row r="566" spans="1:80" ht="33" customHeight="1" thickBot="1">
      <c r="A566" s="130">
        <f t="shared" si="306"/>
        <v>59</v>
      </c>
      <c r="B566" s="131">
        <f>B423</f>
        <v>413</v>
      </c>
      <c r="C566" s="132">
        <f>SUM(E417:E423)</f>
        <v>0</v>
      </c>
      <c r="D566" s="133">
        <f>SUM(C417:C423)</f>
        <v>0</v>
      </c>
      <c r="E566" s="132">
        <f>SUM(F417:F423)</f>
        <v>0</v>
      </c>
      <c r="F566" s="133">
        <f>SUM(D417:D423)</f>
        <v>0</v>
      </c>
      <c r="G566" s="134">
        <f t="shared" si="290"/>
        <v>0</v>
      </c>
      <c r="H566" s="134">
        <f t="shared" si="291"/>
        <v>0</v>
      </c>
      <c r="I566" s="134">
        <f t="shared" si="286"/>
        <v>0</v>
      </c>
      <c r="J566" s="133">
        <f t="shared" si="287"/>
        <v>0</v>
      </c>
      <c r="K566" s="135" t="e">
        <f t="shared" si="292"/>
        <v>#DIV/0!</v>
      </c>
      <c r="L566" s="135" t="e">
        <f t="shared" si="292"/>
        <v>#DIV/0!</v>
      </c>
      <c r="M566" s="135" t="e">
        <f t="shared" si="293"/>
        <v>#DIV/0!</v>
      </c>
      <c r="N566" s="135" t="e">
        <f t="shared" si="293"/>
        <v>#DIV/0!</v>
      </c>
      <c r="O566" s="135">
        <f t="shared" si="307"/>
        <v>3.0000000000000001E-3</v>
      </c>
      <c r="P566" s="136">
        <f>SUM(U417:U423)</f>
        <v>0</v>
      </c>
      <c r="Q566" s="137">
        <f>SUM(V417:V423)</f>
        <v>0</v>
      </c>
      <c r="R566" s="138">
        <f t="shared" si="294"/>
        <v>0</v>
      </c>
      <c r="S566" s="132">
        <f t="shared" si="295"/>
        <v>0</v>
      </c>
      <c r="T566" s="135">
        <f t="shared" si="296"/>
        <v>0</v>
      </c>
      <c r="U566" s="135">
        <f t="shared" si="288"/>
        <v>0</v>
      </c>
      <c r="V566" s="133">
        <f>SUM(AD417:AD423)</f>
        <v>0</v>
      </c>
      <c r="W566" s="139">
        <f t="shared" ca="1" si="297"/>
        <v>0</v>
      </c>
      <c r="X566" s="139">
        <f t="shared" ca="1" si="298"/>
        <v>0</v>
      </c>
      <c r="Y566" s="139">
        <f t="shared" ca="1" si="299"/>
        <v>0</v>
      </c>
      <c r="Z566" s="139">
        <f t="shared" ca="1" si="300"/>
        <v>0</v>
      </c>
      <c r="AA566" s="139">
        <f t="shared" si="289"/>
        <v>0</v>
      </c>
      <c r="AB566" s="140">
        <f t="shared" ca="1" si="301"/>
        <v>0</v>
      </c>
      <c r="AC566" s="141">
        <f t="shared" ca="1" si="302"/>
        <v>0</v>
      </c>
      <c r="AD566" s="142">
        <f t="shared" ca="1" si="303"/>
        <v>0</v>
      </c>
      <c r="AE566" s="141">
        <f t="shared" ca="1" si="304"/>
        <v>0</v>
      </c>
      <c r="AF566" s="142">
        <f t="shared" ca="1" si="305"/>
        <v>0</v>
      </c>
      <c r="AG566" s="132">
        <v>4975</v>
      </c>
      <c r="AH566" s="143">
        <v>4050</v>
      </c>
      <c r="AI566" s="2"/>
      <c r="AL566" s="2"/>
      <c r="AM566" s="1"/>
      <c r="BS566" s="3"/>
      <c r="BT566" s="3"/>
      <c r="BU566" s="3"/>
      <c r="BV566" s="3"/>
      <c r="BY566" s="1"/>
      <c r="BZ566" s="1"/>
      <c r="CA566" s="1"/>
      <c r="CB566" s="1"/>
    </row>
    <row r="567" spans="1:80" ht="33" customHeight="1" thickBot="1">
      <c r="A567" s="130">
        <f t="shared" si="306"/>
        <v>60</v>
      </c>
      <c r="B567" s="131">
        <f>B430</f>
        <v>420</v>
      </c>
      <c r="C567" s="132">
        <f>SUM(E424:E430)</f>
        <v>0</v>
      </c>
      <c r="D567" s="133">
        <f>SUM(C424:C430)</f>
        <v>0</v>
      </c>
      <c r="E567" s="132">
        <f>SUM(F424:F430)</f>
        <v>0</v>
      </c>
      <c r="F567" s="133">
        <f>SUM(D424:D430)</f>
        <v>0</v>
      </c>
      <c r="G567" s="134">
        <f t="shared" si="290"/>
        <v>0</v>
      </c>
      <c r="H567" s="134">
        <f t="shared" si="291"/>
        <v>0</v>
      </c>
      <c r="I567" s="134">
        <f t="shared" si="286"/>
        <v>0</v>
      </c>
      <c r="J567" s="133">
        <f t="shared" si="287"/>
        <v>0</v>
      </c>
      <c r="K567" s="135" t="e">
        <f t="shared" si="292"/>
        <v>#DIV/0!</v>
      </c>
      <c r="L567" s="135" t="e">
        <f t="shared" si="292"/>
        <v>#DIV/0!</v>
      </c>
      <c r="M567" s="135" t="e">
        <f t="shared" si="293"/>
        <v>#DIV/0!</v>
      </c>
      <c r="N567" s="135" t="e">
        <f t="shared" si="293"/>
        <v>#DIV/0!</v>
      </c>
      <c r="O567" s="135">
        <f t="shared" si="307"/>
        <v>3.0000000000000001E-3</v>
      </c>
      <c r="P567" s="136">
        <f>SUM(U424:U430)</f>
        <v>0</v>
      </c>
      <c r="Q567" s="137">
        <f>SUM(V424:V430)</f>
        <v>0</v>
      </c>
      <c r="R567" s="138">
        <f t="shared" si="294"/>
        <v>0</v>
      </c>
      <c r="S567" s="132">
        <f t="shared" si="295"/>
        <v>0</v>
      </c>
      <c r="T567" s="135">
        <f t="shared" si="296"/>
        <v>0</v>
      </c>
      <c r="U567" s="135">
        <f t="shared" si="288"/>
        <v>0</v>
      </c>
      <c r="V567" s="133">
        <f>SUM(AD424:AD430)</f>
        <v>0</v>
      </c>
      <c r="W567" s="139">
        <f t="shared" ca="1" si="297"/>
        <v>0</v>
      </c>
      <c r="X567" s="139">
        <f t="shared" ca="1" si="298"/>
        <v>0</v>
      </c>
      <c r="Y567" s="139">
        <f t="shared" ca="1" si="299"/>
        <v>0</v>
      </c>
      <c r="Z567" s="139">
        <f t="shared" ca="1" si="300"/>
        <v>0</v>
      </c>
      <c r="AA567" s="139">
        <f t="shared" si="289"/>
        <v>0</v>
      </c>
      <c r="AB567" s="140">
        <f t="shared" ca="1" si="301"/>
        <v>0</v>
      </c>
      <c r="AC567" s="141">
        <f t="shared" ca="1" si="302"/>
        <v>0</v>
      </c>
      <c r="AD567" s="142">
        <f t="shared" ca="1" si="303"/>
        <v>0</v>
      </c>
      <c r="AE567" s="141">
        <f t="shared" ca="1" si="304"/>
        <v>0</v>
      </c>
      <c r="AF567" s="142">
        <f t="shared" ca="1" si="305"/>
        <v>0</v>
      </c>
      <c r="AG567" s="132">
        <v>5000</v>
      </c>
      <c r="AH567" s="143">
        <v>4060</v>
      </c>
      <c r="AI567" s="2"/>
      <c r="AL567" s="2"/>
      <c r="AM567" s="1"/>
      <c r="BS567" s="3"/>
      <c r="BT567" s="3"/>
      <c r="BU567" s="3"/>
      <c r="BV567" s="3"/>
      <c r="BY567" s="1"/>
      <c r="BZ567" s="1"/>
      <c r="CA567" s="1"/>
      <c r="CB567" s="1"/>
    </row>
    <row r="568" spans="1:80" ht="33" customHeight="1" thickBot="1">
      <c r="A568" s="130">
        <f t="shared" si="306"/>
        <v>61</v>
      </c>
      <c r="B568" s="131">
        <f>B437</f>
        <v>427</v>
      </c>
      <c r="C568" s="132">
        <f>SUM(E431:E437)</f>
        <v>0</v>
      </c>
      <c r="D568" s="133">
        <f>SUM(C431:C437)</f>
        <v>0</v>
      </c>
      <c r="E568" s="132">
        <f>SUM(F431:F437)</f>
        <v>0</v>
      </c>
      <c r="F568" s="133">
        <f>SUM(D431:D437)</f>
        <v>0</v>
      </c>
      <c r="G568" s="134">
        <f t="shared" si="290"/>
        <v>0</v>
      </c>
      <c r="H568" s="134">
        <f t="shared" si="291"/>
        <v>0</v>
      </c>
      <c r="I568" s="134">
        <f t="shared" si="286"/>
        <v>0</v>
      </c>
      <c r="J568" s="133">
        <f t="shared" si="287"/>
        <v>0</v>
      </c>
      <c r="K568" s="135" t="e">
        <f t="shared" si="292"/>
        <v>#DIV/0!</v>
      </c>
      <c r="L568" s="135" t="e">
        <f t="shared" si="292"/>
        <v>#DIV/0!</v>
      </c>
      <c r="M568" s="135" t="e">
        <f t="shared" si="293"/>
        <v>#DIV/0!</v>
      </c>
      <c r="N568" s="135" t="e">
        <f t="shared" si="293"/>
        <v>#DIV/0!</v>
      </c>
      <c r="O568" s="135">
        <f t="shared" si="307"/>
        <v>3.0000000000000001E-3</v>
      </c>
      <c r="P568" s="136">
        <f>SUM(U431:U437)</f>
        <v>0</v>
      </c>
      <c r="Q568" s="137">
        <f>SUM(V431:V437)</f>
        <v>0</v>
      </c>
      <c r="R568" s="138">
        <f t="shared" si="294"/>
        <v>0</v>
      </c>
      <c r="S568" s="132">
        <f t="shared" si="295"/>
        <v>0</v>
      </c>
      <c r="T568" s="135">
        <f t="shared" si="296"/>
        <v>0</v>
      </c>
      <c r="U568" s="135">
        <f t="shared" si="288"/>
        <v>0</v>
      </c>
      <c r="V568" s="133">
        <f>SUM(AD431:AD437)</f>
        <v>0</v>
      </c>
      <c r="W568" s="139">
        <f t="shared" ca="1" si="297"/>
        <v>0</v>
      </c>
      <c r="X568" s="139">
        <f t="shared" ca="1" si="298"/>
        <v>0</v>
      </c>
      <c r="Y568" s="139">
        <f t="shared" ca="1" si="299"/>
        <v>0</v>
      </c>
      <c r="Z568" s="139">
        <f t="shared" ca="1" si="300"/>
        <v>0</v>
      </c>
      <c r="AA568" s="139">
        <f t="shared" si="289"/>
        <v>0</v>
      </c>
      <c r="AB568" s="140">
        <f t="shared" ca="1" si="301"/>
        <v>0</v>
      </c>
      <c r="AC568" s="141">
        <f t="shared" ca="1" si="302"/>
        <v>0</v>
      </c>
      <c r="AD568" s="142">
        <f t="shared" ca="1" si="303"/>
        <v>0</v>
      </c>
      <c r="AE568" s="141">
        <f t="shared" ca="1" si="304"/>
        <v>0</v>
      </c>
      <c r="AF568" s="142">
        <f t="shared" ca="1" si="305"/>
        <v>0</v>
      </c>
      <c r="AG568" s="132">
        <v>5025</v>
      </c>
      <c r="AH568" s="143">
        <v>4070</v>
      </c>
      <c r="AI568" s="2"/>
      <c r="AL568" s="2"/>
      <c r="AM568" s="1"/>
      <c r="BS568" s="3"/>
      <c r="BT568" s="3"/>
      <c r="BU568" s="3"/>
      <c r="BV568" s="3"/>
      <c r="BY568" s="1"/>
      <c r="BZ568" s="1"/>
      <c r="CA568" s="1"/>
      <c r="CB568" s="1"/>
    </row>
    <row r="569" spans="1:80" ht="33" customHeight="1" thickBot="1">
      <c r="A569" s="130">
        <f t="shared" si="306"/>
        <v>62</v>
      </c>
      <c r="B569" s="131">
        <f>B444</f>
        <v>434</v>
      </c>
      <c r="C569" s="132">
        <f>SUM(E438:E444)</f>
        <v>0</v>
      </c>
      <c r="D569" s="133">
        <f>SUM(C438:C444)</f>
        <v>0</v>
      </c>
      <c r="E569" s="132">
        <f>SUM(F438:F444)</f>
        <v>0</v>
      </c>
      <c r="F569" s="133">
        <f>SUM(D438:D444)</f>
        <v>0</v>
      </c>
      <c r="G569" s="134">
        <f t="shared" si="290"/>
        <v>0</v>
      </c>
      <c r="H569" s="134">
        <f t="shared" si="291"/>
        <v>0</v>
      </c>
      <c r="I569" s="134">
        <f t="shared" si="286"/>
        <v>0</v>
      </c>
      <c r="J569" s="133">
        <f t="shared" si="287"/>
        <v>0</v>
      </c>
      <c r="K569" s="135" t="e">
        <f t="shared" si="292"/>
        <v>#DIV/0!</v>
      </c>
      <c r="L569" s="135" t="e">
        <f t="shared" si="292"/>
        <v>#DIV/0!</v>
      </c>
      <c r="M569" s="135" t="e">
        <f t="shared" si="293"/>
        <v>#DIV/0!</v>
      </c>
      <c r="N569" s="135" t="e">
        <f t="shared" si="293"/>
        <v>#DIV/0!</v>
      </c>
      <c r="O569" s="135">
        <f t="shared" si="307"/>
        <v>3.0000000000000001E-3</v>
      </c>
      <c r="P569" s="136">
        <f>SUM(U438:U444)</f>
        <v>0</v>
      </c>
      <c r="Q569" s="137">
        <f>SUM(V438:V444)</f>
        <v>0</v>
      </c>
      <c r="R569" s="138">
        <f t="shared" si="294"/>
        <v>0</v>
      </c>
      <c r="S569" s="132">
        <f t="shared" si="295"/>
        <v>0</v>
      </c>
      <c r="T569" s="135">
        <f t="shared" si="296"/>
        <v>0</v>
      </c>
      <c r="U569" s="135">
        <f t="shared" si="288"/>
        <v>0</v>
      </c>
      <c r="V569" s="133">
        <f>SUM(AD438:AD444)</f>
        <v>0</v>
      </c>
      <c r="W569" s="139">
        <f t="shared" ca="1" si="297"/>
        <v>0</v>
      </c>
      <c r="X569" s="139">
        <f t="shared" ca="1" si="298"/>
        <v>0</v>
      </c>
      <c r="Y569" s="139">
        <f t="shared" ca="1" si="299"/>
        <v>0</v>
      </c>
      <c r="Z569" s="139">
        <f t="shared" ca="1" si="300"/>
        <v>0</v>
      </c>
      <c r="AA569" s="139">
        <f t="shared" si="289"/>
        <v>0</v>
      </c>
      <c r="AB569" s="140">
        <f t="shared" ca="1" si="301"/>
        <v>0</v>
      </c>
      <c r="AC569" s="141">
        <f t="shared" ca="1" si="302"/>
        <v>0</v>
      </c>
      <c r="AD569" s="142">
        <f t="shared" ca="1" si="303"/>
        <v>0</v>
      </c>
      <c r="AE569" s="141">
        <f t="shared" ca="1" si="304"/>
        <v>0</v>
      </c>
      <c r="AF569" s="142">
        <f t="shared" ca="1" si="305"/>
        <v>0</v>
      </c>
      <c r="AG569" s="132">
        <v>5050</v>
      </c>
      <c r="AH569" s="143">
        <v>4080</v>
      </c>
      <c r="AI569" s="2"/>
      <c r="AL569" s="2"/>
      <c r="AM569" s="1"/>
      <c r="BS569" s="3"/>
      <c r="BT569" s="3"/>
      <c r="BU569" s="3"/>
      <c r="BV569" s="3"/>
      <c r="BY569" s="1"/>
      <c r="BZ569" s="1"/>
      <c r="CA569" s="1"/>
      <c r="CB569" s="1"/>
    </row>
    <row r="570" spans="1:80" ht="33" customHeight="1" thickBot="1">
      <c r="A570" s="130">
        <f t="shared" si="306"/>
        <v>63</v>
      </c>
      <c r="B570" s="131">
        <f>B451</f>
        <v>441</v>
      </c>
      <c r="C570" s="132">
        <f>SUM(E445:E451)</f>
        <v>0</v>
      </c>
      <c r="D570" s="133">
        <f>SUM(C445:C451)</f>
        <v>0</v>
      </c>
      <c r="E570" s="132">
        <f>SUM(F445:F451)</f>
        <v>0</v>
      </c>
      <c r="F570" s="133">
        <f>SUM(D445:D451)</f>
        <v>0</v>
      </c>
      <c r="G570" s="134">
        <f t="shared" si="290"/>
        <v>0</v>
      </c>
      <c r="H570" s="134">
        <f t="shared" si="291"/>
        <v>0</v>
      </c>
      <c r="I570" s="134">
        <f t="shared" si="286"/>
        <v>0</v>
      </c>
      <c r="J570" s="133">
        <f t="shared" si="287"/>
        <v>0</v>
      </c>
      <c r="K570" s="135" t="e">
        <f t="shared" si="292"/>
        <v>#DIV/0!</v>
      </c>
      <c r="L570" s="135" t="e">
        <f t="shared" si="292"/>
        <v>#DIV/0!</v>
      </c>
      <c r="M570" s="135" t="e">
        <f t="shared" si="293"/>
        <v>#DIV/0!</v>
      </c>
      <c r="N570" s="135" t="e">
        <f t="shared" si="293"/>
        <v>#DIV/0!</v>
      </c>
      <c r="O570" s="135">
        <f t="shared" si="307"/>
        <v>3.0000000000000001E-3</v>
      </c>
      <c r="P570" s="136">
        <f>SUM(U445:U451)</f>
        <v>0</v>
      </c>
      <c r="Q570" s="137">
        <f>SUM(V445:V451)</f>
        <v>0</v>
      </c>
      <c r="R570" s="138">
        <f t="shared" si="294"/>
        <v>0</v>
      </c>
      <c r="S570" s="132">
        <f t="shared" si="295"/>
        <v>0</v>
      </c>
      <c r="T570" s="135">
        <f t="shared" si="296"/>
        <v>0</v>
      </c>
      <c r="U570" s="135">
        <f t="shared" si="288"/>
        <v>0</v>
      </c>
      <c r="V570" s="133">
        <f>SUM(AD445:AD451)</f>
        <v>0</v>
      </c>
      <c r="W570" s="139">
        <f t="shared" ca="1" si="297"/>
        <v>0</v>
      </c>
      <c r="X570" s="139">
        <f t="shared" ca="1" si="298"/>
        <v>0</v>
      </c>
      <c r="Y570" s="139">
        <f t="shared" ca="1" si="299"/>
        <v>0</v>
      </c>
      <c r="Z570" s="139">
        <f t="shared" ca="1" si="300"/>
        <v>0</v>
      </c>
      <c r="AA570" s="139">
        <f t="shared" si="289"/>
        <v>0</v>
      </c>
      <c r="AB570" s="140">
        <f t="shared" ca="1" si="301"/>
        <v>0</v>
      </c>
      <c r="AC570" s="141">
        <f t="shared" ca="1" si="302"/>
        <v>0</v>
      </c>
      <c r="AD570" s="142">
        <f t="shared" ca="1" si="303"/>
        <v>0</v>
      </c>
      <c r="AE570" s="141">
        <f t="shared" ca="1" si="304"/>
        <v>0</v>
      </c>
      <c r="AF570" s="142">
        <f t="shared" ca="1" si="305"/>
        <v>0</v>
      </c>
      <c r="AG570" s="132">
        <v>5075</v>
      </c>
      <c r="AH570" s="143">
        <v>4090</v>
      </c>
      <c r="AI570" s="2"/>
      <c r="AL570" s="2"/>
      <c r="AM570" s="1"/>
      <c r="BS570" s="3"/>
      <c r="BT570" s="3"/>
      <c r="BU570" s="3"/>
      <c r="BV570" s="3"/>
      <c r="BY570" s="1"/>
      <c r="BZ570" s="1"/>
      <c r="CA570" s="1"/>
      <c r="CB570" s="1"/>
    </row>
    <row r="571" spans="1:80" ht="33" customHeight="1" thickBot="1">
      <c r="A571" s="130">
        <f t="shared" si="306"/>
        <v>64</v>
      </c>
      <c r="B571" s="131">
        <f>B458</f>
        <v>448</v>
      </c>
      <c r="C571" s="132">
        <f>SUM(E452:E458)</f>
        <v>0</v>
      </c>
      <c r="D571" s="133">
        <f>SUM(C452:C458)</f>
        <v>0</v>
      </c>
      <c r="E571" s="132">
        <f>SUM(F452:F458)</f>
        <v>0</v>
      </c>
      <c r="F571" s="133">
        <f>SUM(D452:D458)</f>
        <v>0</v>
      </c>
      <c r="G571" s="134">
        <f t="shared" si="290"/>
        <v>0</v>
      </c>
      <c r="H571" s="134">
        <f t="shared" si="291"/>
        <v>0</v>
      </c>
      <c r="I571" s="134">
        <f t="shared" si="286"/>
        <v>0</v>
      </c>
      <c r="J571" s="133">
        <f t="shared" si="287"/>
        <v>0</v>
      </c>
      <c r="K571" s="135" t="e">
        <f t="shared" si="292"/>
        <v>#DIV/0!</v>
      </c>
      <c r="L571" s="135" t="e">
        <f t="shared" si="292"/>
        <v>#DIV/0!</v>
      </c>
      <c r="M571" s="135" t="e">
        <f t="shared" si="293"/>
        <v>#DIV/0!</v>
      </c>
      <c r="N571" s="135" t="e">
        <f t="shared" si="293"/>
        <v>#DIV/0!</v>
      </c>
      <c r="O571" s="135">
        <f t="shared" si="307"/>
        <v>3.0000000000000001E-3</v>
      </c>
      <c r="P571" s="136">
        <f>SUM(U452:U458)</f>
        <v>0</v>
      </c>
      <c r="Q571" s="137">
        <f>SUM(V452:V458)</f>
        <v>0</v>
      </c>
      <c r="R571" s="138">
        <f t="shared" si="294"/>
        <v>0</v>
      </c>
      <c r="S571" s="132">
        <f t="shared" si="295"/>
        <v>0</v>
      </c>
      <c r="T571" s="135">
        <f t="shared" si="296"/>
        <v>0</v>
      </c>
      <c r="U571" s="135">
        <f t="shared" si="288"/>
        <v>0</v>
      </c>
      <c r="V571" s="133">
        <f>SUM(AD452:AD458)</f>
        <v>0</v>
      </c>
      <c r="W571" s="139">
        <f t="shared" ca="1" si="297"/>
        <v>0</v>
      </c>
      <c r="X571" s="139">
        <f t="shared" ca="1" si="298"/>
        <v>0</v>
      </c>
      <c r="Y571" s="139">
        <f t="shared" ca="1" si="299"/>
        <v>0</v>
      </c>
      <c r="Z571" s="139">
        <f t="shared" ca="1" si="300"/>
        <v>0</v>
      </c>
      <c r="AA571" s="139">
        <f t="shared" si="289"/>
        <v>0</v>
      </c>
      <c r="AB571" s="140">
        <f t="shared" ca="1" si="301"/>
        <v>0</v>
      </c>
      <c r="AC571" s="141">
        <f t="shared" ca="1" si="302"/>
        <v>0</v>
      </c>
      <c r="AD571" s="142">
        <f t="shared" ca="1" si="303"/>
        <v>0</v>
      </c>
      <c r="AE571" s="141">
        <f t="shared" ca="1" si="304"/>
        <v>0</v>
      </c>
      <c r="AF571" s="142">
        <f t="shared" ca="1" si="305"/>
        <v>0</v>
      </c>
      <c r="AG571" s="132">
        <v>5100</v>
      </c>
      <c r="AH571" s="143">
        <v>4100</v>
      </c>
      <c r="AI571" s="2"/>
      <c r="AL571" s="2"/>
      <c r="AM571" s="1"/>
      <c r="BS571" s="3"/>
      <c r="BT571" s="3"/>
      <c r="BU571" s="3"/>
      <c r="BV571" s="3"/>
      <c r="BY571" s="1"/>
      <c r="BZ571" s="1"/>
      <c r="CA571" s="1"/>
      <c r="CB571" s="1"/>
    </row>
    <row r="572" spans="1:80" ht="33" customHeight="1" thickBot="1">
      <c r="A572" s="130">
        <f t="shared" si="306"/>
        <v>65</v>
      </c>
      <c r="B572" s="131">
        <f>B465</f>
        <v>455</v>
      </c>
      <c r="C572" s="132">
        <f>SUM(E459:E465)</f>
        <v>0</v>
      </c>
      <c r="D572" s="133">
        <f>SUM(C459:C465)</f>
        <v>0</v>
      </c>
      <c r="E572" s="132">
        <f>SUM(F459:F465)</f>
        <v>0</v>
      </c>
      <c r="F572" s="133">
        <f>SUM(D459:D465)</f>
        <v>0</v>
      </c>
      <c r="G572" s="134">
        <f t="shared" si="290"/>
        <v>0</v>
      </c>
      <c r="H572" s="134">
        <f t="shared" si="291"/>
        <v>0</v>
      </c>
      <c r="I572" s="134">
        <f t="shared" ref="I572:I577" si="308">LOOKUP(B572,$B$11:$B$500,$H$11:$H$500)</f>
        <v>0</v>
      </c>
      <c r="J572" s="133">
        <f t="shared" ref="J572:J577" si="309">LOOKUP(B572,$B$11:$B$500,$G$11:$G$500)</f>
        <v>0</v>
      </c>
      <c r="K572" s="135" t="e">
        <f t="shared" si="292"/>
        <v>#DIV/0!</v>
      </c>
      <c r="L572" s="135" t="e">
        <f t="shared" si="292"/>
        <v>#DIV/0!</v>
      </c>
      <c r="M572" s="135" t="e">
        <f t="shared" si="293"/>
        <v>#DIV/0!</v>
      </c>
      <c r="N572" s="135" t="e">
        <f t="shared" si="293"/>
        <v>#DIV/0!</v>
      </c>
      <c r="O572" s="135">
        <f t="shared" si="307"/>
        <v>3.0000000000000001E-3</v>
      </c>
      <c r="P572" s="136">
        <f>SUM(U459:U465)</f>
        <v>0</v>
      </c>
      <c r="Q572" s="137">
        <f>SUM(V459:V465)</f>
        <v>0</v>
      </c>
      <c r="R572" s="138">
        <f t="shared" si="294"/>
        <v>0</v>
      </c>
      <c r="S572" s="132">
        <f t="shared" si="295"/>
        <v>0</v>
      </c>
      <c r="T572" s="135">
        <f t="shared" si="296"/>
        <v>0</v>
      </c>
      <c r="U572" s="135">
        <f t="shared" ref="U572:U577" si="310">IFERROR(S572/(I572*7),0)</f>
        <v>0</v>
      </c>
      <c r="V572" s="133">
        <f>SUM(AD459:AD465)</f>
        <v>0</v>
      </c>
      <c r="W572" s="139">
        <f t="shared" ca="1" si="297"/>
        <v>0</v>
      </c>
      <c r="X572" s="139">
        <f t="shared" ca="1" si="298"/>
        <v>0</v>
      </c>
      <c r="Y572" s="139">
        <f t="shared" ca="1" si="299"/>
        <v>0</v>
      </c>
      <c r="Z572" s="139">
        <f t="shared" ca="1" si="300"/>
        <v>0</v>
      </c>
      <c r="AA572" s="139">
        <f t="shared" ref="AA572:AA577" si="311">IFERROR(V572/S572,0)</f>
        <v>0</v>
      </c>
      <c r="AB572" s="140">
        <f t="shared" ca="1" si="301"/>
        <v>0</v>
      </c>
      <c r="AC572" s="141">
        <f t="shared" ca="1" si="302"/>
        <v>0</v>
      </c>
      <c r="AD572" s="142">
        <f t="shared" ca="1" si="303"/>
        <v>0</v>
      </c>
      <c r="AE572" s="141">
        <f t="shared" ca="1" si="304"/>
        <v>0</v>
      </c>
      <c r="AF572" s="142">
        <f t="shared" ca="1" si="305"/>
        <v>0</v>
      </c>
      <c r="AG572" s="132"/>
      <c r="AH572" s="143"/>
      <c r="AI572" s="2"/>
      <c r="AL572" s="2"/>
      <c r="AM572" s="1"/>
      <c r="BS572" s="3"/>
      <c r="BT572" s="3"/>
      <c r="BU572" s="3"/>
      <c r="BV572" s="3"/>
      <c r="BY572" s="1"/>
      <c r="BZ572" s="1"/>
      <c r="CA572" s="1"/>
      <c r="CB572" s="1"/>
    </row>
    <row r="573" spans="1:80" ht="33" customHeight="1" thickBot="1">
      <c r="A573" s="130">
        <f t="shared" si="306"/>
        <v>66</v>
      </c>
      <c r="B573" s="131">
        <f>B472</f>
        <v>462</v>
      </c>
      <c r="C573" s="132">
        <f>SUM(E466:E472)</f>
        <v>0</v>
      </c>
      <c r="D573" s="133">
        <f>SUM(C466:C472)</f>
        <v>0</v>
      </c>
      <c r="E573" s="132">
        <f>SUM(F466:F472)</f>
        <v>0</v>
      </c>
      <c r="F573" s="133">
        <f>SUM(D466:D472)</f>
        <v>0</v>
      </c>
      <c r="G573" s="134">
        <f t="shared" ref="G573:G577" si="312">INDEX($G$11:$G$500, MATCH($B573-6, $B$11:$B$500, 0))</f>
        <v>0</v>
      </c>
      <c r="H573" s="134">
        <f t="shared" ref="H573:H577" si="313">INDEX($H$11:$H$500, MATCH($B573-6, $B$11:$B$500, 0))</f>
        <v>0</v>
      </c>
      <c r="I573" s="134">
        <f t="shared" si="308"/>
        <v>0</v>
      </c>
      <c r="J573" s="133">
        <f t="shared" si="309"/>
        <v>0</v>
      </c>
      <c r="K573" s="135" t="e">
        <f t="shared" ref="K573:L577" si="314">C573/$G573</f>
        <v>#DIV/0!</v>
      </c>
      <c r="L573" s="135" t="e">
        <f t="shared" si="314"/>
        <v>#DIV/0!</v>
      </c>
      <c r="M573" s="135" t="e">
        <f t="shared" ref="M573:N577" si="315">E573/$H573</f>
        <v>#DIV/0!</v>
      </c>
      <c r="N573" s="135" t="e">
        <f t="shared" si="315"/>
        <v>#DIV/0!</v>
      </c>
      <c r="O573" s="135">
        <f t="shared" si="307"/>
        <v>3.0000000000000001E-3</v>
      </c>
      <c r="P573" s="136">
        <f>SUM(U466:U472)</f>
        <v>0</v>
      </c>
      <c r="Q573" s="137">
        <f>SUM(V466:V472)</f>
        <v>0</v>
      </c>
      <c r="R573" s="138">
        <f t="shared" ref="R573:R577" si="316">P573+Q573</f>
        <v>0</v>
      </c>
      <c r="S573" s="132">
        <f t="shared" ref="S573:S577" si="317">SUM(Y76:Y82)</f>
        <v>0</v>
      </c>
      <c r="T573" s="135">
        <f t="shared" ref="T573:T577" si="318">IFERROR($S573/($H573*7),0)</f>
        <v>0</v>
      </c>
      <c r="U573" s="135">
        <f t="shared" si="310"/>
        <v>0</v>
      </c>
      <c r="V573" s="133">
        <f>SUM(AD466:AD472)</f>
        <v>0</v>
      </c>
      <c r="W573" s="139">
        <f t="shared" ref="W573:W577" ca="1" si="319">IFERROR(SUM(OFFSET($Z$11, (ROW()-508)*7, 0, 7, 1))/S573, 0)</f>
        <v>0</v>
      </c>
      <c r="X573" s="139">
        <f t="shared" ref="X573:X577" ca="1" si="320">IFERROR(SUM(OFFSET($AA$11, (ROW()-508)*7, 0, 7, 1))/S573, 0)</f>
        <v>0</v>
      </c>
      <c r="Y573" s="139">
        <f t="shared" ref="Y573:Y577" ca="1" si="321">IFERROR(SUM(OFFSET($AB$11, (ROW()-508)*7, 0, 7, 1))/S573, 0)</f>
        <v>0</v>
      </c>
      <c r="Z573" s="139">
        <f t="shared" ref="Z573:Z577" ca="1" si="322">IFERROR(SUM(OFFSET($AC$11, (ROW()-508)*7, 0, 7, 1))/S573, 0)</f>
        <v>0</v>
      </c>
      <c r="AA573" s="139">
        <f t="shared" si="311"/>
        <v>0</v>
      </c>
      <c r="AB573" s="140">
        <f t="shared" ref="AB573:AB577" ca="1" si="323">IFERROR(AVERAGE(OFFSET($AB$11, (ROW()-508)*7, 0, 7, 1)), 0)</f>
        <v>0</v>
      </c>
      <c r="AC573" s="141">
        <f t="shared" ref="AC573:AC577" ca="1" si="324">IFERROR(AVERAGE(OFFSET($AL$11, (ROW()-508)*7, 0, 7, 1)),0)</f>
        <v>0</v>
      </c>
      <c r="AD573" s="142">
        <f t="shared" ref="AD573:AD577" ca="1" si="325">IFERROR(AVERAGE(OFFSET($AM$11, (ROW()-508)*7, 0, 7, 1)),0)</f>
        <v>0</v>
      </c>
      <c r="AE573" s="141">
        <f t="shared" ref="AE573:AE577" ca="1" si="326">IFERROR(AVERAGE(OFFSET($AN$11, (ROW()-508)*7, 0, 7, 1)),0)</f>
        <v>0</v>
      </c>
      <c r="AF573" s="142">
        <f t="shared" ref="AF573:AF577" ca="1" si="327">IFERROR(AVERAGE(OFFSET($AO$11, (ROW()-508)*7, 0, 7, 1)),0)</f>
        <v>0</v>
      </c>
      <c r="AG573" s="132"/>
      <c r="AH573" s="143"/>
      <c r="AI573" s="2"/>
      <c r="AL573" s="2"/>
      <c r="AM573" s="1"/>
      <c r="BS573" s="3"/>
      <c r="BT573" s="3"/>
      <c r="BU573" s="3"/>
      <c r="BV573" s="3"/>
      <c r="BY573" s="1"/>
      <c r="BZ573" s="1"/>
      <c r="CA573" s="1"/>
      <c r="CB573" s="1"/>
    </row>
    <row r="574" spans="1:80" ht="33" customHeight="1" thickBot="1">
      <c r="A574" s="130">
        <f t="shared" ref="A574:A577" si="328">A573+1</f>
        <v>67</v>
      </c>
      <c r="B574" s="131">
        <f>B479</f>
        <v>469</v>
      </c>
      <c r="C574" s="132">
        <f>SUM(E473:E479)</f>
        <v>0</v>
      </c>
      <c r="D574" s="133">
        <f>SUM(C473:C479)</f>
        <v>0</v>
      </c>
      <c r="E574" s="132">
        <f>SUM(F473:F479)</f>
        <v>0</v>
      </c>
      <c r="F574" s="133">
        <f>SUM(D473:D479)</f>
        <v>0</v>
      </c>
      <c r="G574" s="134">
        <f t="shared" si="312"/>
        <v>0</v>
      </c>
      <c r="H574" s="134">
        <f t="shared" si="313"/>
        <v>0</v>
      </c>
      <c r="I574" s="134">
        <f t="shared" si="308"/>
        <v>0</v>
      </c>
      <c r="J574" s="133">
        <f t="shared" si="309"/>
        <v>0</v>
      </c>
      <c r="K574" s="135" t="e">
        <f t="shared" si="314"/>
        <v>#DIV/0!</v>
      </c>
      <c r="L574" s="135" t="e">
        <f t="shared" si="314"/>
        <v>#DIV/0!</v>
      </c>
      <c r="M574" s="135" t="e">
        <f t="shared" si="315"/>
        <v>#DIV/0!</v>
      </c>
      <c r="N574" s="135" t="e">
        <f t="shared" si="315"/>
        <v>#DIV/0!</v>
      </c>
      <c r="O574" s="135">
        <f t="shared" ref="O574:O577" si="329">$O$508</f>
        <v>3.0000000000000001E-3</v>
      </c>
      <c r="P574" s="136">
        <f>SUM(U473:U479)</f>
        <v>0</v>
      </c>
      <c r="Q574" s="137">
        <f>SUM(V473:V479)</f>
        <v>0</v>
      </c>
      <c r="R574" s="138">
        <f t="shared" si="316"/>
        <v>0</v>
      </c>
      <c r="S574" s="132">
        <f t="shared" si="317"/>
        <v>0</v>
      </c>
      <c r="T574" s="135">
        <f t="shared" si="318"/>
        <v>0</v>
      </c>
      <c r="U574" s="135">
        <f t="shared" si="310"/>
        <v>0</v>
      </c>
      <c r="V574" s="133">
        <f>SUM(AD473:AD479)</f>
        <v>0</v>
      </c>
      <c r="W574" s="139">
        <f t="shared" ca="1" si="319"/>
        <v>0</v>
      </c>
      <c r="X574" s="139">
        <f t="shared" ca="1" si="320"/>
        <v>0</v>
      </c>
      <c r="Y574" s="139">
        <f t="shared" ca="1" si="321"/>
        <v>0</v>
      </c>
      <c r="Z574" s="139">
        <f t="shared" ca="1" si="322"/>
        <v>0</v>
      </c>
      <c r="AA574" s="139">
        <f t="shared" si="311"/>
        <v>0</v>
      </c>
      <c r="AB574" s="140">
        <f t="shared" ca="1" si="323"/>
        <v>0</v>
      </c>
      <c r="AC574" s="141">
        <f t="shared" ca="1" si="324"/>
        <v>0</v>
      </c>
      <c r="AD574" s="142">
        <f t="shared" ca="1" si="325"/>
        <v>0</v>
      </c>
      <c r="AE574" s="141">
        <f t="shared" ca="1" si="326"/>
        <v>0</v>
      </c>
      <c r="AF574" s="142">
        <f t="shared" ca="1" si="327"/>
        <v>0</v>
      </c>
      <c r="AG574" s="132"/>
      <c r="AH574" s="143"/>
      <c r="AI574" s="2"/>
      <c r="AL574" s="2"/>
      <c r="AM574" s="1"/>
      <c r="BS574" s="3"/>
      <c r="BT574" s="3"/>
      <c r="BU574" s="3"/>
      <c r="BV574" s="3"/>
      <c r="BY574" s="1"/>
      <c r="BZ574" s="1"/>
      <c r="CA574" s="1"/>
      <c r="CB574" s="1"/>
    </row>
    <row r="575" spans="1:80" ht="33" customHeight="1" thickBot="1">
      <c r="A575" s="130">
        <f t="shared" si="328"/>
        <v>68</v>
      </c>
      <c r="B575" s="131">
        <f>B486</f>
        <v>476</v>
      </c>
      <c r="C575" s="132">
        <f>SUM(E480:E486)</f>
        <v>0</v>
      </c>
      <c r="D575" s="133">
        <f>SUM(C480:C486)</f>
        <v>0</v>
      </c>
      <c r="E575" s="132">
        <f>SUM(F480:F486)</f>
        <v>0</v>
      </c>
      <c r="F575" s="133">
        <f>SUM(D480:D486)</f>
        <v>0</v>
      </c>
      <c r="G575" s="134">
        <f t="shared" si="312"/>
        <v>0</v>
      </c>
      <c r="H575" s="134">
        <f t="shared" si="313"/>
        <v>0</v>
      </c>
      <c r="I575" s="134">
        <f t="shared" si="308"/>
        <v>0</v>
      </c>
      <c r="J575" s="133">
        <f t="shared" si="309"/>
        <v>0</v>
      </c>
      <c r="K575" s="135" t="e">
        <f t="shared" si="314"/>
        <v>#DIV/0!</v>
      </c>
      <c r="L575" s="135" t="e">
        <f t="shared" si="314"/>
        <v>#DIV/0!</v>
      </c>
      <c r="M575" s="135" t="e">
        <f t="shared" si="315"/>
        <v>#DIV/0!</v>
      </c>
      <c r="N575" s="135" t="e">
        <f t="shared" si="315"/>
        <v>#DIV/0!</v>
      </c>
      <c r="O575" s="135">
        <f t="shared" si="329"/>
        <v>3.0000000000000001E-3</v>
      </c>
      <c r="P575" s="136">
        <f>SUM(U480:U486)</f>
        <v>0</v>
      </c>
      <c r="Q575" s="137">
        <f>SUM(V480:V486)</f>
        <v>0</v>
      </c>
      <c r="R575" s="138">
        <f t="shared" si="316"/>
        <v>0</v>
      </c>
      <c r="S575" s="132">
        <f t="shared" si="317"/>
        <v>0</v>
      </c>
      <c r="T575" s="135">
        <f t="shared" si="318"/>
        <v>0</v>
      </c>
      <c r="U575" s="135">
        <f t="shared" si="310"/>
        <v>0</v>
      </c>
      <c r="V575" s="133">
        <f>SUM(AD480:AD486)</f>
        <v>0</v>
      </c>
      <c r="W575" s="139">
        <f t="shared" ca="1" si="319"/>
        <v>0</v>
      </c>
      <c r="X575" s="139">
        <f t="shared" ca="1" si="320"/>
        <v>0</v>
      </c>
      <c r="Y575" s="139">
        <f t="shared" ca="1" si="321"/>
        <v>0</v>
      </c>
      <c r="Z575" s="139">
        <f t="shared" ca="1" si="322"/>
        <v>0</v>
      </c>
      <c r="AA575" s="139">
        <f t="shared" si="311"/>
        <v>0</v>
      </c>
      <c r="AB575" s="140">
        <f t="shared" ca="1" si="323"/>
        <v>0</v>
      </c>
      <c r="AC575" s="141">
        <f t="shared" ca="1" si="324"/>
        <v>0</v>
      </c>
      <c r="AD575" s="142">
        <f t="shared" ca="1" si="325"/>
        <v>0</v>
      </c>
      <c r="AE575" s="141">
        <f t="shared" ca="1" si="326"/>
        <v>0</v>
      </c>
      <c r="AF575" s="142">
        <f t="shared" ca="1" si="327"/>
        <v>0</v>
      </c>
      <c r="AG575" s="132"/>
      <c r="AH575" s="143"/>
      <c r="AI575" s="2"/>
      <c r="AL575" s="2"/>
      <c r="AM575" s="1"/>
      <c r="BS575" s="3"/>
      <c r="BT575" s="3"/>
      <c r="BU575" s="3"/>
      <c r="BV575" s="3"/>
      <c r="BY575" s="1"/>
      <c r="BZ575" s="1"/>
      <c r="CA575" s="1"/>
      <c r="CB575" s="1"/>
    </row>
    <row r="576" spans="1:80" ht="33" customHeight="1" thickBot="1">
      <c r="A576" s="130">
        <f t="shared" si="328"/>
        <v>69</v>
      </c>
      <c r="B576" s="131">
        <f>B493</f>
        <v>483</v>
      </c>
      <c r="C576" s="132">
        <f>SUM(E487:E493)</f>
        <v>0</v>
      </c>
      <c r="D576" s="133">
        <f>SUM(C487:C493)</f>
        <v>0</v>
      </c>
      <c r="E576" s="132">
        <f>SUM(F487:F493)</f>
        <v>0</v>
      </c>
      <c r="F576" s="133">
        <f>SUM(D487:D493)</f>
        <v>0</v>
      </c>
      <c r="G576" s="134">
        <f t="shared" si="312"/>
        <v>0</v>
      </c>
      <c r="H576" s="134">
        <f t="shared" si="313"/>
        <v>0</v>
      </c>
      <c r="I576" s="134">
        <f t="shared" si="308"/>
        <v>0</v>
      </c>
      <c r="J576" s="133">
        <f t="shared" si="309"/>
        <v>0</v>
      </c>
      <c r="K576" s="135" t="e">
        <f t="shared" si="314"/>
        <v>#DIV/0!</v>
      </c>
      <c r="L576" s="135" t="e">
        <f t="shared" si="314"/>
        <v>#DIV/0!</v>
      </c>
      <c r="M576" s="135" t="e">
        <f t="shared" si="315"/>
        <v>#DIV/0!</v>
      </c>
      <c r="N576" s="135" t="e">
        <f t="shared" si="315"/>
        <v>#DIV/0!</v>
      </c>
      <c r="O576" s="135">
        <f t="shared" si="329"/>
        <v>3.0000000000000001E-3</v>
      </c>
      <c r="P576" s="136">
        <f>SUM(U487:U493)</f>
        <v>0</v>
      </c>
      <c r="Q576" s="137">
        <f>SUM(V487:V493)</f>
        <v>0</v>
      </c>
      <c r="R576" s="138">
        <f t="shared" si="316"/>
        <v>0</v>
      </c>
      <c r="S576" s="132">
        <f t="shared" si="317"/>
        <v>0</v>
      </c>
      <c r="T576" s="135">
        <f t="shared" si="318"/>
        <v>0</v>
      </c>
      <c r="U576" s="135">
        <f t="shared" si="310"/>
        <v>0</v>
      </c>
      <c r="V576" s="133">
        <f>SUM(AD487:AD493)</f>
        <v>0</v>
      </c>
      <c r="W576" s="139">
        <f t="shared" ca="1" si="319"/>
        <v>0</v>
      </c>
      <c r="X576" s="139">
        <f t="shared" ca="1" si="320"/>
        <v>0</v>
      </c>
      <c r="Y576" s="139">
        <f t="shared" ca="1" si="321"/>
        <v>0</v>
      </c>
      <c r="Z576" s="139">
        <f t="shared" ca="1" si="322"/>
        <v>0</v>
      </c>
      <c r="AA576" s="139">
        <f t="shared" si="311"/>
        <v>0</v>
      </c>
      <c r="AB576" s="140">
        <f t="shared" ca="1" si="323"/>
        <v>0</v>
      </c>
      <c r="AC576" s="141">
        <f t="shared" ca="1" si="324"/>
        <v>0</v>
      </c>
      <c r="AD576" s="142">
        <f t="shared" ca="1" si="325"/>
        <v>0</v>
      </c>
      <c r="AE576" s="141">
        <f t="shared" ca="1" si="326"/>
        <v>0</v>
      </c>
      <c r="AF576" s="142">
        <f t="shared" ca="1" si="327"/>
        <v>0</v>
      </c>
      <c r="AG576" s="132"/>
      <c r="AH576" s="143"/>
      <c r="AI576" s="2"/>
      <c r="AL576" s="2"/>
      <c r="AM576" s="1"/>
      <c r="BS576" s="3"/>
      <c r="BT576" s="3"/>
      <c r="BU576" s="3"/>
      <c r="BV576" s="3"/>
      <c r="BY576" s="1"/>
      <c r="BZ576" s="1"/>
      <c r="CA576" s="1"/>
      <c r="CB576" s="1"/>
    </row>
    <row r="577" spans="1:80" ht="33" customHeight="1" thickBot="1">
      <c r="A577" s="130">
        <f t="shared" si="328"/>
        <v>70</v>
      </c>
      <c r="B577" s="131">
        <f>B500</f>
        <v>490</v>
      </c>
      <c r="C577" s="132">
        <f>SUM(E494:E500)</f>
        <v>0</v>
      </c>
      <c r="D577" s="133">
        <f>SUM(C494:C500)</f>
        <v>0</v>
      </c>
      <c r="E577" s="132">
        <f>SUM(F494:F500)</f>
        <v>0</v>
      </c>
      <c r="F577" s="133">
        <f>SUM(D494:D500)</f>
        <v>0</v>
      </c>
      <c r="G577" s="134">
        <f t="shared" si="312"/>
        <v>0</v>
      </c>
      <c r="H577" s="134">
        <f t="shared" si="313"/>
        <v>0</v>
      </c>
      <c r="I577" s="134">
        <f t="shared" si="308"/>
        <v>0</v>
      </c>
      <c r="J577" s="133">
        <f t="shared" si="309"/>
        <v>0</v>
      </c>
      <c r="K577" s="135" t="e">
        <f t="shared" si="314"/>
        <v>#DIV/0!</v>
      </c>
      <c r="L577" s="135" t="e">
        <f t="shared" si="314"/>
        <v>#DIV/0!</v>
      </c>
      <c r="M577" s="135" t="e">
        <f t="shared" si="315"/>
        <v>#DIV/0!</v>
      </c>
      <c r="N577" s="135" t="e">
        <f t="shared" si="315"/>
        <v>#DIV/0!</v>
      </c>
      <c r="O577" s="135">
        <f t="shared" si="329"/>
        <v>3.0000000000000001E-3</v>
      </c>
      <c r="P577" s="136">
        <f>SUM(U494:U500)</f>
        <v>0</v>
      </c>
      <c r="Q577" s="137">
        <f>SUM(V494:V500)</f>
        <v>0</v>
      </c>
      <c r="R577" s="138">
        <f t="shared" si="316"/>
        <v>0</v>
      </c>
      <c r="S577" s="132">
        <f t="shared" si="317"/>
        <v>0</v>
      </c>
      <c r="T577" s="135">
        <f t="shared" si="318"/>
        <v>0</v>
      </c>
      <c r="U577" s="135">
        <f t="shared" si="310"/>
        <v>0</v>
      </c>
      <c r="V577" s="133">
        <f>SUM(AD494:AD500)</f>
        <v>0</v>
      </c>
      <c r="W577" s="139">
        <f t="shared" ca="1" si="319"/>
        <v>0</v>
      </c>
      <c r="X577" s="139">
        <f t="shared" ca="1" si="320"/>
        <v>0</v>
      </c>
      <c r="Y577" s="139">
        <f t="shared" ca="1" si="321"/>
        <v>0</v>
      </c>
      <c r="Z577" s="139">
        <f t="shared" ca="1" si="322"/>
        <v>0</v>
      </c>
      <c r="AA577" s="139">
        <f t="shared" si="311"/>
        <v>0</v>
      </c>
      <c r="AB577" s="140">
        <f t="shared" ca="1" si="323"/>
        <v>0</v>
      </c>
      <c r="AC577" s="141">
        <f t="shared" ca="1" si="324"/>
        <v>0</v>
      </c>
      <c r="AD577" s="142">
        <f t="shared" ca="1" si="325"/>
        <v>0</v>
      </c>
      <c r="AE577" s="141">
        <f t="shared" ca="1" si="326"/>
        <v>0</v>
      </c>
      <c r="AF577" s="142">
        <f t="shared" ca="1" si="327"/>
        <v>0</v>
      </c>
      <c r="AG577" s="132"/>
      <c r="AH577" s="143"/>
      <c r="AI577" s="2"/>
      <c r="AL577" s="2"/>
      <c r="AM577" s="1"/>
      <c r="BS577" s="3"/>
      <c r="BT577" s="3"/>
      <c r="BU577" s="3"/>
      <c r="BV577" s="3"/>
      <c r="BY577" s="1"/>
      <c r="BZ577" s="1"/>
      <c r="CA577" s="1"/>
      <c r="CB577" s="1"/>
    </row>
    <row r="578" spans="1:80" ht="17.399999999999999" customHeight="1">
      <c r="AJ578" s="124"/>
    </row>
    <row r="579" spans="1:80" ht="17.399999999999999" customHeight="1">
      <c r="AJ579" s="124"/>
    </row>
    <row r="580" spans="1:80" ht="17.399999999999999" customHeight="1">
      <c r="AJ580" s="124"/>
    </row>
    <row r="581" spans="1:80" ht="17.399999999999999" customHeight="1">
      <c r="AJ581" s="124"/>
    </row>
    <row r="582" spans="1:80" ht="17.399999999999999" customHeight="1">
      <c r="AJ582" s="124"/>
    </row>
    <row r="583" spans="1:80" ht="17.399999999999999" customHeight="1">
      <c r="AJ583" s="124"/>
    </row>
    <row r="584" spans="1:80" ht="17.399999999999999" customHeight="1">
      <c r="AJ584" s="124"/>
    </row>
    <row r="585" spans="1:80" ht="17.399999999999999" customHeight="1">
      <c r="AJ585" s="124"/>
    </row>
    <row r="586" spans="1:80" ht="17.399999999999999" customHeight="1">
      <c r="AJ586" s="124"/>
    </row>
    <row r="587" spans="1:80" ht="17.399999999999999" customHeight="1">
      <c r="AJ587" s="124"/>
    </row>
    <row r="588" spans="1:80" ht="17.399999999999999" customHeight="1">
      <c r="AJ588" s="124"/>
    </row>
    <row r="589" spans="1:80" ht="17.399999999999999" customHeight="1">
      <c r="AJ589" s="124"/>
    </row>
    <row r="590" spans="1:80" ht="17.399999999999999" customHeight="1">
      <c r="AJ590" s="124"/>
    </row>
    <row r="591" spans="1:80" ht="17.399999999999999" customHeight="1">
      <c r="AJ591" s="124"/>
    </row>
    <row r="592" spans="1:80" ht="17.399999999999999" customHeight="1">
      <c r="AJ592" s="124"/>
    </row>
    <row r="593" spans="36:36" ht="17.399999999999999" customHeight="1">
      <c r="AJ593" s="124"/>
    </row>
    <row r="594" spans="36:36" ht="17.399999999999999" customHeight="1">
      <c r="AJ594" s="124"/>
    </row>
    <row r="595" spans="36:36" ht="17.399999999999999" customHeight="1">
      <c r="AJ595" s="124"/>
    </row>
    <row r="596" spans="36:36" ht="17.399999999999999" customHeight="1">
      <c r="AJ596" s="124"/>
    </row>
    <row r="597" spans="36:36" ht="17.399999999999999" customHeight="1">
      <c r="AJ597" s="124"/>
    </row>
    <row r="598" spans="36:36" ht="17.399999999999999" customHeight="1">
      <c r="AJ598" s="124"/>
    </row>
    <row r="599" spans="36:36" ht="17.399999999999999" customHeight="1">
      <c r="AJ599" s="124"/>
    </row>
    <row r="600" spans="36:36" ht="17.399999999999999" customHeight="1">
      <c r="AJ600" s="124"/>
    </row>
    <row r="601" spans="36:36" ht="17.399999999999999" customHeight="1">
      <c r="AJ601" s="124"/>
    </row>
    <row r="602" spans="36:36" ht="17.399999999999999" customHeight="1">
      <c r="AJ602" s="124"/>
    </row>
    <row r="603" spans="36:36" ht="17.399999999999999" customHeight="1">
      <c r="AJ603" s="124"/>
    </row>
    <row r="604" spans="36:36" ht="17.399999999999999" customHeight="1">
      <c r="AJ604" s="124"/>
    </row>
    <row r="605" spans="36:36" ht="17.399999999999999" customHeight="1">
      <c r="AJ605" s="124"/>
    </row>
    <row r="606" spans="36:36" ht="17.399999999999999" customHeight="1">
      <c r="AJ606" s="124"/>
    </row>
    <row r="607" spans="36:36" ht="17.399999999999999" customHeight="1">
      <c r="AJ607" s="124"/>
    </row>
    <row r="608" spans="36:36" ht="17.399999999999999" customHeight="1">
      <c r="AJ608" s="124"/>
    </row>
    <row r="609" spans="36:36" ht="17.399999999999999" customHeight="1">
      <c r="AJ609" s="124"/>
    </row>
    <row r="610" spans="36:36" ht="17.399999999999999" customHeight="1">
      <c r="AJ610" s="124"/>
    </row>
    <row r="611" spans="36:36" ht="17.399999999999999" customHeight="1">
      <c r="AJ611" s="124"/>
    </row>
    <row r="612" spans="36:36" ht="17.399999999999999" customHeight="1">
      <c r="AJ612" s="124"/>
    </row>
    <row r="613" spans="36:36" ht="17.399999999999999" customHeight="1">
      <c r="AJ613" s="124"/>
    </row>
    <row r="614" spans="36:36" ht="17.399999999999999" customHeight="1">
      <c r="AJ614" s="124"/>
    </row>
    <row r="615" spans="36:36" ht="17.399999999999999" customHeight="1">
      <c r="AJ615" s="124"/>
    </row>
    <row r="616" spans="36:36" ht="17.399999999999999" customHeight="1">
      <c r="AJ616" s="124"/>
    </row>
    <row r="617" spans="36:36" ht="17.399999999999999" customHeight="1">
      <c r="AJ617" s="124"/>
    </row>
    <row r="618" spans="36:36" ht="17.399999999999999" customHeight="1">
      <c r="AJ618" s="124"/>
    </row>
    <row r="619" spans="36:36" ht="17.399999999999999" customHeight="1">
      <c r="AJ619" s="124"/>
    </row>
    <row r="620" spans="36:36" ht="17.399999999999999" customHeight="1">
      <c r="AJ620" s="124"/>
    </row>
    <row r="621" spans="36:36" ht="17.399999999999999" customHeight="1">
      <c r="AJ621" s="124"/>
    </row>
    <row r="622" spans="36:36" ht="17.399999999999999" customHeight="1">
      <c r="AJ622" s="124"/>
    </row>
    <row r="623" spans="36:36" ht="17.399999999999999" customHeight="1">
      <c r="AJ623" s="124"/>
    </row>
    <row r="624" spans="36:36" ht="17.399999999999999" customHeight="1">
      <c r="AJ624" s="124"/>
    </row>
    <row r="625" spans="36:36" ht="17.399999999999999" customHeight="1">
      <c r="AJ625" s="124"/>
    </row>
    <row r="626" spans="36:36" ht="17.399999999999999" customHeight="1">
      <c r="AJ626" s="124"/>
    </row>
    <row r="627" spans="36:36" ht="17.399999999999999" customHeight="1">
      <c r="AJ627" s="124"/>
    </row>
    <row r="628" spans="36:36" ht="17.399999999999999" customHeight="1">
      <c r="AJ628" s="124"/>
    </row>
    <row r="629" spans="36:36" ht="17.399999999999999" customHeight="1">
      <c r="AJ629" s="124"/>
    </row>
    <row r="630" spans="36:36" ht="17.399999999999999" customHeight="1">
      <c r="AJ630" s="124"/>
    </row>
    <row r="631" spans="36:36" ht="17.399999999999999" customHeight="1">
      <c r="AJ631" s="124"/>
    </row>
    <row r="632" spans="36:36" ht="17.399999999999999" customHeight="1">
      <c r="AJ632" s="124"/>
    </row>
    <row r="633" spans="36:36" ht="17.399999999999999" customHeight="1">
      <c r="AJ633" s="124"/>
    </row>
    <row r="634" spans="36:36" ht="17.399999999999999" customHeight="1">
      <c r="AJ634" s="124"/>
    </row>
    <row r="635" spans="36:36" ht="17.399999999999999" customHeight="1">
      <c r="AJ635" s="124"/>
    </row>
    <row r="636" spans="36:36" ht="17.399999999999999" customHeight="1">
      <c r="AJ636" s="124"/>
    </row>
    <row r="637" spans="36:36" ht="17.399999999999999" customHeight="1">
      <c r="AJ637" s="124"/>
    </row>
    <row r="638" spans="36:36" ht="17.399999999999999" customHeight="1">
      <c r="AJ638" s="124"/>
    </row>
    <row r="639" spans="36:36" ht="17.399999999999999" customHeight="1">
      <c r="AJ639" s="124"/>
    </row>
    <row r="640" spans="36:36" ht="17.399999999999999" customHeight="1">
      <c r="AJ640" s="124"/>
    </row>
    <row r="641" spans="36:36" ht="17.399999999999999" customHeight="1">
      <c r="AJ641" s="124"/>
    </row>
    <row r="642" spans="36:36" ht="17.399999999999999" customHeight="1">
      <c r="AJ642" s="124"/>
    </row>
    <row r="643" spans="36:36" ht="17.399999999999999" customHeight="1">
      <c r="AJ643" s="124"/>
    </row>
    <row r="644" spans="36:36" ht="17.399999999999999" customHeight="1">
      <c r="AJ644" s="124"/>
    </row>
    <row r="645" spans="36:36" ht="17.399999999999999" customHeight="1">
      <c r="AJ645" s="124"/>
    </row>
    <row r="646" spans="36:36" ht="17.399999999999999" customHeight="1">
      <c r="AJ646" s="124"/>
    </row>
    <row r="647" spans="36:36" ht="17.399999999999999" customHeight="1">
      <c r="AJ647" s="124"/>
    </row>
    <row r="648" spans="36:36" ht="17.399999999999999" customHeight="1">
      <c r="AJ648" s="124"/>
    </row>
    <row r="649" spans="36:36" ht="17.399999999999999" customHeight="1">
      <c r="AJ649" s="124"/>
    </row>
    <row r="650" spans="36:36" ht="17.399999999999999" customHeight="1">
      <c r="AJ650" s="124"/>
    </row>
    <row r="651" spans="36:36" ht="17.399999999999999" customHeight="1">
      <c r="AJ651" s="124"/>
    </row>
    <row r="652" spans="36:36" ht="17.399999999999999" customHeight="1">
      <c r="AJ652" s="124"/>
    </row>
    <row r="653" spans="36:36" ht="17.399999999999999" customHeight="1">
      <c r="AJ653" s="124"/>
    </row>
    <row r="654" spans="36:36" ht="17.399999999999999" customHeight="1">
      <c r="AJ654" s="124"/>
    </row>
    <row r="655" spans="36:36" ht="17.399999999999999" customHeight="1">
      <c r="AJ655" s="124"/>
    </row>
    <row r="656" spans="36:36" ht="17.399999999999999" customHeight="1">
      <c r="AJ656" s="124"/>
    </row>
    <row r="657" spans="36:36" ht="17.399999999999999" customHeight="1">
      <c r="AJ657" s="124"/>
    </row>
    <row r="658" spans="36:36" ht="17.399999999999999" customHeight="1">
      <c r="AJ658" s="124"/>
    </row>
    <row r="659" spans="36:36" ht="17.399999999999999" customHeight="1">
      <c r="AJ659" s="124"/>
    </row>
    <row r="660" spans="36:36" ht="17.399999999999999" customHeight="1">
      <c r="AJ660" s="124"/>
    </row>
    <row r="661" spans="36:36" ht="17.399999999999999" customHeight="1">
      <c r="AJ661" s="124"/>
    </row>
    <row r="662" spans="36:36" ht="17.399999999999999" customHeight="1">
      <c r="AJ662" s="124"/>
    </row>
    <row r="663" spans="36:36" ht="17.399999999999999" customHeight="1">
      <c r="AJ663" s="124"/>
    </row>
    <row r="664" spans="36:36" ht="17.399999999999999" customHeight="1">
      <c r="AJ664" s="124"/>
    </row>
    <row r="665" spans="36:36" ht="17.399999999999999" customHeight="1">
      <c r="AJ665" s="124"/>
    </row>
    <row r="666" spans="36:36" ht="17.399999999999999" customHeight="1">
      <c r="AJ666" s="124"/>
    </row>
    <row r="667" spans="36:36" ht="17.399999999999999" customHeight="1">
      <c r="AJ667" s="124"/>
    </row>
    <row r="668" spans="36:36" ht="17.399999999999999" customHeight="1">
      <c r="AJ668" s="124"/>
    </row>
    <row r="669" spans="36:36" ht="17.399999999999999" customHeight="1">
      <c r="AJ669" s="124"/>
    </row>
    <row r="670" spans="36:36" ht="17.399999999999999" customHeight="1">
      <c r="AJ670" s="124"/>
    </row>
    <row r="671" spans="36:36" ht="17.399999999999999" customHeight="1">
      <c r="AJ671" s="124"/>
    </row>
    <row r="672" spans="36:36" ht="17.399999999999999" customHeight="1">
      <c r="AJ672" s="124"/>
    </row>
    <row r="673" spans="36:36" ht="17.399999999999999" customHeight="1">
      <c r="AJ673" s="124"/>
    </row>
    <row r="674" spans="36:36" ht="17.399999999999999" customHeight="1">
      <c r="AJ674" s="124"/>
    </row>
    <row r="675" spans="36:36" ht="17.399999999999999" customHeight="1">
      <c r="AJ675" s="124"/>
    </row>
    <row r="676" spans="36:36" ht="17.399999999999999" customHeight="1">
      <c r="AJ676" s="124"/>
    </row>
    <row r="677" spans="36:36" ht="17.399999999999999" customHeight="1">
      <c r="AJ677" s="124"/>
    </row>
    <row r="678" spans="36:36" ht="17.399999999999999" customHeight="1">
      <c r="AJ678" s="124"/>
    </row>
    <row r="679" spans="36:36" ht="17.399999999999999" customHeight="1">
      <c r="AJ679" s="124"/>
    </row>
    <row r="680" spans="36:36" ht="17.399999999999999" customHeight="1">
      <c r="AJ680" s="124"/>
    </row>
    <row r="681" spans="36:36" ht="17.399999999999999" customHeight="1">
      <c r="AJ681" s="124"/>
    </row>
    <row r="682" spans="36:36" ht="17.399999999999999" customHeight="1">
      <c r="AJ682" s="124"/>
    </row>
    <row r="683" spans="36:36" ht="17.399999999999999" customHeight="1">
      <c r="AJ683" s="124"/>
    </row>
    <row r="684" spans="36:36" ht="17.399999999999999" customHeight="1">
      <c r="AJ684" s="124"/>
    </row>
    <row r="685" spans="36:36" ht="17.399999999999999" customHeight="1">
      <c r="AJ685" s="124"/>
    </row>
    <row r="686" spans="36:36" ht="17.399999999999999" customHeight="1">
      <c r="AJ686" s="124"/>
    </row>
    <row r="687" spans="36:36" ht="17.399999999999999" customHeight="1">
      <c r="AJ687" s="124"/>
    </row>
    <row r="688" spans="36:36" ht="17.399999999999999" customHeight="1">
      <c r="AJ688" s="124"/>
    </row>
    <row r="689" spans="36:36" ht="17.399999999999999" customHeight="1">
      <c r="AJ689" s="124"/>
    </row>
    <row r="690" spans="36:36" ht="17.399999999999999" customHeight="1">
      <c r="AJ690" s="124"/>
    </row>
    <row r="691" spans="36:36" ht="17.399999999999999" customHeight="1">
      <c r="AJ691" s="124"/>
    </row>
    <row r="692" spans="36:36" ht="17.399999999999999" customHeight="1">
      <c r="AJ692" s="124"/>
    </row>
    <row r="693" spans="36:36" ht="17.399999999999999" customHeight="1">
      <c r="AJ693" s="124"/>
    </row>
    <row r="694" spans="36:36" ht="17.399999999999999" customHeight="1">
      <c r="AJ694" s="124"/>
    </row>
    <row r="695" spans="36:36" ht="17.399999999999999" customHeight="1">
      <c r="AJ695" s="124"/>
    </row>
    <row r="696" spans="36:36" ht="17.399999999999999" customHeight="1">
      <c r="AJ696" s="124"/>
    </row>
    <row r="697" spans="36:36" ht="17.399999999999999" customHeight="1">
      <c r="AJ697" s="124"/>
    </row>
    <row r="698" spans="36:36" ht="17.399999999999999" customHeight="1">
      <c r="AJ698" s="124"/>
    </row>
    <row r="699" spans="36:36" ht="17.399999999999999" customHeight="1">
      <c r="AJ699" s="124"/>
    </row>
    <row r="700" spans="36:36" ht="17.399999999999999" customHeight="1">
      <c r="AJ700" s="124"/>
    </row>
    <row r="701" spans="36:36" ht="17.399999999999999" customHeight="1">
      <c r="AJ701" s="124"/>
    </row>
    <row r="702" spans="36:36" ht="17.399999999999999" customHeight="1">
      <c r="AJ702" s="124"/>
    </row>
    <row r="703" spans="36:36" ht="17.399999999999999" customHeight="1">
      <c r="AJ703" s="124"/>
    </row>
    <row r="704" spans="36:36" ht="17.399999999999999" customHeight="1">
      <c r="AJ704" s="124"/>
    </row>
    <row r="705" spans="36:36" ht="17.399999999999999" customHeight="1">
      <c r="AJ705" s="124"/>
    </row>
    <row r="706" spans="36:36" ht="17.399999999999999" customHeight="1">
      <c r="AJ706" s="124"/>
    </row>
    <row r="707" spans="36:36" ht="17.399999999999999" customHeight="1">
      <c r="AJ707" s="124"/>
    </row>
    <row r="708" spans="36:36" ht="17.399999999999999" customHeight="1">
      <c r="AJ708" s="124"/>
    </row>
    <row r="709" spans="36:36" ht="17.399999999999999" customHeight="1">
      <c r="AJ709" s="124"/>
    </row>
    <row r="710" spans="36:36" ht="17.399999999999999" customHeight="1">
      <c r="AJ710" s="124"/>
    </row>
    <row r="711" spans="36:36" ht="17.399999999999999" customHeight="1">
      <c r="AJ711" s="124"/>
    </row>
    <row r="712" spans="36:36" ht="17.399999999999999" customHeight="1">
      <c r="AJ712" s="124"/>
    </row>
    <row r="713" spans="36:36" ht="17.399999999999999" customHeight="1">
      <c r="AJ713" s="124"/>
    </row>
    <row r="714" spans="36:36" ht="17.399999999999999" customHeight="1">
      <c r="AJ714" s="124"/>
    </row>
    <row r="715" spans="36:36" ht="17.399999999999999" customHeight="1">
      <c r="AJ715" s="124"/>
    </row>
    <row r="716" spans="36:36" ht="17.399999999999999" customHeight="1">
      <c r="AJ716" s="124"/>
    </row>
    <row r="717" spans="36:36" ht="17.399999999999999" customHeight="1">
      <c r="AJ717" s="124"/>
    </row>
    <row r="718" spans="36:36" ht="17.399999999999999" customHeight="1">
      <c r="AJ718" s="124"/>
    </row>
    <row r="719" spans="36:36" ht="17.399999999999999" customHeight="1">
      <c r="AJ719" s="124"/>
    </row>
    <row r="720" spans="36:36" ht="17.399999999999999" customHeight="1">
      <c r="AJ720" s="124"/>
    </row>
    <row r="721" spans="36:36" ht="17.399999999999999" customHeight="1">
      <c r="AJ721" s="124"/>
    </row>
    <row r="722" spans="36:36" ht="17.399999999999999" customHeight="1">
      <c r="AJ722" s="124"/>
    </row>
    <row r="723" spans="36:36" ht="17.399999999999999" customHeight="1">
      <c r="AJ723" s="124"/>
    </row>
    <row r="724" spans="36:36" ht="17.399999999999999" customHeight="1">
      <c r="AJ724" s="124"/>
    </row>
    <row r="725" spans="36:36" ht="17.399999999999999" customHeight="1">
      <c r="AJ725" s="124"/>
    </row>
    <row r="726" spans="36:36" ht="17.399999999999999" customHeight="1">
      <c r="AJ726" s="124"/>
    </row>
    <row r="727" spans="36:36" ht="17.399999999999999" customHeight="1">
      <c r="AJ727" s="124"/>
    </row>
    <row r="728" spans="36:36" ht="17.399999999999999" customHeight="1">
      <c r="AJ728" s="124"/>
    </row>
    <row r="729" spans="36:36" ht="17.399999999999999" customHeight="1">
      <c r="AJ729" s="124"/>
    </row>
    <row r="730" spans="36:36" ht="17.399999999999999" customHeight="1">
      <c r="AJ730" s="124"/>
    </row>
    <row r="731" spans="36:36" ht="17.399999999999999" customHeight="1">
      <c r="AJ731" s="124"/>
    </row>
    <row r="732" spans="36:36" ht="17.399999999999999" customHeight="1">
      <c r="AJ732" s="124"/>
    </row>
    <row r="733" spans="36:36" ht="17.399999999999999" customHeight="1">
      <c r="AJ733" s="124"/>
    </row>
    <row r="734" spans="36:36" ht="17.399999999999999" customHeight="1">
      <c r="AJ734" s="124"/>
    </row>
    <row r="735" spans="36:36" ht="17.399999999999999" customHeight="1">
      <c r="AJ735" s="124"/>
    </row>
    <row r="736" spans="36:36" ht="17.399999999999999" customHeight="1">
      <c r="AJ736" s="124"/>
    </row>
    <row r="737" spans="36:36" ht="17.399999999999999" customHeight="1">
      <c r="AJ737" s="124"/>
    </row>
    <row r="738" spans="36:36" ht="17.399999999999999" customHeight="1">
      <c r="AJ738" s="124"/>
    </row>
    <row r="739" spans="36:36" ht="17.399999999999999" customHeight="1">
      <c r="AJ739" s="124"/>
    </row>
    <row r="740" spans="36:36" ht="17.399999999999999" customHeight="1">
      <c r="AJ740" s="124"/>
    </row>
    <row r="741" spans="36:36" ht="17.399999999999999" customHeight="1">
      <c r="AJ741" s="124"/>
    </row>
    <row r="742" spans="36:36" ht="17.399999999999999" customHeight="1">
      <c r="AJ742" s="124"/>
    </row>
    <row r="743" spans="36:36" ht="17.399999999999999" customHeight="1">
      <c r="AJ743" s="124"/>
    </row>
    <row r="744" spans="36:36" ht="17.399999999999999" customHeight="1">
      <c r="AJ744" s="124"/>
    </row>
    <row r="745" spans="36:36" ht="17.399999999999999" customHeight="1">
      <c r="AJ745" s="124"/>
    </row>
    <row r="746" spans="36:36" ht="17.399999999999999" customHeight="1">
      <c r="AJ746" s="124"/>
    </row>
    <row r="747" spans="36:36" ht="17.399999999999999" customHeight="1">
      <c r="AJ747" s="124"/>
    </row>
    <row r="748" spans="36:36" ht="17.399999999999999" customHeight="1">
      <c r="AJ748" s="124"/>
    </row>
    <row r="749" spans="36:36" ht="17.399999999999999" customHeight="1">
      <c r="AJ749" s="124"/>
    </row>
    <row r="750" spans="36:36" ht="17.399999999999999" customHeight="1">
      <c r="AJ750" s="124"/>
    </row>
    <row r="751" spans="36:36" ht="17.399999999999999" customHeight="1">
      <c r="AJ751" s="124"/>
    </row>
    <row r="752" spans="36:36" ht="17.399999999999999" customHeight="1">
      <c r="AJ752" s="124"/>
    </row>
    <row r="753" spans="36:36" ht="17.399999999999999" customHeight="1">
      <c r="AJ753" s="124"/>
    </row>
    <row r="754" spans="36:36" ht="17.399999999999999" customHeight="1">
      <c r="AJ754" s="124"/>
    </row>
    <row r="755" spans="36:36" ht="17.399999999999999" customHeight="1">
      <c r="AJ755" s="124"/>
    </row>
    <row r="756" spans="36:36" ht="17.399999999999999" customHeight="1">
      <c r="AJ756" s="124"/>
    </row>
    <row r="757" spans="36:36" ht="17.399999999999999" customHeight="1">
      <c r="AJ757" s="124"/>
    </row>
    <row r="758" spans="36:36" ht="17.399999999999999" customHeight="1">
      <c r="AJ758" s="124"/>
    </row>
    <row r="759" spans="36:36" ht="17.399999999999999" customHeight="1">
      <c r="AJ759" s="124"/>
    </row>
    <row r="760" spans="36:36" ht="17.399999999999999" customHeight="1">
      <c r="AJ760" s="124"/>
    </row>
    <row r="761" spans="36:36" ht="17.399999999999999" customHeight="1">
      <c r="AJ761" s="124"/>
    </row>
    <row r="762" spans="36:36" ht="17.399999999999999" customHeight="1">
      <c r="AJ762" s="124"/>
    </row>
    <row r="763" spans="36:36" ht="17.399999999999999" customHeight="1">
      <c r="AJ763" s="124"/>
    </row>
    <row r="764" spans="36:36" ht="17.399999999999999" customHeight="1">
      <c r="AJ764" s="124"/>
    </row>
    <row r="765" spans="36:36" ht="17.399999999999999" customHeight="1">
      <c r="AJ765" s="124"/>
    </row>
    <row r="766" spans="36:36" ht="17.399999999999999" customHeight="1">
      <c r="AJ766" s="124"/>
    </row>
    <row r="767" spans="36:36" ht="17.399999999999999" customHeight="1">
      <c r="AJ767" s="124"/>
    </row>
    <row r="768" spans="36:36" ht="17.399999999999999" customHeight="1">
      <c r="AJ768" s="124"/>
    </row>
    <row r="769" spans="36:36" ht="17.399999999999999" customHeight="1">
      <c r="AJ769" s="124"/>
    </row>
    <row r="770" spans="36:36" ht="17.399999999999999" customHeight="1">
      <c r="AJ770" s="124"/>
    </row>
    <row r="771" spans="36:36" ht="17.399999999999999" customHeight="1">
      <c r="AJ771" s="124"/>
    </row>
    <row r="772" spans="36:36" ht="17.399999999999999" customHeight="1">
      <c r="AJ772" s="124"/>
    </row>
    <row r="773" spans="36:36" ht="17.399999999999999" customHeight="1">
      <c r="AJ773" s="124"/>
    </row>
    <row r="774" spans="36:36" ht="17.399999999999999" customHeight="1">
      <c r="AJ774" s="124"/>
    </row>
    <row r="775" spans="36:36" ht="17.399999999999999" customHeight="1">
      <c r="AJ775" s="124"/>
    </row>
    <row r="776" spans="36:36" ht="17.399999999999999" customHeight="1">
      <c r="AJ776" s="124"/>
    </row>
    <row r="777" spans="36:36" ht="17.399999999999999" customHeight="1">
      <c r="AJ777" s="124"/>
    </row>
    <row r="778" spans="36:36" ht="17.399999999999999" customHeight="1">
      <c r="AJ778" s="124"/>
    </row>
    <row r="779" spans="36:36" ht="17.399999999999999" customHeight="1">
      <c r="AJ779" s="124"/>
    </row>
    <row r="780" spans="36:36" ht="17.399999999999999" customHeight="1">
      <c r="AJ780" s="124"/>
    </row>
    <row r="781" spans="36:36" ht="17.399999999999999" customHeight="1">
      <c r="AJ781" s="124"/>
    </row>
    <row r="782" spans="36:36" ht="17.399999999999999" customHeight="1">
      <c r="AJ782" s="124"/>
    </row>
    <row r="783" spans="36:36" ht="17.399999999999999" customHeight="1">
      <c r="AJ783" s="124"/>
    </row>
    <row r="784" spans="36:36" ht="17.399999999999999" customHeight="1">
      <c r="AJ784" s="124"/>
    </row>
    <row r="785" spans="36:36" ht="17.399999999999999" customHeight="1">
      <c r="AJ785" s="124"/>
    </row>
    <row r="786" spans="36:36" ht="17.399999999999999" customHeight="1">
      <c r="AJ786" s="124"/>
    </row>
    <row r="787" spans="36:36" ht="17.399999999999999" customHeight="1">
      <c r="AJ787" s="124"/>
    </row>
    <row r="788" spans="36:36" ht="17.399999999999999" customHeight="1">
      <c r="AJ788" s="124"/>
    </row>
    <row r="789" spans="36:36" ht="17.399999999999999" customHeight="1">
      <c r="AJ789" s="124"/>
    </row>
    <row r="790" spans="36:36" ht="17.399999999999999" customHeight="1">
      <c r="AJ790" s="124"/>
    </row>
    <row r="791" spans="36:36" ht="17.399999999999999" customHeight="1">
      <c r="AJ791" s="124"/>
    </row>
    <row r="792" spans="36:36" ht="17.399999999999999" customHeight="1">
      <c r="AJ792" s="124"/>
    </row>
    <row r="793" spans="36:36" ht="17.399999999999999" customHeight="1">
      <c r="AJ793" s="124"/>
    </row>
    <row r="794" spans="36:36" ht="17.399999999999999" customHeight="1">
      <c r="AJ794" s="124"/>
    </row>
    <row r="795" spans="36:36" ht="17.399999999999999" customHeight="1">
      <c r="AJ795" s="124"/>
    </row>
    <row r="796" spans="36:36" ht="17.399999999999999" customHeight="1">
      <c r="AJ796" s="124"/>
    </row>
    <row r="797" spans="36:36" ht="17.399999999999999" customHeight="1">
      <c r="AJ797" s="124"/>
    </row>
    <row r="798" spans="36:36" ht="17.399999999999999" customHeight="1">
      <c r="AJ798" s="124"/>
    </row>
    <row r="799" spans="36:36" ht="17.399999999999999" customHeight="1">
      <c r="AJ799" s="124"/>
    </row>
    <row r="800" spans="36:36" ht="17.399999999999999" customHeight="1">
      <c r="AJ800" s="124"/>
    </row>
    <row r="801" spans="36:36" ht="17.399999999999999" customHeight="1">
      <c r="AJ801" s="124"/>
    </row>
    <row r="802" spans="36:36" ht="17.399999999999999" customHeight="1">
      <c r="AJ802" s="124"/>
    </row>
    <row r="803" spans="36:36" ht="17.399999999999999" customHeight="1">
      <c r="AJ803" s="124"/>
    </row>
    <row r="804" spans="36:36" ht="17.399999999999999" customHeight="1">
      <c r="AJ804" s="124"/>
    </row>
    <row r="805" spans="36:36" ht="17.399999999999999" customHeight="1">
      <c r="AJ805" s="124"/>
    </row>
    <row r="806" spans="36:36" ht="17.399999999999999" customHeight="1">
      <c r="AJ806" s="124"/>
    </row>
    <row r="807" spans="36:36" ht="17.399999999999999" customHeight="1">
      <c r="AJ807" s="124"/>
    </row>
    <row r="808" spans="36:36" ht="17.399999999999999" customHeight="1">
      <c r="AJ808" s="124"/>
    </row>
    <row r="809" spans="36:36" ht="17.399999999999999" customHeight="1">
      <c r="AJ809" s="124"/>
    </row>
    <row r="810" spans="36:36" ht="17.399999999999999" customHeight="1">
      <c r="AJ810" s="124"/>
    </row>
    <row r="811" spans="36:36" ht="17.399999999999999" customHeight="1">
      <c r="AJ811" s="124"/>
    </row>
    <row r="812" spans="36:36" ht="17.399999999999999" customHeight="1">
      <c r="AJ812" s="124"/>
    </row>
    <row r="813" spans="36:36" ht="17.399999999999999" customHeight="1">
      <c r="AJ813" s="124"/>
    </row>
    <row r="814" spans="36:36" ht="17.399999999999999" customHeight="1">
      <c r="AJ814" s="124"/>
    </row>
    <row r="815" spans="36:36" ht="17.399999999999999" customHeight="1">
      <c r="AJ815" s="124"/>
    </row>
    <row r="816" spans="36:36" ht="17.399999999999999" customHeight="1">
      <c r="AJ816" s="124"/>
    </row>
    <row r="817" spans="36:36" ht="17.399999999999999" customHeight="1">
      <c r="AJ817" s="124"/>
    </row>
    <row r="818" spans="36:36" ht="17.399999999999999" customHeight="1">
      <c r="AJ818" s="124"/>
    </row>
    <row r="819" spans="36:36" ht="17.399999999999999" customHeight="1">
      <c r="AJ819" s="124"/>
    </row>
    <row r="820" spans="36:36" ht="17.399999999999999" customHeight="1">
      <c r="AJ820" s="124"/>
    </row>
    <row r="821" spans="36:36" ht="17.399999999999999" customHeight="1">
      <c r="AJ821" s="124"/>
    </row>
    <row r="822" spans="36:36" ht="17.399999999999999" customHeight="1">
      <c r="AJ822" s="124"/>
    </row>
    <row r="823" spans="36:36" ht="17.399999999999999" customHeight="1">
      <c r="AJ823" s="124"/>
    </row>
    <row r="824" spans="36:36" ht="17.399999999999999" customHeight="1">
      <c r="AJ824" s="124"/>
    </row>
    <row r="825" spans="36:36" ht="17.399999999999999" customHeight="1">
      <c r="AJ825" s="124"/>
    </row>
    <row r="826" spans="36:36" ht="17.399999999999999" customHeight="1">
      <c r="AJ826" s="124"/>
    </row>
    <row r="827" spans="36:36" ht="17.399999999999999" customHeight="1">
      <c r="AJ827" s="124"/>
    </row>
    <row r="828" spans="36:36" ht="17.399999999999999" customHeight="1">
      <c r="AJ828" s="124"/>
    </row>
    <row r="829" spans="36:36" ht="17.399999999999999" customHeight="1">
      <c r="AJ829" s="124"/>
    </row>
    <row r="830" spans="36:36" ht="17.399999999999999" customHeight="1">
      <c r="AJ830" s="124"/>
    </row>
    <row r="831" spans="36:36" ht="17.399999999999999" customHeight="1">
      <c r="AJ831" s="124"/>
    </row>
    <row r="832" spans="36:36" ht="17.399999999999999" customHeight="1">
      <c r="AJ832" s="124"/>
    </row>
    <row r="833" spans="36:36" ht="17.399999999999999" customHeight="1">
      <c r="AJ833" s="124"/>
    </row>
    <row r="834" spans="36:36" ht="17.399999999999999" customHeight="1">
      <c r="AJ834" s="124"/>
    </row>
    <row r="835" spans="36:36" ht="17.399999999999999" customHeight="1">
      <c r="AJ835" s="124"/>
    </row>
    <row r="836" spans="36:36" ht="17.399999999999999" customHeight="1">
      <c r="AJ836" s="124"/>
    </row>
    <row r="837" spans="36:36" ht="17.399999999999999" customHeight="1">
      <c r="AJ837" s="124"/>
    </row>
    <row r="838" spans="36:36" ht="17.399999999999999" customHeight="1">
      <c r="AJ838" s="124"/>
    </row>
    <row r="839" spans="36:36" ht="17.399999999999999" customHeight="1">
      <c r="AJ839" s="124"/>
    </row>
    <row r="840" spans="36:36" ht="17.399999999999999" customHeight="1">
      <c r="AJ840" s="124"/>
    </row>
    <row r="841" spans="36:36" ht="17.399999999999999" customHeight="1">
      <c r="AJ841" s="124"/>
    </row>
    <row r="842" spans="36:36" ht="17.399999999999999" customHeight="1">
      <c r="AJ842" s="124"/>
    </row>
    <row r="843" spans="36:36" ht="17.399999999999999" customHeight="1">
      <c r="AJ843" s="124"/>
    </row>
    <row r="844" spans="36:36" ht="17.399999999999999" customHeight="1">
      <c r="AJ844" s="124"/>
    </row>
    <row r="845" spans="36:36" ht="17.399999999999999" customHeight="1">
      <c r="AJ845" s="124"/>
    </row>
    <row r="846" spans="36:36" ht="17.399999999999999" customHeight="1">
      <c r="AJ846" s="124"/>
    </row>
    <row r="847" spans="36:36" ht="17.399999999999999" customHeight="1">
      <c r="AJ847" s="124"/>
    </row>
    <row r="848" spans="36:36" ht="17.399999999999999" customHeight="1">
      <c r="AJ848" s="124"/>
    </row>
    <row r="849" spans="36:36" ht="17.399999999999999" customHeight="1">
      <c r="AJ849" s="124"/>
    </row>
    <row r="850" spans="36:36" ht="17.399999999999999" customHeight="1">
      <c r="AJ850" s="124"/>
    </row>
    <row r="851" spans="36:36" ht="17.399999999999999" customHeight="1">
      <c r="AJ851" s="124"/>
    </row>
    <row r="852" spans="36:36" ht="17.399999999999999" customHeight="1">
      <c r="AJ852" s="124"/>
    </row>
    <row r="853" spans="36:36" ht="17.399999999999999" customHeight="1">
      <c r="AJ853" s="124"/>
    </row>
    <row r="854" spans="36:36" ht="17.399999999999999" customHeight="1">
      <c r="AJ854" s="124"/>
    </row>
    <row r="855" spans="36:36" ht="17.399999999999999" customHeight="1">
      <c r="AJ855" s="124"/>
    </row>
    <row r="856" spans="36:36" ht="17.399999999999999" customHeight="1">
      <c r="AJ856" s="124"/>
    </row>
    <row r="857" spans="36:36" ht="17.399999999999999" customHeight="1">
      <c r="AJ857" s="124"/>
    </row>
    <row r="858" spans="36:36" ht="17.399999999999999" customHeight="1">
      <c r="AJ858" s="124"/>
    </row>
    <row r="859" spans="36:36" ht="17.399999999999999" customHeight="1">
      <c r="AJ859" s="124"/>
    </row>
    <row r="860" spans="36:36" ht="17.399999999999999" customHeight="1">
      <c r="AJ860" s="124"/>
    </row>
    <row r="861" spans="36:36" ht="17.399999999999999" customHeight="1">
      <c r="AJ861" s="124"/>
    </row>
    <row r="862" spans="36:36" ht="17.399999999999999" customHeight="1">
      <c r="AJ862" s="124"/>
    </row>
    <row r="863" spans="36:36" ht="17.399999999999999" customHeight="1">
      <c r="AJ863" s="124"/>
    </row>
    <row r="864" spans="36:36" ht="17.399999999999999" customHeight="1">
      <c r="AJ864" s="124"/>
    </row>
    <row r="865" spans="36:36" ht="17.399999999999999" customHeight="1">
      <c r="AJ865" s="124"/>
    </row>
    <row r="866" spans="36:36" ht="17.399999999999999" customHeight="1">
      <c r="AJ866" s="124"/>
    </row>
    <row r="867" spans="36:36" ht="17.399999999999999" customHeight="1">
      <c r="AJ867" s="124"/>
    </row>
    <row r="868" spans="36:36" ht="17.399999999999999" customHeight="1">
      <c r="AJ868" s="124"/>
    </row>
    <row r="869" spans="36:36" ht="17.399999999999999" customHeight="1">
      <c r="AJ869" s="124"/>
    </row>
    <row r="870" spans="36:36" ht="17.399999999999999" customHeight="1">
      <c r="AJ870" s="124"/>
    </row>
    <row r="871" spans="36:36" ht="17.399999999999999" customHeight="1">
      <c r="AJ871" s="124"/>
    </row>
    <row r="872" spans="36:36" ht="17.399999999999999" customHeight="1">
      <c r="AJ872" s="124"/>
    </row>
    <row r="873" spans="36:36" ht="17.399999999999999" customHeight="1">
      <c r="AJ873" s="124"/>
    </row>
    <row r="874" spans="36:36" ht="17.399999999999999" customHeight="1">
      <c r="AJ874" s="124"/>
    </row>
    <row r="875" spans="36:36" ht="17.399999999999999" customHeight="1">
      <c r="AJ875" s="124"/>
    </row>
    <row r="876" spans="36:36" ht="17.399999999999999" customHeight="1">
      <c r="AJ876" s="124"/>
    </row>
    <row r="877" spans="36:36" ht="17.399999999999999" customHeight="1">
      <c r="AJ877" s="124"/>
    </row>
    <row r="878" spans="36:36" ht="17.399999999999999" customHeight="1">
      <c r="AJ878" s="124"/>
    </row>
    <row r="879" spans="36:36" ht="17.399999999999999" customHeight="1">
      <c r="AJ879" s="124"/>
    </row>
    <row r="880" spans="36:36" ht="17.399999999999999" customHeight="1">
      <c r="AJ880" s="124"/>
    </row>
    <row r="881" spans="36:36" ht="17.399999999999999" customHeight="1">
      <c r="AJ881" s="124"/>
    </row>
    <row r="882" spans="36:36" ht="17.399999999999999" customHeight="1">
      <c r="AJ882" s="124"/>
    </row>
    <row r="883" spans="36:36" ht="17.399999999999999" customHeight="1">
      <c r="AJ883" s="124"/>
    </row>
    <row r="884" spans="36:36" ht="17.399999999999999" customHeight="1">
      <c r="AJ884" s="124"/>
    </row>
    <row r="885" spans="36:36" ht="17.399999999999999" customHeight="1">
      <c r="AJ885" s="124"/>
    </row>
    <row r="886" spans="36:36" ht="17.399999999999999" customHeight="1">
      <c r="AJ886" s="124"/>
    </row>
    <row r="887" spans="36:36" ht="17.399999999999999" customHeight="1">
      <c r="AJ887" s="124"/>
    </row>
    <row r="888" spans="36:36" ht="17.399999999999999" customHeight="1">
      <c r="AJ888" s="124"/>
    </row>
    <row r="889" spans="36:36" ht="17.399999999999999" customHeight="1">
      <c r="AJ889" s="124"/>
    </row>
    <row r="890" spans="36:36" ht="17.399999999999999" customHeight="1">
      <c r="AJ890" s="124"/>
    </row>
    <row r="891" spans="36:36" ht="17.399999999999999" customHeight="1">
      <c r="AJ891" s="124"/>
    </row>
    <row r="892" spans="36:36" ht="17.399999999999999" customHeight="1">
      <c r="AJ892" s="124"/>
    </row>
    <row r="893" spans="36:36" ht="17.399999999999999" customHeight="1">
      <c r="AJ893" s="124"/>
    </row>
    <row r="894" spans="36:36" ht="17.399999999999999" customHeight="1">
      <c r="AJ894" s="124"/>
    </row>
    <row r="895" spans="36:36" ht="17.399999999999999" customHeight="1">
      <c r="AJ895" s="124"/>
    </row>
    <row r="896" spans="36:36" ht="17.399999999999999" customHeight="1">
      <c r="AJ896" s="124"/>
    </row>
    <row r="897" spans="36:36" ht="17.399999999999999" customHeight="1">
      <c r="AJ897" s="124"/>
    </row>
    <row r="898" spans="36:36" ht="17.399999999999999" customHeight="1">
      <c r="AJ898" s="124"/>
    </row>
    <row r="899" spans="36:36" ht="17.399999999999999" customHeight="1">
      <c r="AJ899" s="124"/>
    </row>
    <row r="900" spans="36:36" ht="17.399999999999999" customHeight="1">
      <c r="AJ900" s="124"/>
    </row>
    <row r="901" spans="36:36" ht="17.399999999999999" customHeight="1">
      <c r="AJ901" s="124"/>
    </row>
    <row r="902" spans="36:36" ht="17.399999999999999" customHeight="1">
      <c r="AJ902" s="124"/>
    </row>
    <row r="903" spans="36:36" ht="17.399999999999999" customHeight="1">
      <c r="AJ903" s="124"/>
    </row>
    <row r="904" spans="36:36" ht="17.399999999999999" customHeight="1">
      <c r="AJ904" s="124"/>
    </row>
    <row r="905" spans="36:36" ht="17.399999999999999" customHeight="1">
      <c r="AJ905" s="124"/>
    </row>
    <row r="906" spans="36:36" ht="17.399999999999999" customHeight="1">
      <c r="AJ906" s="124"/>
    </row>
    <row r="907" spans="36:36" ht="17.399999999999999" customHeight="1">
      <c r="AJ907" s="124"/>
    </row>
    <row r="908" spans="36:36" ht="17.399999999999999" customHeight="1">
      <c r="AJ908" s="124"/>
    </row>
    <row r="909" spans="36:36" ht="17.399999999999999" customHeight="1">
      <c r="AJ909" s="124"/>
    </row>
    <row r="910" spans="36:36" ht="17.399999999999999" customHeight="1">
      <c r="AJ910" s="124"/>
    </row>
    <row r="911" spans="36:36" ht="17.399999999999999" customHeight="1">
      <c r="AJ911" s="124"/>
    </row>
    <row r="912" spans="36:36" ht="17.399999999999999" customHeight="1">
      <c r="AJ912" s="124"/>
    </row>
    <row r="913" spans="36:36" ht="17.399999999999999" customHeight="1">
      <c r="AJ913" s="124"/>
    </row>
    <row r="914" spans="36:36" ht="17.399999999999999" customHeight="1">
      <c r="AJ914" s="124"/>
    </row>
    <row r="915" spans="36:36" ht="17.399999999999999" customHeight="1">
      <c r="AJ915" s="124"/>
    </row>
    <row r="916" spans="36:36" ht="17.399999999999999" customHeight="1">
      <c r="AJ916" s="124"/>
    </row>
    <row r="917" spans="36:36" ht="17.399999999999999" customHeight="1">
      <c r="AJ917" s="124"/>
    </row>
    <row r="918" spans="36:36" ht="17.399999999999999" customHeight="1">
      <c r="AJ918" s="124"/>
    </row>
    <row r="919" spans="36:36" ht="17.399999999999999" customHeight="1">
      <c r="AJ919" s="124"/>
    </row>
    <row r="920" spans="36:36" ht="17.399999999999999" customHeight="1">
      <c r="AJ920" s="124"/>
    </row>
    <row r="921" spans="36:36" ht="17.399999999999999" customHeight="1">
      <c r="AJ921" s="124"/>
    </row>
    <row r="922" spans="36:36" ht="17.399999999999999" customHeight="1">
      <c r="AJ922" s="124"/>
    </row>
    <row r="923" spans="36:36" ht="17.399999999999999" customHeight="1">
      <c r="AJ923" s="124"/>
    </row>
    <row r="924" spans="36:36" ht="17.399999999999999" customHeight="1">
      <c r="AJ924" s="124"/>
    </row>
    <row r="925" spans="36:36" ht="17.399999999999999" customHeight="1">
      <c r="AJ925" s="124"/>
    </row>
    <row r="926" spans="36:36" ht="17.399999999999999" customHeight="1">
      <c r="AJ926" s="124"/>
    </row>
    <row r="927" spans="36:36" ht="17.399999999999999" customHeight="1">
      <c r="AJ927" s="124"/>
    </row>
    <row r="928" spans="36:36" ht="17.399999999999999" customHeight="1">
      <c r="AJ928" s="124"/>
    </row>
    <row r="929" spans="36:36" ht="17.399999999999999" customHeight="1">
      <c r="AJ929" s="124"/>
    </row>
    <row r="930" spans="36:36" ht="17.399999999999999" customHeight="1">
      <c r="AJ930" s="124"/>
    </row>
    <row r="931" spans="36:36" ht="17.399999999999999" customHeight="1">
      <c r="AJ931" s="124"/>
    </row>
    <row r="932" spans="36:36" ht="17.399999999999999" customHeight="1">
      <c r="AJ932" s="124"/>
    </row>
    <row r="933" spans="36:36" ht="17.399999999999999" customHeight="1">
      <c r="AJ933" s="124"/>
    </row>
    <row r="934" spans="36:36" ht="17.399999999999999" customHeight="1">
      <c r="AJ934" s="124"/>
    </row>
    <row r="935" spans="36:36" ht="17.399999999999999" customHeight="1">
      <c r="AJ935" s="124"/>
    </row>
    <row r="936" spans="36:36" ht="17.399999999999999" customHeight="1">
      <c r="AJ936" s="124"/>
    </row>
    <row r="937" spans="36:36" ht="17.399999999999999" customHeight="1">
      <c r="AJ937" s="124"/>
    </row>
    <row r="938" spans="36:36" ht="17.399999999999999" customHeight="1">
      <c r="AJ938" s="124"/>
    </row>
    <row r="939" spans="36:36" ht="17.399999999999999" customHeight="1">
      <c r="AJ939" s="124"/>
    </row>
    <row r="940" spans="36:36" ht="17.399999999999999" customHeight="1">
      <c r="AJ940" s="124"/>
    </row>
    <row r="941" spans="36:36" ht="17.399999999999999" customHeight="1">
      <c r="AJ941" s="124"/>
    </row>
    <row r="942" spans="36:36" ht="17.399999999999999" customHeight="1">
      <c r="AJ942" s="124"/>
    </row>
    <row r="943" spans="36:36" ht="17.399999999999999" customHeight="1">
      <c r="AJ943" s="124"/>
    </row>
    <row r="944" spans="36:36" ht="17.399999999999999" customHeight="1">
      <c r="AJ944" s="124"/>
    </row>
    <row r="945" spans="36:36" ht="17.399999999999999" customHeight="1">
      <c r="AJ945" s="124"/>
    </row>
    <row r="946" spans="36:36" ht="17.399999999999999" customHeight="1">
      <c r="AJ946" s="124"/>
    </row>
    <row r="947" spans="36:36" ht="17.399999999999999" customHeight="1">
      <c r="AJ947" s="124"/>
    </row>
    <row r="948" spans="36:36" ht="17.399999999999999" customHeight="1">
      <c r="AJ948" s="124"/>
    </row>
    <row r="949" spans="36:36" ht="17.399999999999999" customHeight="1">
      <c r="AJ949" s="124"/>
    </row>
    <row r="950" spans="36:36" ht="17.399999999999999" customHeight="1">
      <c r="AJ950" s="124"/>
    </row>
    <row r="951" spans="36:36" ht="17.399999999999999" customHeight="1">
      <c r="AJ951" s="124"/>
    </row>
    <row r="952" spans="36:36" ht="17.399999999999999" customHeight="1">
      <c r="AJ952" s="124"/>
    </row>
    <row r="953" spans="36:36" ht="17.399999999999999" customHeight="1">
      <c r="AJ953" s="124"/>
    </row>
    <row r="954" spans="36:36" ht="17.399999999999999" customHeight="1">
      <c r="AJ954" s="124"/>
    </row>
    <row r="955" spans="36:36" ht="17.399999999999999" customHeight="1">
      <c r="AJ955" s="124"/>
    </row>
    <row r="956" spans="36:36" ht="17.399999999999999" customHeight="1">
      <c r="AJ956" s="124"/>
    </row>
    <row r="957" spans="36:36" ht="17.399999999999999" customHeight="1">
      <c r="AJ957" s="124"/>
    </row>
    <row r="958" spans="36:36" ht="17.399999999999999" customHeight="1">
      <c r="AJ958" s="124"/>
    </row>
    <row r="959" spans="36:36" ht="17.399999999999999" customHeight="1">
      <c r="AJ959" s="124"/>
    </row>
    <row r="960" spans="36:36" ht="17.399999999999999" customHeight="1">
      <c r="AJ960" s="124"/>
    </row>
    <row r="961" spans="36:36" ht="17.399999999999999" customHeight="1">
      <c r="AJ961" s="124"/>
    </row>
    <row r="962" spans="36:36" ht="17.399999999999999" customHeight="1">
      <c r="AJ962" s="124"/>
    </row>
    <row r="963" spans="36:36" ht="17.399999999999999" customHeight="1">
      <c r="AJ963" s="124"/>
    </row>
    <row r="964" spans="36:36" ht="17.399999999999999" customHeight="1">
      <c r="AJ964" s="124"/>
    </row>
    <row r="965" spans="36:36" ht="17.399999999999999" customHeight="1">
      <c r="AJ965" s="124"/>
    </row>
    <row r="966" spans="36:36" ht="17.399999999999999" customHeight="1">
      <c r="AJ966" s="124"/>
    </row>
    <row r="967" spans="36:36" ht="17.399999999999999" customHeight="1">
      <c r="AJ967" s="124"/>
    </row>
    <row r="968" spans="36:36" ht="17.399999999999999" customHeight="1">
      <c r="AJ968" s="124"/>
    </row>
    <row r="969" spans="36:36" ht="17.399999999999999" customHeight="1">
      <c r="AJ969" s="124"/>
    </row>
    <row r="970" spans="36:36" ht="17.399999999999999" customHeight="1">
      <c r="AJ970" s="124"/>
    </row>
    <row r="971" spans="36:36" ht="17.399999999999999" customHeight="1">
      <c r="AJ971" s="124"/>
    </row>
    <row r="972" spans="36:36" ht="17.399999999999999" customHeight="1">
      <c r="AJ972" s="124"/>
    </row>
    <row r="973" spans="36:36" ht="17.399999999999999" customHeight="1">
      <c r="AJ973" s="124"/>
    </row>
    <row r="974" spans="36:36" ht="17.399999999999999" customHeight="1">
      <c r="AJ974" s="124"/>
    </row>
    <row r="975" spans="36:36" ht="17.399999999999999" customHeight="1">
      <c r="AJ975" s="124"/>
    </row>
    <row r="976" spans="36:36" ht="17.399999999999999" customHeight="1">
      <c r="AJ976" s="124"/>
    </row>
    <row r="977" spans="36:36" ht="17.399999999999999" customHeight="1">
      <c r="AJ977" s="124"/>
    </row>
    <row r="978" spans="36:36" ht="17.399999999999999" customHeight="1">
      <c r="AJ978" s="124"/>
    </row>
    <row r="979" spans="36:36" ht="17.399999999999999" customHeight="1">
      <c r="AJ979" s="124"/>
    </row>
    <row r="980" spans="36:36" ht="17.399999999999999" customHeight="1">
      <c r="AJ980" s="124"/>
    </row>
    <row r="981" spans="36:36" ht="17.399999999999999" customHeight="1">
      <c r="AJ981" s="124"/>
    </row>
    <row r="982" spans="36:36" ht="17.399999999999999" customHeight="1">
      <c r="AJ982" s="124"/>
    </row>
    <row r="983" spans="36:36" ht="17.399999999999999" customHeight="1">
      <c r="AJ983" s="124"/>
    </row>
    <row r="984" spans="36:36" ht="17.399999999999999" customHeight="1">
      <c r="AJ984" s="124"/>
    </row>
    <row r="985" spans="36:36" ht="17.399999999999999" customHeight="1">
      <c r="AJ985" s="124"/>
    </row>
    <row r="986" spans="36:36" ht="17.399999999999999" customHeight="1">
      <c r="AJ986" s="124"/>
    </row>
    <row r="987" spans="36:36" ht="17.399999999999999" customHeight="1">
      <c r="AJ987" s="124"/>
    </row>
    <row r="988" spans="36:36" ht="17.399999999999999" customHeight="1">
      <c r="AJ988" s="124"/>
    </row>
    <row r="989" spans="36:36" ht="17.399999999999999" customHeight="1">
      <c r="AJ989" s="124"/>
    </row>
    <row r="990" spans="36:36" ht="17.399999999999999" customHeight="1">
      <c r="AJ990" s="124"/>
    </row>
    <row r="991" spans="36:36" ht="17.399999999999999" customHeight="1">
      <c r="AJ991" s="124"/>
    </row>
    <row r="992" spans="36:36" ht="17.399999999999999" customHeight="1">
      <c r="AJ992" s="124"/>
    </row>
  </sheetData>
  <sheetProtection formatColumns="0"/>
  <mergeCells count="7">
    <mergeCell ref="C8:M8"/>
    <mergeCell ref="N8:X8"/>
    <mergeCell ref="AL8:AO8"/>
    <mergeCell ref="AP8:AV8"/>
    <mergeCell ref="AW8:BB8"/>
    <mergeCell ref="P507:R507"/>
    <mergeCell ref="AC507:AH507"/>
  </mergeCells>
  <conditionalFormatting sqref="B10:B500">
    <cfRule type="expression" dxfId="1" priority="1">
      <formula>WEEKDAY(B10,1)=1</formula>
    </cfRule>
  </conditionalFormatting>
  <conditionalFormatting sqref="K11:L500">
    <cfRule type="cellIs" dxfId="0" priority="2" operator="greaterThan">
      <formula>0.00044</formula>
    </cfRule>
  </conditionalFormatting>
  <dataValidations count="2">
    <dataValidation allowBlank="1" showInputMessage="1" showErrorMessage="1" sqref="I578:O1048576 P7 I11:O504 S7:V7 U508:V577 U506:V506 P506:P577 S506:T577" xr:uid="{4A69D910-ADCE-4983-85B7-9921C040EE19}"/>
    <dataValidation type="list" allowBlank="1" showInputMessage="1" showErrorMessage="1" sqref="P11:P500" xr:uid="{041CDC75-5080-4742-8BA9-2BEF63B1F320}">
      <formula1>"FULL FEED,SKIP-A-DAY"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Syabil Adham Bin Suhardi</dc:creator>
  <cp:lastModifiedBy>Muhamad Syabil Adham Bin Suhardi</cp:lastModifiedBy>
  <dcterms:created xsi:type="dcterms:W3CDTF">2026-01-19T00:52:52Z</dcterms:created>
  <dcterms:modified xsi:type="dcterms:W3CDTF">2026-01-19T00:53:47Z</dcterms:modified>
</cp:coreProperties>
</file>