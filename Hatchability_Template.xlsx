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ck Reference" sheetId="1" state="visible" r:id="rId1"/>
    <sheet name="Data" sheetId="2" state="visible" r:id="rId2"/>
    <sheet name="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10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Aggregated Hatchability Analysis</a:t>
            </a:r>
          </a:p>
        </rich>
      </tx>
    </title>
    <plotArea>
      <barChart>
        <barDir val="col"/>
        <grouping val="stacked"/>
        <ser>
          <idx val="0"/>
          <order val="0"/>
          <tx>
            <v>Fertile %</v>
          </tx>
          <spPr>
            <a:ln>
              <a:prstDash val="solid"/>
            </a:ln>
          </spPr>
          <val>
            <numRef>
              <f>'Analysis'!$G$7:$G$100</f>
            </numRef>
          </val>
        </ser>
        <ser>
          <idx val="1"/>
          <order val="1"/>
          <tx>
            <v>Clear %</v>
          </tx>
          <spPr>
            <a:ln>
              <a:prstDash val="solid"/>
            </a:ln>
          </spPr>
          <val>
            <numRef>
              <f>'Analysis'!$H$7:$H$100</f>
            </numRef>
          </val>
        </ser>
        <ser>
          <idx val="2"/>
          <order val="2"/>
          <tx>
            <v>Rotten %</v>
          </tx>
          <spPr>
            <a:ln>
              <a:prstDash val="solid"/>
            </a:ln>
          </spPr>
          <val>
            <numRef>
              <f>'Analysis'!$I$7:$I$100</f>
            </numRef>
          </val>
        </ser>
        <gapWidth val="150"/>
        <overlap val="100"/>
        <axId val="10"/>
        <axId val="100"/>
      </barChart>
      <lineChart>
        <grouping val="standard"/>
        <ser>
          <idx val="3"/>
          <order val="3"/>
          <tx>
            <v>Hatchability %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'Analysis'!$J$7:$J$100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Flock Age (Weeks)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Egg Composition (%)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Hatchability 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HatchData" displayName="HatchData" ref="A1:O1000" headerRowCount="1">
  <autoFilter ref="A1:O1000"/>
  <tableColumns count="15">
    <tableColumn id="1" name="Setting Date"/>
    <tableColumn id="2" name="Candling Date"/>
    <tableColumn id="3" name="Hatching Date"/>
    <tableColumn id="4" name="Flock ID"/>
    <tableColumn id="5" name="Egg Set"/>
    <tableColumn id="6" name="Clear Egg"/>
    <tableColumn id="7" name="Clear Egg %"/>
    <tableColumn id="8" name="Rotten Egg"/>
    <tableColumn id="9" name="Rotten Egg %"/>
    <tableColumn id="10" name="Hatchable Egg"/>
    <tableColumn id="11" name="Hatchable Egg %"/>
    <tableColumn id="12" name="Total Hatched"/>
    <tableColumn id="13" name="Hatchability %"/>
    <tableColumn id="14" name="Male Ratio %"/>
    <tableColumn id="15" name="Flock Age (Weeks)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Flock ID</t>
        </is>
      </c>
      <c r="B1" s="1" t="inlineStr">
        <is>
          <t>Intake Date</t>
        </is>
      </c>
    </row>
    <row r="2">
      <c r="A2" t="inlineStr">
        <is>
          <t>Example_Flock_01</t>
        </is>
      </c>
      <c r="B2" t="inlineStr">
        <is>
          <t>2023-01-01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  <col width="12" customWidth="1" min="10" max="10"/>
    <col width="15" customWidth="1" min="11" max="11"/>
    <col width="12" customWidth="1" min="12" max="12"/>
    <col width="15" customWidth="1" min="13" max="13"/>
    <col width="12" customWidth="1" min="14" max="14"/>
    <col width="15" customWidth="1" min="15" max="15"/>
  </cols>
  <sheetData>
    <row r="1">
      <c r="A1" s="2" t="inlineStr">
        <is>
          <t>Setting Date</t>
        </is>
      </c>
      <c r="B1" s="2" t="inlineStr">
        <is>
          <t>Candling Date</t>
        </is>
      </c>
      <c r="C1" s="2" t="inlineStr">
        <is>
          <t>Hatching Date</t>
        </is>
      </c>
      <c r="D1" s="2" t="inlineStr">
        <is>
          <t>Flock ID</t>
        </is>
      </c>
      <c r="E1" s="2" t="inlineStr">
        <is>
          <t>Egg Set</t>
        </is>
      </c>
      <c r="F1" s="2" t="inlineStr">
        <is>
          <t>Clear Egg</t>
        </is>
      </c>
      <c r="G1" s="2" t="inlineStr">
        <is>
          <t>Clear Egg %</t>
        </is>
      </c>
      <c r="H1" s="2" t="inlineStr">
        <is>
          <t>Rotten Egg</t>
        </is>
      </c>
      <c r="I1" s="2" t="inlineStr">
        <is>
          <t>Rotten Egg %</t>
        </is>
      </c>
      <c r="J1" s="2" t="inlineStr">
        <is>
          <t>Hatchable Egg</t>
        </is>
      </c>
      <c r="K1" s="2" t="inlineStr">
        <is>
          <t>Hatchable Egg %</t>
        </is>
      </c>
      <c r="L1" s="2" t="inlineStr">
        <is>
          <t>Total Hatched</t>
        </is>
      </c>
      <c r="M1" s="2" t="inlineStr">
        <is>
          <t>Hatchability %</t>
        </is>
      </c>
      <c r="N1" s="2" t="inlineStr">
        <is>
          <t>Male Ratio %</t>
        </is>
      </c>
      <c r="O1" s="2" t="inlineStr">
        <is>
          <t>Flock Age (Weeks)</t>
        </is>
      </c>
    </row>
    <row r="2">
      <c r="G2" s="3">
        <f>IF(E2&gt;0, F2/E2, 0)</f>
        <v/>
      </c>
      <c r="I2" s="3">
        <f>IF(E2&gt;0, H2/E2, 0)</f>
        <v/>
      </c>
      <c r="J2">
        <f>IF(E2&gt;0, E2-F2-H2, 0)</f>
        <v/>
      </c>
      <c r="K2" s="3">
        <f>IF(E2&gt;0, J2/E2, 0)</f>
        <v/>
      </c>
      <c r="M2" s="3">
        <f>IF(E2&gt;0, L2/E2, 0)</f>
        <v/>
      </c>
      <c r="N2" s="3" t="n"/>
      <c r="O2">
        <f>IFERROR(INT((A2-2-VLOOKUP(D2,'Flock Reference'!$A:$B,2,FALSE))/7), "")</f>
        <v/>
      </c>
    </row>
    <row r="3">
      <c r="G3" s="3">
        <f>IF(E3&gt;0, F3/E3, 0)</f>
        <v/>
      </c>
      <c r="I3" s="3">
        <f>IF(E3&gt;0, H3/E3, 0)</f>
        <v/>
      </c>
      <c r="J3">
        <f>IF(E3&gt;0, E3-F3-H3, 0)</f>
        <v/>
      </c>
      <c r="K3" s="3">
        <f>IF(E3&gt;0, J3/E3, 0)</f>
        <v/>
      </c>
      <c r="M3" s="3">
        <f>IF(E3&gt;0, L3/E3, 0)</f>
        <v/>
      </c>
      <c r="N3" s="3" t="n"/>
      <c r="O3">
        <f>IFERROR(INT((A3-2-VLOOKUP(D3,'Flock Reference'!$A:$B,2,FALSE))/7), "")</f>
        <v/>
      </c>
    </row>
    <row r="4">
      <c r="G4" s="3">
        <f>IF(E4&gt;0, F4/E4, 0)</f>
        <v/>
      </c>
      <c r="I4" s="3">
        <f>IF(E4&gt;0, H4/E4, 0)</f>
        <v/>
      </c>
      <c r="J4">
        <f>IF(E4&gt;0, E4-F4-H4, 0)</f>
        <v/>
      </c>
      <c r="K4" s="3">
        <f>IF(E4&gt;0, J4/E4, 0)</f>
        <v/>
      </c>
      <c r="M4" s="3">
        <f>IF(E4&gt;0, L4/E4, 0)</f>
        <v/>
      </c>
      <c r="N4" s="3" t="n"/>
      <c r="O4">
        <f>IFERROR(INT((A4-2-VLOOKUP(D4,'Flock Reference'!$A:$B,2,FALSE))/7), "")</f>
        <v/>
      </c>
    </row>
    <row r="5">
      <c r="G5" s="3">
        <f>IF(E5&gt;0, F5/E5, 0)</f>
        <v/>
      </c>
      <c r="I5" s="3">
        <f>IF(E5&gt;0, H5/E5, 0)</f>
        <v/>
      </c>
      <c r="J5">
        <f>IF(E5&gt;0, E5-F5-H5, 0)</f>
        <v/>
      </c>
      <c r="K5" s="3">
        <f>IF(E5&gt;0, J5/E5, 0)</f>
        <v/>
      </c>
      <c r="M5" s="3">
        <f>IF(E5&gt;0, L5/E5, 0)</f>
        <v/>
      </c>
      <c r="N5" s="3" t="n"/>
      <c r="O5">
        <f>IFERROR(INT((A5-2-VLOOKUP(D5,'Flock Reference'!$A:$B,2,FALSE))/7), "")</f>
        <v/>
      </c>
    </row>
    <row r="6">
      <c r="G6" s="3">
        <f>IF(E6&gt;0, F6/E6, 0)</f>
        <v/>
      </c>
      <c r="I6" s="3">
        <f>IF(E6&gt;0, H6/E6, 0)</f>
        <v/>
      </c>
      <c r="J6">
        <f>IF(E6&gt;0, E6-F6-H6, 0)</f>
        <v/>
      </c>
      <c r="K6" s="3">
        <f>IF(E6&gt;0, J6/E6, 0)</f>
        <v/>
      </c>
      <c r="M6" s="3">
        <f>IF(E6&gt;0, L6/E6, 0)</f>
        <v/>
      </c>
      <c r="N6" s="3" t="n"/>
      <c r="O6">
        <f>IFERROR(INT((A6-2-VLOOKUP(D6,'Flock Reference'!$A:$B,2,FALSE))/7), "")</f>
        <v/>
      </c>
    </row>
    <row r="7">
      <c r="G7" s="3">
        <f>IF(E7&gt;0, F7/E7, 0)</f>
        <v/>
      </c>
      <c r="I7" s="3">
        <f>IF(E7&gt;0, H7/E7, 0)</f>
        <v/>
      </c>
      <c r="J7">
        <f>IF(E7&gt;0, E7-F7-H7, 0)</f>
        <v/>
      </c>
      <c r="K7" s="3">
        <f>IF(E7&gt;0, J7/E7, 0)</f>
        <v/>
      </c>
      <c r="M7" s="3">
        <f>IF(E7&gt;0, L7/E7, 0)</f>
        <v/>
      </c>
      <c r="N7" s="3" t="n"/>
      <c r="O7">
        <f>IFERROR(INT((A7-2-VLOOKUP(D7,'Flock Reference'!$A:$B,2,FALSE))/7), "")</f>
        <v/>
      </c>
    </row>
    <row r="8">
      <c r="G8" s="3">
        <f>IF(E8&gt;0, F8/E8, 0)</f>
        <v/>
      </c>
      <c r="I8" s="3">
        <f>IF(E8&gt;0, H8/E8, 0)</f>
        <v/>
      </c>
      <c r="J8">
        <f>IF(E8&gt;0, E8-F8-H8, 0)</f>
        <v/>
      </c>
      <c r="K8" s="3">
        <f>IF(E8&gt;0, J8/E8, 0)</f>
        <v/>
      </c>
      <c r="M8" s="3">
        <f>IF(E8&gt;0, L8/E8, 0)</f>
        <v/>
      </c>
      <c r="N8" s="3" t="n"/>
      <c r="O8">
        <f>IFERROR(INT((A8-2-VLOOKUP(D8,'Flock Reference'!$A:$B,2,FALSE))/7), "")</f>
        <v/>
      </c>
    </row>
    <row r="9">
      <c r="G9" s="3">
        <f>IF(E9&gt;0, F9/E9, 0)</f>
        <v/>
      </c>
      <c r="I9" s="3">
        <f>IF(E9&gt;0, H9/E9, 0)</f>
        <v/>
      </c>
      <c r="J9">
        <f>IF(E9&gt;0, E9-F9-H9, 0)</f>
        <v/>
      </c>
      <c r="K9" s="3">
        <f>IF(E9&gt;0, J9/E9, 0)</f>
        <v/>
      </c>
      <c r="M9" s="3">
        <f>IF(E9&gt;0, L9/E9, 0)</f>
        <v/>
      </c>
      <c r="N9" s="3" t="n"/>
      <c r="O9">
        <f>IFERROR(INT((A9-2-VLOOKUP(D9,'Flock Reference'!$A:$B,2,FALSE))/7), "")</f>
        <v/>
      </c>
    </row>
    <row r="10">
      <c r="G10" s="3">
        <f>IF(E10&gt;0, F10/E10, 0)</f>
        <v/>
      </c>
      <c r="I10" s="3">
        <f>IF(E10&gt;0, H10/E10, 0)</f>
        <v/>
      </c>
      <c r="J10">
        <f>IF(E10&gt;0, E10-F10-H10, 0)</f>
        <v/>
      </c>
      <c r="K10" s="3">
        <f>IF(E10&gt;0, J10/E10, 0)</f>
        <v/>
      </c>
      <c r="M10" s="3">
        <f>IF(E10&gt;0, L10/E10, 0)</f>
        <v/>
      </c>
      <c r="N10" s="3" t="n"/>
      <c r="O10">
        <f>IFERROR(INT((A10-2-VLOOKUP(D10,'Flock Reference'!$A:$B,2,FALSE))/7), "")</f>
        <v/>
      </c>
    </row>
    <row r="11">
      <c r="G11" s="3">
        <f>IF(E11&gt;0, F11/E11, 0)</f>
        <v/>
      </c>
      <c r="I11" s="3">
        <f>IF(E11&gt;0, H11/E11, 0)</f>
        <v/>
      </c>
      <c r="J11">
        <f>IF(E11&gt;0, E11-F11-H11, 0)</f>
        <v/>
      </c>
      <c r="K11" s="3">
        <f>IF(E11&gt;0, J11/E11, 0)</f>
        <v/>
      </c>
      <c r="M11" s="3">
        <f>IF(E11&gt;0, L11/E11, 0)</f>
        <v/>
      </c>
      <c r="N11" s="3" t="n"/>
      <c r="O11">
        <f>IFERROR(INT((A11-2-VLOOKUP(D11,'Flock Reference'!$A:$B,2,FALSE))/7), "")</f>
        <v/>
      </c>
    </row>
    <row r="12">
      <c r="G12" s="3">
        <f>IF(E12&gt;0, F12/E12, 0)</f>
        <v/>
      </c>
      <c r="I12" s="3">
        <f>IF(E12&gt;0, H12/E12, 0)</f>
        <v/>
      </c>
      <c r="J12">
        <f>IF(E12&gt;0, E12-F12-H12, 0)</f>
        <v/>
      </c>
      <c r="K12" s="3">
        <f>IF(E12&gt;0, J12/E12, 0)</f>
        <v/>
      </c>
      <c r="M12" s="3">
        <f>IF(E12&gt;0, L12/E12, 0)</f>
        <v/>
      </c>
      <c r="N12" s="3" t="n"/>
      <c r="O12">
        <f>IFERROR(INT((A12-2-VLOOKUP(D12,'Flock Reference'!$A:$B,2,FALSE))/7), "")</f>
        <v/>
      </c>
    </row>
    <row r="13">
      <c r="G13" s="3">
        <f>IF(E13&gt;0, F13/E13, 0)</f>
        <v/>
      </c>
      <c r="I13" s="3">
        <f>IF(E13&gt;0, H13/E13, 0)</f>
        <v/>
      </c>
      <c r="J13">
        <f>IF(E13&gt;0, E13-F13-H13, 0)</f>
        <v/>
      </c>
      <c r="K13" s="3">
        <f>IF(E13&gt;0, J13/E13, 0)</f>
        <v/>
      </c>
      <c r="M13" s="3">
        <f>IF(E13&gt;0, L13/E13, 0)</f>
        <v/>
      </c>
      <c r="N13" s="3" t="n"/>
      <c r="O13">
        <f>IFERROR(INT((A13-2-VLOOKUP(D13,'Flock Reference'!$A:$B,2,FALSE))/7), "")</f>
        <v/>
      </c>
    </row>
    <row r="14">
      <c r="G14" s="3">
        <f>IF(E14&gt;0, F14/E14, 0)</f>
        <v/>
      </c>
      <c r="I14" s="3">
        <f>IF(E14&gt;0, H14/E14, 0)</f>
        <v/>
      </c>
      <c r="J14">
        <f>IF(E14&gt;0, E14-F14-H14, 0)</f>
        <v/>
      </c>
      <c r="K14" s="3">
        <f>IF(E14&gt;0, J14/E14, 0)</f>
        <v/>
      </c>
      <c r="M14" s="3">
        <f>IF(E14&gt;0, L14/E14, 0)</f>
        <v/>
      </c>
      <c r="N14" s="3" t="n"/>
      <c r="O14">
        <f>IFERROR(INT((A14-2-VLOOKUP(D14,'Flock Reference'!$A:$B,2,FALSE))/7), "")</f>
        <v/>
      </c>
    </row>
    <row r="15">
      <c r="G15" s="3">
        <f>IF(E15&gt;0, F15/E15, 0)</f>
        <v/>
      </c>
      <c r="I15" s="3">
        <f>IF(E15&gt;0, H15/E15, 0)</f>
        <v/>
      </c>
      <c r="J15">
        <f>IF(E15&gt;0, E15-F15-H15, 0)</f>
        <v/>
      </c>
      <c r="K15" s="3">
        <f>IF(E15&gt;0, J15/E15, 0)</f>
        <v/>
      </c>
      <c r="M15" s="3">
        <f>IF(E15&gt;0, L15/E15, 0)</f>
        <v/>
      </c>
      <c r="N15" s="3" t="n"/>
      <c r="O15">
        <f>IFERROR(INT((A15-2-VLOOKUP(D15,'Flock Reference'!$A:$B,2,FALSE))/7), "")</f>
        <v/>
      </c>
    </row>
    <row r="16">
      <c r="G16" s="3">
        <f>IF(E16&gt;0, F16/E16, 0)</f>
        <v/>
      </c>
      <c r="I16" s="3">
        <f>IF(E16&gt;0, H16/E16, 0)</f>
        <v/>
      </c>
      <c r="J16">
        <f>IF(E16&gt;0, E16-F16-H16, 0)</f>
        <v/>
      </c>
      <c r="K16" s="3">
        <f>IF(E16&gt;0, J16/E16, 0)</f>
        <v/>
      </c>
      <c r="M16" s="3">
        <f>IF(E16&gt;0, L16/E16, 0)</f>
        <v/>
      </c>
      <c r="N16" s="3" t="n"/>
      <c r="O16">
        <f>IFERROR(INT((A16-2-VLOOKUP(D16,'Flock Reference'!$A:$B,2,FALSE))/7), "")</f>
        <v/>
      </c>
    </row>
    <row r="17">
      <c r="G17" s="3">
        <f>IF(E17&gt;0, F17/E17, 0)</f>
        <v/>
      </c>
      <c r="I17" s="3">
        <f>IF(E17&gt;0, H17/E17, 0)</f>
        <v/>
      </c>
      <c r="J17">
        <f>IF(E17&gt;0, E17-F17-H17, 0)</f>
        <v/>
      </c>
      <c r="K17" s="3">
        <f>IF(E17&gt;0, J17/E17, 0)</f>
        <v/>
      </c>
      <c r="M17" s="3">
        <f>IF(E17&gt;0, L17/E17, 0)</f>
        <v/>
      </c>
      <c r="N17" s="3" t="n"/>
      <c r="O17">
        <f>IFERROR(INT((A17-2-VLOOKUP(D17,'Flock Reference'!$A:$B,2,FALSE))/7), "")</f>
        <v/>
      </c>
    </row>
    <row r="18">
      <c r="G18" s="3">
        <f>IF(E18&gt;0, F18/E18, 0)</f>
        <v/>
      </c>
      <c r="I18" s="3">
        <f>IF(E18&gt;0, H18/E18, 0)</f>
        <v/>
      </c>
      <c r="J18">
        <f>IF(E18&gt;0, E18-F18-H18, 0)</f>
        <v/>
      </c>
      <c r="K18" s="3">
        <f>IF(E18&gt;0, J18/E18, 0)</f>
        <v/>
      </c>
      <c r="M18" s="3">
        <f>IF(E18&gt;0, L18/E18, 0)</f>
        <v/>
      </c>
      <c r="N18" s="3" t="n"/>
      <c r="O18">
        <f>IFERROR(INT((A18-2-VLOOKUP(D18,'Flock Reference'!$A:$B,2,FALSE))/7), "")</f>
        <v/>
      </c>
    </row>
    <row r="19">
      <c r="G19" s="3">
        <f>IF(E19&gt;0, F19/E19, 0)</f>
        <v/>
      </c>
      <c r="I19" s="3">
        <f>IF(E19&gt;0, H19/E19, 0)</f>
        <v/>
      </c>
      <c r="J19">
        <f>IF(E19&gt;0, E19-F19-H19, 0)</f>
        <v/>
      </c>
      <c r="K19" s="3">
        <f>IF(E19&gt;0, J19/E19, 0)</f>
        <v/>
      </c>
      <c r="M19" s="3">
        <f>IF(E19&gt;0, L19/E19, 0)</f>
        <v/>
      </c>
      <c r="N19" s="3" t="n"/>
      <c r="O19">
        <f>IFERROR(INT((A19-2-VLOOKUP(D19,'Flock Reference'!$A:$B,2,FALSE))/7), "")</f>
        <v/>
      </c>
    </row>
    <row r="20">
      <c r="G20" s="3">
        <f>IF(E20&gt;0, F20/E20, 0)</f>
        <v/>
      </c>
      <c r="I20" s="3">
        <f>IF(E20&gt;0, H20/E20, 0)</f>
        <v/>
      </c>
      <c r="J20">
        <f>IF(E20&gt;0, E20-F20-H20, 0)</f>
        <v/>
      </c>
      <c r="K20" s="3">
        <f>IF(E20&gt;0, J20/E20, 0)</f>
        <v/>
      </c>
      <c r="M20" s="3">
        <f>IF(E20&gt;0, L20/E20, 0)</f>
        <v/>
      </c>
      <c r="N20" s="3" t="n"/>
      <c r="O20">
        <f>IFERROR(INT((A20-2-VLOOKUP(D20,'Flock Reference'!$A:$B,2,FALSE))/7), "")</f>
        <v/>
      </c>
    </row>
    <row r="21">
      <c r="G21" s="3">
        <f>IF(E21&gt;0, F21/E21, 0)</f>
        <v/>
      </c>
      <c r="I21" s="3">
        <f>IF(E21&gt;0, H21/E21, 0)</f>
        <v/>
      </c>
      <c r="J21">
        <f>IF(E21&gt;0, E21-F21-H21, 0)</f>
        <v/>
      </c>
      <c r="K21" s="3">
        <f>IF(E21&gt;0, J21/E21, 0)</f>
        <v/>
      </c>
      <c r="M21" s="3">
        <f>IF(E21&gt;0, L21/E21, 0)</f>
        <v/>
      </c>
      <c r="N21" s="3" t="n"/>
      <c r="O21">
        <f>IFERROR(INT((A21-2-VLOOKUP(D21,'Flock Reference'!$A:$B,2,FALSE))/7), "")</f>
        <v/>
      </c>
    </row>
    <row r="22">
      <c r="G22" s="3">
        <f>IF(E22&gt;0, F22/E22, 0)</f>
        <v/>
      </c>
      <c r="I22" s="3">
        <f>IF(E22&gt;0, H22/E22, 0)</f>
        <v/>
      </c>
      <c r="J22">
        <f>IF(E22&gt;0, E22-F22-H22, 0)</f>
        <v/>
      </c>
      <c r="K22" s="3">
        <f>IF(E22&gt;0, J22/E22, 0)</f>
        <v/>
      </c>
      <c r="M22" s="3">
        <f>IF(E22&gt;0, L22/E22, 0)</f>
        <v/>
      </c>
      <c r="N22" s="3" t="n"/>
      <c r="O22">
        <f>IFERROR(INT((A22-2-VLOOKUP(D22,'Flock Reference'!$A:$B,2,FALSE))/7), "")</f>
        <v/>
      </c>
    </row>
    <row r="23">
      <c r="G23" s="3">
        <f>IF(E23&gt;0, F23/E23, 0)</f>
        <v/>
      </c>
      <c r="I23" s="3">
        <f>IF(E23&gt;0, H23/E23, 0)</f>
        <v/>
      </c>
      <c r="J23">
        <f>IF(E23&gt;0, E23-F23-H23, 0)</f>
        <v/>
      </c>
      <c r="K23" s="3">
        <f>IF(E23&gt;0, J23/E23, 0)</f>
        <v/>
      </c>
      <c r="M23" s="3">
        <f>IF(E23&gt;0, L23/E23, 0)</f>
        <v/>
      </c>
      <c r="N23" s="3" t="n"/>
      <c r="O23">
        <f>IFERROR(INT((A23-2-VLOOKUP(D23,'Flock Reference'!$A:$B,2,FALSE))/7), "")</f>
        <v/>
      </c>
    </row>
    <row r="24">
      <c r="G24" s="3">
        <f>IF(E24&gt;0, F24/E24, 0)</f>
        <v/>
      </c>
      <c r="I24" s="3">
        <f>IF(E24&gt;0, H24/E24, 0)</f>
        <v/>
      </c>
      <c r="J24">
        <f>IF(E24&gt;0, E24-F24-H24, 0)</f>
        <v/>
      </c>
      <c r="K24" s="3">
        <f>IF(E24&gt;0, J24/E24, 0)</f>
        <v/>
      </c>
      <c r="M24" s="3">
        <f>IF(E24&gt;0, L24/E24, 0)</f>
        <v/>
      </c>
      <c r="N24" s="3" t="n"/>
      <c r="O24">
        <f>IFERROR(INT((A24-2-VLOOKUP(D24,'Flock Reference'!$A:$B,2,FALSE))/7), "")</f>
        <v/>
      </c>
    </row>
    <row r="25">
      <c r="G25" s="3">
        <f>IF(E25&gt;0, F25/E25, 0)</f>
        <v/>
      </c>
      <c r="I25" s="3">
        <f>IF(E25&gt;0, H25/E25, 0)</f>
        <v/>
      </c>
      <c r="J25">
        <f>IF(E25&gt;0, E25-F25-H25, 0)</f>
        <v/>
      </c>
      <c r="K25" s="3">
        <f>IF(E25&gt;0, J25/E25, 0)</f>
        <v/>
      </c>
      <c r="M25" s="3">
        <f>IF(E25&gt;0, L25/E25, 0)</f>
        <v/>
      </c>
      <c r="N25" s="3" t="n"/>
      <c r="O25">
        <f>IFERROR(INT((A25-2-VLOOKUP(D25,'Flock Reference'!$A:$B,2,FALSE))/7), "")</f>
        <v/>
      </c>
    </row>
    <row r="26">
      <c r="G26" s="3">
        <f>IF(E26&gt;0, F26/E26, 0)</f>
        <v/>
      </c>
      <c r="I26" s="3">
        <f>IF(E26&gt;0, H26/E26, 0)</f>
        <v/>
      </c>
      <c r="J26">
        <f>IF(E26&gt;0, E26-F26-H26, 0)</f>
        <v/>
      </c>
      <c r="K26" s="3">
        <f>IF(E26&gt;0, J26/E26, 0)</f>
        <v/>
      </c>
      <c r="M26" s="3">
        <f>IF(E26&gt;0, L26/E26, 0)</f>
        <v/>
      </c>
      <c r="N26" s="3" t="n"/>
      <c r="O26">
        <f>IFERROR(INT((A26-2-VLOOKUP(D26,'Flock Reference'!$A:$B,2,FALSE))/7), "")</f>
        <v/>
      </c>
    </row>
    <row r="27">
      <c r="G27" s="3">
        <f>IF(E27&gt;0, F27/E27, 0)</f>
        <v/>
      </c>
      <c r="I27" s="3">
        <f>IF(E27&gt;0, H27/E27, 0)</f>
        <v/>
      </c>
      <c r="J27">
        <f>IF(E27&gt;0, E27-F27-H27, 0)</f>
        <v/>
      </c>
      <c r="K27" s="3">
        <f>IF(E27&gt;0, J27/E27, 0)</f>
        <v/>
      </c>
      <c r="M27" s="3">
        <f>IF(E27&gt;0, L27/E27, 0)</f>
        <v/>
      </c>
      <c r="N27" s="3" t="n"/>
      <c r="O27">
        <f>IFERROR(INT((A27-2-VLOOKUP(D27,'Flock Reference'!$A:$B,2,FALSE))/7), "")</f>
        <v/>
      </c>
    </row>
    <row r="28">
      <c r="G28" s="3">
        <f>IF(E28&gt;0, F28/E28, 0)</f>
        <v/>
      </c>
      <c r="I28" s="3">
        <f>IF(E28&gt;0, H28/E28, 0)</f>
        <v/>
      </c>
      <c r="J28">
        <f>IF(E28&gt;0, E28-F28-H28, 0)</f>
        <v/>
      </c>
      <c r="K28" s="3">
        <f>IF(E28&gt;0, J28/E28, 0)</f>
        <v/>
      </c>
      <c r="M28" s="3">
        <f>IF(E28&gt;0, L28/E28, 0)</f>
        <v/>
      </c>
      <c r="N28" s="3" t="n"/>
      <c r="O28">
        <f>IFERROR(INT((A28-2-VLOOKUP(D28,'Flock Reference'!$A:$B,2,FALSE))/7), "")</f>
        <v/>
      </c>
    </row>
    <row r="29">
      <c r="G29" s="3">
        <f>IF(E29&gt;0, F29/E29, 0)</f>
        <v/>
      </c>
      <c r="I29" s="3">
        <f>IF(E29&gt;0, H29/E29, 0)</f>
        <v/>
      </c>
      <c r="J29">
        <f>IF(E29&gt;0, E29-F29-H29, 0)</f>
        <v/>
      </c>
      <c r="K29" s="3">
        <f>IF(E29&gt;0, J29/E29, 0)</f>
        <v/>
      </c>
      <c r="M29" s="3">
        <f>IF(E29&gt;0, L29/E29, 0)</f>
        <v/>
      </c>
      <c r="N29" s="3" t="n"/>
      <c r="O29">
        <f>IFERROR(INT((A29-2-VLOOKUP(D29,'Flock Reference'!$A:$B,2,FALSE))/7), "")</f>
        <v/>
      </c>
    </row>
    <row r="30">
      <c r="G30" s="3">
        <f>IF(E30&gt;0, F30/E30, 0)</f>
        <v/>
      </c>
      <c r="I30" s="3">
        <f>IF(E30&gt;0, H30/E30, 0)</f>
        <v/>
      </c>
      <c r="J30">
        <f>IF(E30&gt;0, E30-F30-H30, 0)</f>
        <v/>
      </c>
      <c r="K30" s="3">
        <f>IF(E30&gt;0, J30/E30, 0)</f>
        <v/>
      </c>
      <c r="M30" s="3">
        <f>IF(E30&gt;0, L30/E30, 0)</f>
        <v/>
      </c>
      <c r="N30" s="3" t="n"/>
      <c r="O30">
        <f>IFERROR(INT((A30-2-VLOOKUP(D30,'Flock Reference'!$A:$B,2,FALSE))/7), "")</f>
        <v/>
      </c>
    </row>
    <row r="31">
      <c r="G31" s="3">
        <f>IF(E31&gt;0, F31/E31, 0)</f>
        <v/>
      </c>
      <c r="I31" s="3">
        <f>IF(E31&gt;0, H31/E31, 0)</f>
        <v/>
      </c>
      <c r="J31">
        <f>IF(E31&gt;0, E31-F31-H31, 0)</f>
        <v/>
      </c>
      <c r="K31" s="3">
        <f>IF(E31&gt;0, J31/E31, 0)</f>
        <v/>
      </c>
      <c r="M31" s="3">
        <f>IF(E31&gt;0, L31/E31, 0)</f>
        <v/>
      </c>
      <c r="N31" s="3" t="n"/>
      <c r="O31">
        <f>IFERROR(INT((A31-2-VLOOKUP(D31,'Flock Reference'!$A:$B,2,FALSE))/7), "")</f>
        <v/>
      </c>
    </row>
    <row r="32">
      <c r="G32" s="3">
        <f>IF(E32&gt;0, F32/E32, 0)</f>
        <v/>
      </c>
      <c r="I32" s="3">
        <f>IF(E32&gt;0, H32/E32, 0)</f>
        <v/>
      </c>
      <c r="J32">
        <f>IF(E32&gt;0, E32-F32-H32, 0)</f>
        <v/>
      </c>
      <c r="K32" s="3">
        <f>IF(E32&gt;0, J32/E32, 0)</f>
        <v/>
      </c>
      <c r="M32" s="3">
        <f>IF(E32&gt;0, L32/E32, 0)</f>
        <v/>
      </c>
      <c r="N32" s="3" t="n"/>
      <c r="O32">
        <f>IFERROR(INT((A32-2-VLOOKUP(D32,'Flock Reference'!$A:$B,2,FALSE))/7), "")</f>
        <v/>
      </c>
    </row>
    <row r="33">
      <c r="G33" s="3">
        <f>IF(E33&gt;0, F33/E33, 0)</f>
        <v/>
      </c>
      <c r="I33" s="3">
        <f>IF(E33&gt;0, H33/E33, 0)</f>
        <v/>
      </c>
      <c r="J33">
        <f>IF(E33&gt;0, E33-F33-H33, 0)</f>
        <v/>
      </c>
      <c r="K33" s="3">
        <f>IF(E33&gt;0, J33/E33, 0)</f>
        <v/>
      </c>
      <c r="M33" s="3">
        <f>IF(E33&gt;0, L33/E33, 0)</f>
        <v/>
      </c>
      <c r="N33" s="3" t="n"/>
      <c r="O33">
        <f>IFERROR(INT((A33-2-VLOOKUP(D33,'Flock Reference'!$A:$B,2,FALSE))/7), "")</f>
        <v/>
      </c>
    </row>
    <row r="34">
      <c r="G34" s="3">
        <f>IF(E34&gt;0, F34/E34, 0)</f>
        <v/>
      </c>
      <c r="I34" s="3">
        <f>IF(E34&gt;0, H34/E34, 0)</f>
        <v/>
      </c>
      <c r="J34">
        <f>IF(E34&gt;0, E34-F34-H34, 0)</f>
        <v/>
      </c>
      <c r="K34" s="3">
        <f>IF(E34&gt;0, J34/E34, 0)</f>
        <v/>
      </c>
      <c r="M34" s="3">
        <f>IF(E34&gt;0, L34/E34, 0)</f>
        <v/>
      </c>
      <c r="N34" s="3" t="n"/>
      <c r="O34">
        <f>IFERROR(INT((A34-2-VLOOKUP(D34,'Flock Reference'!$A:$B,2,FALSE))/7), "")</f>
        <v/>
      </c>
    </row>
    <row r="35">
      <c r="G35" s="3">
        <f>IF(E35&gt;0, F35/E35, 0)</f>
        <v/>
      </c>
      <c r="I35" s="3">
        <f>IF(E35&gt;0, H35/E35, 0)</f>
        <v/>
      </c>
      <c r="J35">
        <f>IF(E35&gt;0, E35-F35-H35, 0)</f>
        <v/>
      </c>
      <c r="K35" s="3">
        <f>IF(E35&gt;0, J35/E35, 0)</f>
        <v/>
      </c>
      <c r="M35" s="3">
        <f>IF(E35&gt;0, L35/E35, 0)</f>
        <v/>
      </c>
      <c r="N35" s="3" t="n"/>
      <c r="O35">
        <f>IFERROR(INT((A35-2-VLOOKUP(D35,'Flock Reference'!$A:$B,2,FALSE))/7), "")</f>
        <v/>
      </c>
    </row>
    <row r="36">
      <c r="G36" s="3">
        <f>IF(E36&gt;0, F36/E36, 0)</f>
        <v/>
      </c>
      <c r="I36" s="3">
        <f>IF(E36&gt;0, H36/E36, 0)</f>
        <v/>
      </c>
      <c r="J36">
        <f>IF(E36&gt;0, E36-F36-H36, 0)</f>
        <v/>
      </c>
      <c r="K36" s="3">
        <f>IF(E36&gt;0, J36/E36, 0)</f>
        <v/>
      </c>
      <c r="M36" s="3">
        <f>IF(E36&gt;0, L36/E36, 0)</f>
        <v/>
      </c>
      <c r="N36" s="3" t="n"/>
      <c r="O36">
        <f>IFERROR(INT((A36-2-VLOOKUP(D36,'Flock Reference'!$A:$B,2,FALSE))/7), "")</f>
        <v/>
      </c>
    </row>
    <row r="37">
      <c r="G37" s="3">
        <f>IF(E37&gt;0, F37/E37, 0)</f>
        <v/>
      </c>
      <c r="I37" s="3">
        <f>IF(E37&gt;0, H37/E37, 0)</f>
        <v/>
      </c>
      <c r="J37">
        <f>IF(E37&gt;0, E37-F37-H37, 0)</f>
        <v/>
      </c>
      <c r="K37" s="3">
        <f>IF(E37&gt;0, J37/E37, 0)</f>
        <v/>
      </c>
      <c r="M37" s="3">
        <f>IF(E37&gt;0, L37/E37, 0)</f>
        <v/>
      </c>
      <c r="N37" s="3" t="n"/>
      <c r="O37">
        <f>IFERROR(INT((A37-2-VLOOKUP(D37,'Flock Reference'!$A:$B,2,FALSE))/7), "")</f>
        <v/>
      </c>
    </row>
    <row r="38">
      <c r="G38" s="3">
        <f>IF(E38&gt;0, F38/E38, 0)</f>
        <v/>
      </c>
      <c r="I38" s="3">
        <f>IF(E38&gt;0, H38/E38, 0)</f>
        <v/>
      </c>
      <c r="J38">
        <f>IF(E38&gt;0, E38-F38-H38, 0)</f>
        <v/>
      </c>
      <c r="K38" s="3">
        <f>IF(E38&gt;0, J38/E38, 0)</f>
        <v/>
      </c>
      <c r="M38" s="3">
        <f>IF(E38&gt;0, L38/E38, 0)</f>
        <v/>
      </c>
      <c r="N38" s="3" t="n"/>
      <c r="O38">
        <f>IFERROR(INT((A38-2-VLOOKUP(D38,'Flock Reference'!$A:$B,2,FALSE))/7), "")</f>
        <v/>
      </c>
    </row>
    <row r="39">
      <c r="G39" s="3">
        <f>IF(E39&gt;0, F39/E39, 0)</f>
        <v/>
      </c>
      <c r="I39" s="3">
        <f>IF(E39&gt;0, H39/E39, 0)</f>
        <v/>
      </c>
      <c r="J39">
        <f>IF(E39&gt;0, E39-F39-H39, 0)</f>
        <v/>
      </c>
      <c r="K39" s="3">
        <f>IF(E39&gt;0, J39/E39, 0)</f>
        <v/>
      </c>
      <c r="M39" s="3">
        <f>IF(E39&gt;0, L39/E39, 0)</f>
        <v/>
      </c>
      <c r="N39" s="3" t="n"/>
      <c r="O39">
        <f>IFERROR(INT((A39-2-VLOOKUP(D39,'Flock Reference'!$A:$B,2,FALSE))/7), "")</f>
        <v/>
      </c>
    </row>
    <row r="40">
      <c r="G40" s="3">
        <f>IF(E40&gt;0, F40/E40, 0)</f>
        <v/>
      </c>
      <c r="I40" s="3">
        <f>IF(E40&gt;0, H40/E40, 0)</f>
        <v/>
      </c>
      <c r="J40">
        <f>IF(E40&gt;0, E40-F40-H40, 0)</f>
        <v/>
      </c>
      <c r="K40" s="3">
        <f>IF(E40&gt;0, J40/E40, 0)</f>
        <v/>
      </c>
      <c r="M40" s="3">
        <f>IF(E40&gt;0, L40/E40, 0)</f>
        <v/>
      </c>
      <c r="N40" s="3" t="n"/>
      <c r="O40">
        <f>IFERROR(INT((A40-2-VLOOKUP(D40,'Flock Reference'!$A:$B,2,FALSE))/7), "")</f>
        <v/>
      </c>
    </row>
    <row r="41">
      <c r="G41" s="3">
        <f>IF(E41&gt;0, F41/E41, 0)</f>
        <v/>
      </c>
      <c r="I41" s="3">
        <f>IF(E41&gt;0, H41/E41, 0)</f>
        <v/>
      </c>
      <c r="J41">
        <f>IF(E41&gt;0, E41-F41-H41, 0)</f>
        <v/>
      </c>
      <c r="K41" s="3">
        <f>IF(E41&gt;0, J41/E41, 0)</f>
        <v/>
      </c>
      <c r="M41" s="3">
        <f>IF(E41&gt;0, L41/E41, 0)</f>
        <v/>
      </c>
      <c r="N41" s="3" t="n"/>
      <c r="O41">
        <f>IFERROR(INT((A41-2-VLOOKUP(D41,'Flock Reference'!$A:$B,2,FALSE))/7), "")</f>
        <v/>
      </c>
    </row>
    <row r="42">
      <c r="G42" s="3">
        <f>IF(E42&gt;0, F42/E42, 0)</f>
        <v/>
      </c>
      <c r="I42" s="3">
        <f>IF(E42&gt;0, H42/E42, 0)</f>
        <v/>
      </c>
      <c r="J42">
        <f>IF(E42&gt;0, E42-F42-H42, 0)</f>
        <v/>
      </c>
      <c r="K42" s="3">
        <f>IF(E42&gt;0, J42/E42, 0)</f>
        <v/>
      </c>
      <c r="M42" s="3">
        <f>IF(E42&gt;0, L42/E42, 0)</f>
        <v/>
      </c>
      <c r="N42" s="3" t="n"/>
      <c r="O42">
        <f>IFERROR(INT((A42-2-VLOOKUP(D42,'Flock Reference'!$A:$B,2,FALSE))/7), "")</f>
        <v/>
      </c>
    </row>
    <row r="43">
      <c r="G43" s="3">
        <f>IF(E43&gt;0, F43/E43, 0)</f>
        <v/>
      </c>
      <c r="I43" s="3">
        <f>IF(E43&gt;0, H43/E43, 0)</f>
        <v/>
      </c>
      <c r="J43">
        <f>IF(E43&gt;0, E43-F43-H43, 0)</f>
        <v/>
      </c>
      <c r="K43" s="3">
        <f>IF(E43&gt;0, J43/E43, 0)</f>
        <v/>
      </c>
      <c r="M43" s="3">
        <f>IF(E43&gt;0, L43/E43, 0)</f>
        <v/>
      </c>
      <c r="N43" s="3" t="n"/>
      <c r="O43">
        <f>IFERROR(INT((A43-2-VLOOKUP(D43,'Flock Reference'!$A:$B,2,FALSE))/7), "")</f>
        <v/>
      </c>
    </row>
    <row r="44">
      <c r="G44" s="3">
        <f>IF(E44&gt;0, F44/E44, 0)</f>
        <v/>
      </c>
      <c r="I44" s="3">
        <f>IF(E44&gt;0, H44/E44, 0)</f>
        <v/>
      </c>
      <c r="J44">
        <f>IF(E44&gt;0, E44-F44-H44, 0)</f>
        <v/>
      </c>
      <c r="K44" s="3">
        <f>IF(E44&gt;0, J44/E44, 0)</f>
        <v/>
      </c>
      <c r="M44" s="3">
        <f>IF(E44&gt;0, L44/E44, 0)</f>
        <v/>
      </c>
      <c r="N44" s="3" t="n"/>
      <c r="O44">
        <f>IFERROR(INT((A44-2-VLOOKUP(D44,'Flock Reference'!$A:$B,2,FALSE))/7), "")</f>
        <v/>
      </c>
    </row>
    <row r="45">
      <c r="G45" s="3">
        <f>IF(E45&gt;0, F45/E45, 0)</f>
        <v/>
      </c>
      <c r="I45" s="3">
        <f>IF(E45&gt;0, H45/E45, 0)</f>
        <v/>
      </c>
      <c r="J45">
        <f>IF(E45&gt;0, E45-F45-H45, 0)</f>
        <v/>
      </c>
      <c r="K45" s="3">
        <f>IF(E45&gt;0, J45/E45, 0)</f>
        <v/>
      </c>
      <c r="M45" s="3">
        <f>IF(E45&gt;0, L45/E45, 0)</f>
        <v/>
      </c>
      <c r="N45" s="3" t="n"/>
      <c r="O45">
        <f>IFERROR(INT((A45-2-VLOOKUP(D45,'Flock Reference'!$A:$B,2,FALSE))/7), "")</f>
        <v/>
      </c>
    </row>
    <row r="46">
      <c r="G46" s="3">
        <f>IF(E46&gt;0, F46/E46, 0)</f>
        <v/>
      </c>
      <c r="I46" s="3">
        <f>IF(E46&gt;0, H46/E46, 0)</f>
        <v/>
      </c>
      <c r="J46">
        <f>IF(E46&gt;0, E46-F46-H46, 0)</f>
        <v/>
      </c>
      <c r="K46" s="3">
        <f>IF(E46&gt;0, J46/E46, 0)</f>
        <v/>
      </c>
      <c r="M46" s="3">
        <f>IF(E46&gt;0, L46/E46, 0)</f>
        <v/>
      </c>
      <c r="N46" s="3" t="n"/>
      <c r="O46">
        <f>IFERROR(INT((A46-2-VLOOKUP(D46,'Flock Reference'!$A:$B,2,FALSE))/7), "")</f>
        <v/>
      </c>
    </row>
    <row r="47">
      <c r="G47" s="3">
        <f>IF(E47&gt;0, F47/E47, 0)</f>
        <v/>
      </c>
      <c r="I47" s="3">
        <f>IF(E47&gt;0, H47/E47, 0)</f>
        <v/>
      </c>
      <c r="J47">
        <f>IF(E47&gt;0, E47-F47-H47, 0)</f>
        <v/>
      </c>
      <c r="K47" s="3">
        <f>IF(E47&gt;0, J47/E47, 0)</f>
        <v/>
      </c>
      <c r="M47" s="3">
        <f>IF(E47&gt;0, L47/E47, 0)</f>
        <v/>
      </c>
      <c r="N47" s="3" t="n"/>
      <c r="O47">
        <f>IFERROR(INT((A47-2-VLOOKUP(D47,'Flock Reference'!$A:$B,2,FALSE))/7), "")</f>
        <v/>
      </c>
    </row>
    <row r="48">
      <c r="G48" s="3">
        <f>IF(E48&gt;0, F48/E48, 0)</f>
        <v/>
      </c>
      <c r="I48" s="3">
        <f>IF(E48&gt;0, H48/E48, 0)</f>
        <v/>
      </c>
      <c r="J48">
        <f>IF(E48&gt;0, E48-F48-H48, 0)</f>
        <v/>
      </c>
      <c r="K48" s="3">
        <f>IF(E48&gt;0, J48/E48, 0)</f>
        <v/>
      </c>
      <c r="M48" s="3">
        <f>IF(E48&gt;0, L48/E48, 0)</f>
        <v/>
      </c>
      <c r="N48" s="3" t="n"/>
      <c r="O48">
        <f>IFERROR(INT((A48-2-VLOOKUP(D48,'Flock Reference'!$A:$B,2,FALSE))/7), "")</f>
        <v/>
      </c>
    </row>
    <row r="49">
      <c r="G49" s="3">
        <f>IF(E49&gt;0, F49/E49, 0)</f>
        <v/>
      </c>
      <c r="I49" s="3">
        <f>IF(E49&gt;0, H49/E49, 0)</f>
        <v/>
      </c>
      <c r="J49">
        <f>IF(E49&gt;0, E49-F49-H49, 0)</f>
        <v/>
      </c>
      <c r="K49" s="3">
        <f>IF(E49&gt;0, J49/E49, 0)</f>
        <v/>
      </c>
      <c r="M49" s="3">
        <f>IF(E49&gt;0, L49/E49, 0)</f>
        <v/>
      </c>
      <c r="N49" s="3" t="n"/>
      <c r="O49">
        <f>IFERROR(INT((A49-2-VLOOKUP(D49,'Flock Reference'!$A:$B,2,FALSE))/7), "")</f>
        <v/>
      </c>
    </row>
    <row r="50">
      <c r="G50" s="3">
        <f>IF(E50&gt;0, F50/E50, 0)</f>
        <v/>
      </c>
      <c r="I50" s="3">
        <f>IF(E50&gt;0, H50/E50, 0)</f>
        <v/>
      </c>
      <c r="J50">
        <f>IF(E50&gt;0, E50-F50-H50, 0)</f>
        <v/>
      </c>
      <c r="K50" s="3">
        <f>IF(E50&gt;0, J50/E50, 0)</f>
        <v/>
      </c>
      <c r="M50" s="3">
        <f>IF(E50&gt;0, L50/E50, 0)</f>
        <v/>
      </c>
      <c r="N50" s="3" t="n"/>
      <c r="O50">
        <f>IFERROR(INT((A50-2-VLOOKUP(D50,'Flock Reference'!$A:$B,2,FALSE))/7), "")</f>
        <v/>
      </c>
    </row>
    <row r="51">
      <c r="G51" s="3">
        <f>IF(E51&gt;0, F51/E51, 0)</f>
        <v/>
      </c>
      <c r="I51" s="3">
        <f>IF(E51&gt;0, H51/E51, 0)</f>
        <v/>
      </c>
      <c r="J51">
        <f>IF(E51&gt;0, E51-F51-H51, 0)</f>
        <v/>
      </c>
      <c r="K51" s="3">
        <f>IF(E51&gt;0, J51/E51, 0)</f>
        <v/>
      </c>
      <c r="M51" s="3">
        <f>IF(E51&gt;0, L51/E51, 0)</f>
        <v/>
      </c>
      <c r="N51" s="3" t="n"/>
      <c r="O51">
        <f>IFERROR(INT((A51-2-VLOOKUP(D51,'Flock Reference'!$A:$B,2,FALSE))/7), "")</f>
        <v/>
      </c>
    </row>
    <row r="52">
      <c r="G52" s="3">
        <f>IF(E52&gt;0, F52/E52, 0)</f>
        <v/>
      </c>
      <c r="I52" s="3">
        <f>IF(E52&gt;0, H52/E52, 0)</f>
        <v/>
      </c>
      <c r="J52">
        <f>IF(E52&gt;0, E52-F52-H52, 0)</f>
        <v/>
      </c>
      <c r="K52" s="3">
        <f>IF(E52&gt;0, J52/E52, 0)</f>
        <v/>
      </c>
      <c r="M52" s="3">
        <f>IF(E52&gt;0, L52/E52, 0)</f>
        <v/>
      </c>
      <c r="N52" s="3" t="n"/>
      <c r="O52">
        <f>IFERROR(INT((A52-2-VLOOKUP(D52,'Flock Reference'!$A:$B,2,FALSE))/7), "")</f>
        <v/>
      </c>
    </row>
    <row r="53">
      <c r="G53" s="3">
        <f>IF(E53&gt;0, F53/E53, 0)</f>
        <v/>
      </c>
      <c r="I53" s="3">
        <f>IF(E53&gt;0, H53/E53, 0)</f>
        <v/>
      </c>
      <c r="J53">
        <f>IF(E53&gt;0, E53-F53-H53, 0)</f>
        <v/>
      </c>
      <c r="K53" s="3">
        <f>IF(E53&gt;0, J53/E53, 0)</f>
        <v/>
      </c>
      <c r="M53" s="3">
        <f>IF(E53&gt;0, L53/E53, 0)</f>
        <v/>
      </c>
      <c r="N53" s="3" t="n"/>
      <c r="O53">
        <f>IFERROR(INT((A53-2-VLOOKUP(D53,'Flock Reference'!$A:$B,2,FALSE))/7), "")</f>
        <v/>
      </c>
    </row>
    <row r="54">
      <c r="G54" s="3">
        <f>IF(E54&gt;0, F54/E54, 0)</f>
        <v/>
      </c>
      <c r="I54" s="3">
        <f>IF(E54&gt;0, H54/E54, 0)</f>
        <v/>
      </c>
      <c r="J54">
        <f>IF(E54&gt;0, E54-F54-H54, 0)</f>
        <v/>
      </c>
      <c r="K54" s="3">
        <f>IF(E54&gt;0, J54/E54, 0)</f>
        <v/>
      </c>
      <c r="M54" s="3">
        <f>IF(E54&gt;0, L54/E54, 0)</f>
        <v/>
      </c>
      <c r="N54" s="3" t="n"/>
      <c r="O54">
        <f>IFERROR(INT((A54-2-VLOOKUP(D54,'Flock Reference'!$A:$B,2,FALSE))/7), "")</f>
        <v/>
      </c>
    </row>
    <row r="55">
      <c r="G55" s="3">
        <f>IF(E55&gt;0, F55/E55, 0)</f>
        <v/>
      </c>
      <c r="I55" s="3">
        <f>IF(E55&gt;0, H55/E55, 0)</f>
        <v/>
      </c>
      <c r="J55">
        <f>IF(E55&gt;0, E55-F55-H55, 0)</f>
        <v/>
      </c>
      <c r="K55" s="3">
        <f>IF(E55&gt;0, J55/E55, 0)</f>
        <v/>
      </c>
      <c r="M55" s="3">
        <f>IF(E55&gt;0, L55/E55, 0)</f>
        <v/>
      </c>
      <c r="N55" s="3" t="n"/>
      <c r="O55">
        <f>IFERROR(INT((A55-2-VLOOKUP(D55,'Flock Reference'!$A:$B,2,FALSE))/7), "")</f>
        <v/>
      </c>
    </row>
    <row r="56">
      <c r="G56" s="3">
        <f>IF(E56&gt;0, F56/E56, 0)</f>
        <v/>
      </c>
      <c r="I56" s="3">
        <f>IF(E56&gt;0, H56/E56, 0)</f>
        <v/>
      </c>
      <c r="J56">
        <f>IF(E56&gt;0, E56-F56-H56, 0)</f>
        <v/>
      </c>
      <c r="K56" s="3">
        <f>IF(E56&gt;0, J56/E56, 0)</f>
        <v/>
      </c>
      <c r="M56" s="3">
        <f>IF(E56&gt;0, L56/E56, 0)</f>
        <v/>
      </c>
      <c r="N56" s="3" t="n"/>
      <c r="O56">
        <f>IFERROR(INT((A56-2-VLOOKUP(D56,'Flock Reference'!$A:$B,2,FALSE))/7), "")</f>
        <v/>
      </c>
    </row>
    <row r="57">
      <c r="G57" s="3">
        <f>IF(E57&gt;0, F57/E57, 0)</f>
        <v/>
      </c>
      <c r="I57" s="3">
        <f>IF(E57&gt;0, H57/E57, 0)</f>
        <v/>
      </c>
      <c r="J57">
        <f>IF(E57&gt;0, E57-F57-H57, 0)</f>
        <v/>
      </c>
      <c r="K57" s="3">
        <f>IF(E57&gt;0, J57/E57, 0)</f>
        <v/>
      </c>
      <c r="M57" s="3">
        <f>IF(E57&gt;0, L57/E57, 0)</f>
        <v/>
      </c>
      <c r="N57" s="3" t="n"/>
      <c r="O57">
        <f>IFERROR(INT((A57-2-VLOOKUP(D57,'Flock Reference'!$A:$B,2,FALSE))/7), "")</f>
        <v/>
      </c>
    </row>
    <row r="58">
      <c r="G58" s="3">
        <f>IF(E58&gt;0, F58/E58, 0)</f>
        <v/>
      </c>
      <c r="I58" s="3">
        <f>IF(E58&gt;0, H58/E58, 0)</f>
        <v/>
      </c>
      <c r="J58">
        <f>IF(E58&gt;0, E58-F58-H58, 0)</f>
        <v/>
      </c>
      <c r="K58" s="3">
        <f>IF(E58&gt;0, J58/E58, 0)</f>
        <v/>
      </c>
      <c r="M58" s="3">
        <f>IF(E58&gt;0, L58/E58, 0)</f>
        <v/>
      </c>
      <c r="N58" s="3" t="n"/>
      <c r="O58">
        <f>IFERROR(INT((A58-2-VLOOKUP(D58,'Flock Reference'!$A:$B,2,FALSE))/7), "")</f>
        <v/>
      </c>
    </row>
    <row r="59">
      <c r="G59" s="3">
        <f>IF(E59&gt;0, F59/E59, 0)</f>
        <v/>
      </c>
      <c r="I59" s="3">
        <f>IF(E59&gt;0, H59/E59, 0)</f>
        <v/>
      </c>
      <c r="J59">
        <f>IF(E59&gt;0, E59-F59-H59, 0)</f>
        <v/>
      </c>
      <c r="K59" s="3">
        <f>IF(E59&gt;0, J59/E59, 0)</f>
        <v/>
      </c>
      <c r="M59" s="3">
        <f>IF(E59&gt;0, L59/E59, 0)</f>
        <v/>
      </c>
      <c r="N59" s="3" t="n"/>
      <c r="O59">
        <f>IFERROR(INT((A59-2-VLOOKUP(D59,'Flock Reference'!$A:$B,2,FALSE))/7), "")</f>
        <v/>
      </c>
    </row>
    <row r="60">
      <c r="G60" s="3">
        <f>IF(E60&gt;0, F60/E60, 0)</f>
        <v/>
      </c>
      <c r="I60" s="3">
        <f>IF(E60&gt;0, H60/E60, 0)</f>
        <v/>
      </c>
      <c r="J60">
        <f>IF(E60&gt;0, E60-F60-H60, 0)</f>
        <v/>
      </c>
      <c r="K60" s="3">
        <f>IF(E60&gt;0, J60/E60, 0)</f>
        <v/>
      </c>
      <c r="M60" s="3">
        <f>IF(E60&gt;0, L60/E60, 0)</f>
        <v/>
      </c>
      <c r="N60" s="3" t="n"/>
      <c r="O60">
        <f>IFERROR(INT((A60-2-VLOOKUP(D60,'Flock Reference'!$A:$B,2,FALSE))/7), "")</f>
        <v/>
      </c>
    </row>
    <row r="61">
      <c r="G61" s="3">
        <f>IF(E61&gt;0, F61/E61, 0)</f>
        <v/>
      </c>
      <c r="I61" s="3">
        <f>IF(E61&gt;0, H61/E61, 0)</f>
        <v/>
      </c>
      <c r="J61">
        <f>IF(E61&gt;0, E61-F61-H61, 0)</f>
        <v/>
      </c>
      <c r="K61" s="3">
        <f>IF(E61&gt;0, J61/E61, 0)</f>
        <v/>
      </c>
      <c r="M61" s="3">
        <f>IF(E61&gt;0, L61/E61, 0)</f>
        <v/>
      </c>
      <c r="N61" s="3" t="n"/>
      <c r="O61">
        <f>IFERROR(INT((A61-2-VLOOKUP(D61,'Flock Reference'!$A:$B,2,FALSE))/7), "")</f>
        <v/>
      </c>
    </row>
    <row r="62">
      <c r="G62" s="3">
        <f>IF(E62&gt;0, F62/E62, 0)</f>
        <v/>
      </c>
      <c r="I62" s="3">
        <f>IF(E62&gt;0, H62/E62, 0)</f>
        <v/>
      </c>
      <c r="J62">
        <f>IF(E62&gt;0, E62-F62-H62, 0)</f>
        <v/>
      </c>
      <c r="K62" s="3">
        <f>IF(E62&gt;0, J62/E62, 0)</f>
        <v/>
      </c>
      <c r="M62" s="3">
        <f>IF(E62&gt;0, L62/E62, 0)</f>
        <v/>
      </c>
      <c r="N62" s="3" t="n"/>
      <c r="O62">
        <f>IFERROR(INT((A62-2-VLOOKUP(D62,'Flock Reference'!$A:$B,2,FALSE))/7), "")</f>
        <v/>
      </c>
    </row>
    <row r="63">
      <c r="G63" s="3">
        <f>IF(E63&gt;0, F63/E63, 0)</f>
        <v/>
      </c>
      <c r="I63" s="3">
        <f>IF(E63&gt;0, H63/E63, 0)</f>
        <v/>
      </c>
      <c r="J63">
        <f>IF(E63&gt;0, E63-F63-H63, 0)</f>
        <v/>
      </c>
      <c r="K63" s="3">
        <f>IF(E63&gt;0, J63/E63, 0)</f>
        <v/>
      </c>
      <c r="M63" s="3">
        <f>IF(E63&gt;0, L63/E63, 0)</f>
        <v/>
      </c>
      <c r="N63" s="3" t="n"/>
      <c r="O63">
        <f>IFERROR(INT((A63-2-VLOOKUP(D63,'Flock Reference'!$A:$B,2,FALSE))/7), "")</f>
        <v/>
      </c>
    </row>
    <row r="64">
      <c r="G64" s="3">
        <f>IF(E64&gt;0, F64/E64, 0)</f>
        <v/>
      </c>
      <c r="I64" s="3">
        <f>IF(E64&gt;0, H64/E64, 0)</f>
        <v/>
      </c>
      <c r="J64">
        <f>IF(E64&gt;0, E64-F64-H64, 0)</f>
        <v/>
      </c>
      <c r="K64" s="3">
        <f>IF(E64&gt;0, J64/E64, 0)</f>
        <v/>
      </c>
      <c r="M64" s="3">
        <f>IF(E64&gt;0, L64/E64, 0)</f>
        <v/>
      </c>
      <c r="N64" s="3" t="n"/>
      <c r="O64">
        <f>IFERROR(INT((A64-2-VLOOKUP(D64,'Flock Reference'!$A:$B,2,FALSE))/7), "")</f>
        <v/>
      </c>
    </row>
    <row r="65">
      <c r="G65" s="3">
        <f>IF(E65&gt;0, F65/E65, 0)</f>
        <v/>
      </c>
      <c r="I65" s="3">
        <f>IF(E65&gt;0, H65/E65, 0)</f>
        <v/>
      </c>
      <c r="J65">
        <f>IF(E65&gt;0, E65-F65-H65, 0)</f>
        <v/>
      </c>
      <c r="K65" s="3">
        <f>IF(E65&gt;0, J65/E65, 0)</f>
        <v/>
      </c>
      <c r="M65" s="3">
        <f>IF(E65&gt;0, L65/E65, 0)</f>
        <v/>
      </c>
      <c r="N65" s="3" t="n"/>
      <c r="O65">
        <f>IFERROR(INT((A65-2-VLOOKUP(D65,'Flock Reference'!$A:$B,2,FALSE))/7), "")</f>
        <v/>
      </c>
    </row>
    <row r="66">
      <c r="G66" s="3">
        <f>IF(E66&gt;0, F66/E66, 0)</f>
        <v/>
      </c>
      <c r="I66" s="3">
        <f>IF(E66&gt;0, H66/E66, 0)</f>
        <v/>
      </c>
      <c r="J66">
        <f>IF(E66&gt;0, E66-F66-H66, 0)</f>
        <v/>
      </c>
      <c r="K66" s="3">
        <f>IF(E66&gt;0, J66/E66, 0)</f>
        <v/>
      </c>
      <c r="M66" s="3">
        <f>IF(E66&gt;0, L66/E66, 0)</f>
        <v/>
      </c>
      <c r="N66" s="3" t="n"/>
      <c r="O66">
        <f>IFERROR(INT((A66-2-VLOOKUP(D66,'Flock Reference'!$A:$B,2,FALSE))/7), "")</f>
        <v/>
      </c>
    </row>
    <row r="67">
      <c r="G67" s="3">
        <f>IF(E67&gt;0, F67/E67, 0)</f>
        <v/>
      </c>
      <c r="I67" s="3">
        <f>IF(E67&gt;0, H67/E67, 0)</f>
        <v/>
      </c>
      <c r="J67">
        <f>IF(E67&gt;0, E67-F67-H67, 0)</f>
        <v/>
      </c>
      <c r="K67" s="3">
        <f>IF(E67&gt;0, J67/E67, 0)</f>
        <v/>
      </c>
      <c r="M67" s="3">
        <f>IF(E67&gt;0, L67/E67, 0)</f>
        <v/>
      </c>
      <c r="N67" s="3" t="n"/>
      <c r="O67">
        <f>IFERROR(INT((A67-2-VLOOKUP(D67,'Flock Reference'!$A:$B,2,FALSE))/7), "")</f>
        <v/>
      </c>
    </row>
    <row r="68">
      <c r="G68" s="3">
        <f>IF(E68&gt;0, F68/E68, 0)</f>
        <v/>
      </c>
      <c r="I68" s="3">
        <f>IF(E68&gt;0, H68/E68, 0)</f>
        <v/>
      </c>
      <c r="J68">
        <f>IF(E68&gt;0, E68-F68-H68, 0)</f>
        <v/>
      </c>
      <c r="K68" s="3">
        <f>IF(E68&gt;0, J68/E68, 0)</f>
        <v/>
      </c>
      <c r="M68" s="3">
        <f>IF(E68&gt;0, L68/E68, 0)</f>
        <v/>
      </c>
      <c r="N68" s="3" t="n"/>
      <c r="O68">
        <f>IFERROR(INT((A68-2-VLOOKUP(D68,'Flock Reference'!$A:$B,2,FALSE))/7), "")</f>
        <v/>
      </c>
    </row>
    <row r="69">
      <c r="G69" s="3">
        <f>IF(E69&gt;0, F69/E69, 0)</f>
        <v/>
      </c>
      <c r="I69" s="3">
        <f>IF(E69&gt;0, H69/E69, 0)</f>
        <v/>
      </c>
      <c r="J69">
        <f>IF(E69&gt;0, E69-F69-H69, 0)</f>
        <v/>
      </c>
      <c r="K69" s="3">
        <f>IF(E69&gt;0, J69/E69, 0)</f>
        <v/>
      </c>
      <c r="M69" s="3">
        <f>IF(E69&gt;0, L69/E69, 0)</f>
        <v/>
      </c>
      <c r="N69" s="3" t="n"/>
      <c r="O69">
        <f>IFERROR(INT((A69-2-VLOOKUP(D69,'Flock Reference'!$A:$B,2,FALSE))/7), "")</f>
        <v/>
      </c>
    </row>
    <row r="70">
      <c r="G70" s="3">
        <f>IF(E70&gt;0, F70/E70, 0)</f>
        <v/>
      </c>
      <c r="I70" s="3">
        <f>IF(E70&gt;0, H70/E70, 0)</f>
        <v/>
      </c>
      <c r="J70">
        <f>IF(E70&gt;0, E70-F70-H70, 0)</f>
        <v/>
      </c>
      <c r="K70" s="3">
        <f>IF(E70&gt;0, J70/E70, 0)</f>
        <v/>
      </c>
      <c r="M70" s="3">
        <f>IF(E70&gt;0, L70/E70, 0)</f>
        <v/>
      </c>
      <c r="N70" s="3" t="n"/>
      <c r="O70">
        <f>IFERROR(INT((A70-2-VLOOKUP(D70,'Flock Reference'!$A:$B,2,FALSE))/7), "")</f>
        <v/>
      </c>
    </row>
    <row r="71">
      <c r="G71" s="3">
        <f>IF(E71&gt;0, F71/E71, 0)</f>
        <v/>
      </c>
      <c r="I71" s="3">
        <f>IF(E71&gt;0, H71/E71, 0)</f>
        <v/>
      </c>
      <c r="J71">
        <f>IF(E71&gt;0, E71-F71-H71, 0)</f>
        <v/>
      </c>
      <c r="K71" s="3">
        <f>IF(E71&gt;0, J71/E71, 0)</f>
        <v/>
      </c>
      <c r="M71" s="3">
        <f>IF(E71&gt;0, L71/E71, 0)</f>
        <v/>
      </c>
      <c r="N71" s="3" t="n"/>
      <c r="O71">
        <f>IFERROR(INT((A71-2-VLOOKUP(D71,'Flock Reference'!$A:$B,2,FALSE))/7), "")</f>
        <v/>
      </c>
    </row>
    <row r="72">
      <c r="G72" s="3">
        <f>IF(E72&gt;0, F72/E72, 0)</f>
        <v/>
      </c>
      <c r="I72" s="3">
        <f>IF(E72&gt;0, H72/E72, 0)</f>
        <v/>
      </c>
      <c r="J72">
        <f>IF(E72&gt;0, E72-F72-H72, 0)</f>
        <v/>
      </c>
      <c r="K72" s="3">
        <f>IF(E72&gt;0, J72/E72, 0)</f>
        <v/>
      </c>
      <c r="M72" s="3">
        <f>IF(E72&gt;0, L72/E72, 0)</f>
        <v/>
      </c>
      <c r="N72" s="3" t="n"/>
      <c r="O72">
        <f>IFERROR(INT((A72-2-VLOOKUP(D72,'Flock Reference'!$A:$B,2,FALSE))/7), "")</f>
        <v/>
      </c>
    </row>
    <row r="73">
      <c r="G73" s="3">
        <f>IF(E73&gt;0, F73/E73, 0)</f>
        <v/>
      </c>
      <c r="I73" s="3">
        <f>IF(E73&gt;0, H73/E73, 0)</f>
        <v/>
      </c>
      <c r="J73">
        <f>IF(E73&gt;0, E73-F73-H73, 0)</f>
        <v/>
      </c>
      <c r="K73" s="3">
        <f>IF(E73&gt;0, J73/E73, 0)</f>
        <v/>
      </c>
      <c r="M73" s="3">
        <f>IF(E73&gt;0, L73/E73, 0)</f>
        <v/>
      </c>
      <c r="N73" s="3" t="n"/>
      <c r="O73">
        <f>IFERROR(INT((A73-2-VLOOKUP(D73,'Flock Reference'!$A:$B,2,FALSE))/7), "")</f>
        <v/>
      </c>
    </row>
    <row r="74">
      <c r="G74" s="3">
        <f>IF(E74&gt;0, F74/E74, 0)</f>
        <v/>
      </c>
      <c r="I74" s="3">
        <f>IF(E74&gt;0, H74/E74, 0)</f>
        <v/>
      </c>
      <c r="J74">
        <f>IF(E74&gt;0, E74-F74-H74, 0)</f>
        <v/>
      </c>
      <c r="K74" s="3">
        <f>IF(E74&gt;0, J74/E74, 0)</f>
        <v/>
      </c>
      <c r="M74" s="3">
        <f>IF(E74&gt;0, L74/E74, 0)</f>
        <v/>
      </c>
      <c r="N74" s="3" t="n"/>
      <c r="O74">
        <f>IFERROR(INT((A74-2-VLOOKUP(D74,'Flock Reference'!$A:$B,2,FALSE))/7), "")</f>
        <v/>
      </c>
    </row>
    <row r="75">
      <c r="G75" s="3">
        <f>IF(E75&gt;0, F75/E75, 0)</f>
        <v/>
      </c>
      <c r="I75" s="3">
        <f>IF(E75&gt;0, H75/E75, 0)</f>
        <v/>
      </c>
      <c r="J75">
        <f>IF(E75&gt;0, E75-F75-H75, 0)</f>
        <v/>
      </c>
      <c r="K75" s="3">
        <f>IF(E75&gt;0, J75/E75, 0)</f>
        <v/>
      </c>
      <c r="M75" s="3">
        <f>IF(E75&gt;0, L75/E75, 0)</f>
        <v/>
      </c>
      <c r="N75" s="3" t="n"/>
      <c r="O75">
        <f>IFERROR(INT((A75-2-VLOOKUP(D75,'Flock Reference'!$A:$B,2,FALSE))/7), "")</f>
        <v/>
      </c>
    </row>
    <row r="76">
      <c r="G76" s="3">
        <f>IF(E76&gt;0, F76/E76, 0)</f>
        <v/>
      </c>
      <c r="I76" s="3">
        <f>IF(E76&gt;0, H76/E76, 0)</f>
        <v/>
      </c>
      <c r="J76">
        <f>IF(E76&gt;0, E76-F76-H76, 0)</f>
        <v/>
      </c>
      <c r="K76" s="3">
        <f>IF(E76&gt;0, J76/E76, 0)</f>
        <v/>
      </c>
      <c r="M76" s="3">
        <f>IF(E76&gt;0, L76/E76, 0)</f>
        <v/>
      </c>
      <c r="N76" s="3" t="n"/>
      <c r="O76">
        <f>IFERROR(INT((A76-2-VLOOKUP(D76,'Flock Reference'!$A:$B,2,FALSE))/7), "")</f>
        <v/>
      </c>
    </row>
    <row r="77">
      <c r="G77" s="3">
        <f>IF(E77&gt;0, F77/E77, 0)</f>
        <v/>
      </c>
      <c r="I77" s="3">
        <f>IF(E77&gt;0, H77/E77, 0)</f>
        <v/>
      </c>
      <c r="J77">
        <f>IF(E77&gt;0, E77-F77-H77, 0)</f>
        <v/>
      </c>
      <c r="K77" s="3">
        <f>IF(E77&gt;0, J77/E77, 0)</f>
        <v/>
      </c>
      <c r="M77" s="3">
        <f>IF(E77&gt;0, L77/E77, 0)</f>
        <v/>
      </c>
      <c r="N77" s="3" t="n"/>
      <c r="O77">
        <f>IFERROR(INT((A77-2-VLOOKUP(D77,'Flock Reference'!$A:$B,2,FALSE))/7), "")</f>
        <v/>
      </c>
    </row>
    <row r="78">
      <c r="G78" s="3">
        <f>IF(E78&gt;0, F78/E78, 0)</f>
        <v/>
      </c>
      <c r="I78" s="3">
        <f>IF(E78&gt;0, H78/E78, 0)</f>
        <v/>
      </c>
      <c r="J78">
        <f>IF(E78&gt;0, E78-F78-H78, 0)</f>
        <v/>
      </c>
      <c r="K78" s="3">
        <f>IF(E78&gt;0, J78/E78, 0)</f>
        <v/>
      </c>
      <c r="M78" s="3">
        <f>IF(E78&gt;0, L78/E78, 0)</f>
        <v/>
      </c>
      <c r="N78" s="3" t="n"/>
      <c r="O78">
        <f>IFERROR(INT((A78-2-VLOOKUP(D78,'Flock Reference'!$A:$B,2,FALSE))/7), "")</f>
        <v/>
      </c>
    </row>
    <row r="79">
      <c r="G79" s="3">
        <f>IF(E79&gt;0, F79/E79, 0)</f>
        <v/>
      </c>
      <c r="I79" s="3">
        <f>IF(E79&gt;0, H79/E79, 0)</f>
        <v/>
      </c>
      <c r="J79">
        <f>IF(E79&gt;0, E79-F79-H79, 0)</f>
        <v/>
      </c>
      <c r="K79" s="3">
        <f>IF(E79&gt;0, J79/E79, 0)</f>
        <v/>
      </c>
      <c r="M79" s="3">
        <f>IF(E79&gt;0, L79/E79, 0)</f>
        <v/>
      </c>
      <c r="N79" s="3" t="n"/>
      <c r="O79">
        <f>IFERROR(INT((A79-2-VLOOKUP(D79,'Flock Reference'!$A:$B,2,FALSE))/7), "")</f>
        <v/>
      </c>
    </row>
    <row r="80">
      <c r="G80" s="3">
        <f>IF(E80&gt;0, F80/E80, 0)</f>
        <v/>
      </c>
      <c r="I80" s="3">
        <f>IF(E80&gt;0, H80/E80, 0)</f>
        <v/>
      </c>
      <c r="J80">
        <f>IF(E80&gt;0, E80-F80-H80, 0)</f>
        <v/>
      </c>
      <c r="K80" s="3">
        <f>IF(E80&gt;0, J80/E80, 0)</f>
        <v/>
      </c>
      <c r="M80" s="3">
        <f>IF(E80&gt;0, L80/E80, 0)</f>
        <v/>
      </c>
      <c r="N80" s="3" t="n"/>
      <c r="O80">
        <f>IFERROR(INT((A80-2-VLOOKUP(D80,'Flock Reference'!$A:$B,2,FALSE))/7), "")</f>
        <v/>
      </c>
    </row>
    <row r="81">
      <c r="G81" s="3">
        <f>IF(E81&gt;0, F81/E81, 0)</f>
        <v/>
      </c>
      <c r="I81" s="3">
        <f>IF(E81&gt;0, H81/E81, 0)</f>
        <v/>
      </c>
      <c r="J81">
        <f>IF(E81&gt;0, E81-F81-H81, 0)</f>
        <v/>
      </c>
      <c r="K81" s="3">
        <f>IF(E81&gt;0, J81/E81, 0)</f>
        <v/>
      </c>
      <c r="M81" s="3">
        <f>IF(E81&gt;0, L81/E81, 0)</f>
        <v/>
      </c>
      <c r="N81" s="3" t="n"/>
      <c r="O81">
        <f>IFERROR(INT((A81-2-VLOOKUP(D81,'Flock Reference'!$A:$B,2,FALSE))/7), "")</f>
        <v/>
      </c>
    </row>
    <row r="82">
      <c r="G82" s="3">
        <f>IF(E82&gt;0, F82/E82, 0)</f>
        <v/>
      </c>
      <c r="I82" s="3">
        <f>IF(E82&gt;0, H82/E82, 0)</f>
        <v/>
      </c>
      <c r="J82">
        <f>IF(E82&gt;0, E82-F82-H82, 0)</f>
        <v/>
      </c>
      <c r="K82" s="3">
        <f>IF(E82&gt;0, J82/E82, 0)</f>
        <v/>
      </c>
      <c r="M82" s="3">
        <f>IF(E82&gt;0, L82/E82, 0)</f>
        <v/>
      </c>
      <c r="N82" s="3" t="n"/>
      <c r="O82">
        <f>IFERROR(INT((A82-2-VLOOKUP(D82,'Flock Reference'!$A:$B,2,FALSE))/7), "")</f>
        <v/>
      </c>
    </row>
    <row r="83">
      <c r="G83" s="3">
        <f>IF(E83&gt;0, F83/E83, 0)</f>
        <v/>
      </c>
      <c r="I83" s="3">
        <f>IF(E83&gt;0, H83/E83, 0)</f>
        <v/>
      </c>
      <c r="J83">
        <f>IF(E83&gt;0, E83-F83-H83, 0)</f>
        <v/>
      </c>
      <c r="K83" s="3">
        <f>IF(E83&gt;0, J83/E83, 0)</f>
        <v/>
      </c>
      <c r="M83" s="3">
        <f>IF(E83&gt;0, L83/E83, 0)</f>
        <v/>
      </c>
      <c r="N83" s="3" t="n"/>
      <c r="O83">
        <f>IFERROR(INT((A83-2-VLOOKUP(D83,'Flock Reference'!$A:$B,2,FALSE))/7), "")</f>
        <v/>
      </c>
    </row>
    <row r="84">
      <c r="G84" s="3">
        <f>IF(E84&gt;0, F84/E84, 0)</f>
        <v/>
      </c>
      <c r="I84" s="3">
        <f>IF(E84&gt;0, H84/E84, 0)</f>
        <v/>
      </c>
      <c r="J84">
        <f>IF(E84&gt;0, E84-F84-H84, 0)</f>
        <v/>
      </c>
      <c r="K84" s="3">
        <f>IF(E84&gt;0, J84/E84, 0)</f>
        <v/>
      </c>
      <c r="M84" s="3">
        <f>IF(E84&gt;0, L84/E84, 0)</f>
        <v/>
      </c>
      <c r="N84" s="3" t="n"/>
      <c r="O84">
        <f>IFERROR(INT((A84-2-VLOOKUP(D84,'Flock Reference'!$A:$B,2,FALSE))/7), "")</f>
        <v/>
      </c>
    </row>
    <row r="85">
      <c r="G85" s="3">
        <f>IF(E85&gt;0, F85/E85, 0)</f>
        <v/>
      </c>
      <c r="I85" s="3">
        <f>IF(E85&gt;0, H85/E85, 0)</f>
        <v/>
      </c>
      <c r="J85">
        <f>IF(E85&gt;0, E85-F85-H85, 0)</f>
        <v/>
      </c>
      <c r="K85" s="3">
        <f>IF(E85&gt;0, J85/E85, 0)</f>
        <v/>
      </c>
      <c r="M85" s="3">
        <f>IF(E85&gt;0, L85/E85, 0)</f>
        <v/>
      </c>
      <c r="N85" s="3" t="n"/>
      <c r="O85">
        <f>IFERROR(INT((A85-2-VLOOKUP(D85,'Flock Reference'!$A:$B,2,FALSE))/7), "")</f>
        <v/>
      </c>
    </row>
    <row r="86">
      <c r="G86" s="3">
        <f>IF(E86&gt;0, F86/E86, 0)</f>
        <v/>
      </c>
      <c r="I86" s="3">
        <f>IF(E86&gt;0, H86/E86, 0)</f>
        <v/>
      </c>
      <c r="J86">
        <f>IF(E86&gt;0, E86-F86-H86, 0)</f>
        <v/>
      </c>
      <c r="K86" s="3">
        <f>IF(E86&gt;0, J86/E86, 0)</f>
        <v/>
      </c>
      <c r="M86" s="3">
        <f>IF(E86&gt;0, L86/E86, 0)</f>
        <v/>
      </c>
      <c r="N86" s="3" t="n"/>
      <c r="O86">
        <f>IFERROR(INT((A86-2-VLOOKUP(D86,'Flock Reference'!$A:$B,2,FALSE))/7), "")</f>
        <v/>
      </c>
    </row>
    <row r="87">
      <c r="G87" s="3">
        <f>IF(E87&gt;0, F87/E87, 0)</f>
        <v/>
      </c>
      <c r="I87" s="3">
        <f>IF(E87&gt;0, H87/E87, 0)</f>
        <v/>
      </c>
      <c r="J87">
        <f>IF(E87&gt;0, E87-F87-H87, 0)</f>
        <v/>
      </c>
      <c r="K87" s="3">
        <f>IF(E87&gt;0, J87/E87, 0)</f>
        <v/>
      </c>
      <c r="M87" s="3">
        <f>IF(E87&gt;0, L87/E87, 0)</f>
        <v/>
      </c>
      <c r="N87" s="3" t="n"/>
      <c r="O87">
        <f>IFERROR(INT((A87-2-VLOOKUP(D87,'Flock Reference'!$A:$B,2,FALSE))/7), "")</f>
        <v/>
      </c>
    </row>
    <row r="88">
      <c r="G88" s="3">
        <f>IF(E88&gt;0, F88/E88, 0)</f>
        <v/>
      </c>
      <c r="I88" s="3">
        <f>IF(E88&gt;0, H88/E88, 0)</f>
        <v/>
      </c>
      <c r="J88">
        <f>IF(E88&gt;0, E88-F88-H88, 0)</f>
        <v/>
      </c>
      <c r="K88" s="3">
        <f>IF(E88&gt;0, J88/E88, 0)</f>
        <v/>
      </c>
      <c r="M88" s="3">
        <f>IF(E88&gt;0, L88/E88, 0)</f>
        <v/>
      </c>
      <c r="N88" s="3" t="n"/>
      <c r="O88">
        <f>IFERROR(INT((A88-2-VLOOKUP(D88,'Flock Reference'!$A:$B,2,FALSE))/7), "")</f>
        <v/>
      </c>
    </row>
    <row r="89">
      <c r="G89" s="3">
        <f>IF(E89&gt;0, F89/E89, 0)</f>
        <v/>
      </c>
      <c r="I89" s="3">
        <f>IF(E89&gt;0, H89/E89, 0)</f>
        <v/>
      </c>
      <c r="J89">
        <f>IF(E89&gt;0, E89-F89-H89, 0)</f>
        <v/>
      </c>
      <c r="K89" s="3">
        <f>IF(E89&gt;0, J89/E89, 0)</f>
        <v/>
      </c>
      <c r="M89" s="3">
        <f>IF(E89&gt;0, L89/E89, 0)</f>
        <v/>
      </c>
      <c r="N89" s="3" t="n"/>
      <c r="O89">
        <f>IFERROR(INT((A89-2-VLOOKUP(D89,'Flock Reference'!$A:$B,2,FALSE))/7), "")</f>
        <v/>
      </c>
    </row>
    <row r="90">
      <c r="G90" s="3">
        <f>IF(E90&gt;0, F90/E90, 0)</f>
        <v/>
      </c>
      <c r="I90" s="3">
        <f>IF(E90&gt;0, H90/E90, 0)</f>
        <v/>
      </c>
      <c r="J90">
        <f>IF(E90&gt;0, E90-F90-H90, 0)</f>
        <v/>
      </c>
      <c r="K90" s="3">
        <f>IF(E90&gt;0, J90/E90, 0)</f>
        <v/>
      </c>
      <c r="M90" s="3">
        <f>IF(E90&gt;0, L90/E90, 0)</f>
        <v/>
      </c>
      <c r="N90" s="3" t="n"/>
      <c r="O90">
        <f>IFERROR(INT((A90-2-VLOOKUP(D90,'Flock Reference'!$A:$B,2,FALSE))/7), "")</f>
        <v/>
      </c>
    </row>
    <row r="91">
      <c r="G91" s="3">
        <f>IF(E91&gt;0, F91/E91, 0)</f>
        <v/>
      </c>
      <c r="I91" s="3">
        <f>IF(E91&gt;0, H91/E91, 0)</f>
        <v/>
      </c>
      <c r="J91">
        <f>IF(E91&gt;0, E91-F91-H91, 0)</f>
        <v/>
      </c>
      <c r="K91" s="3">
        <f>IF(E91&gt;0, J91/E91, 0)</f>
        <v/>
      </c>
      <c r="M91" s="3">
        <f>IF(E91&gt;0, L91/E91, 0)</f>
        <v/>
      </c>
      <c r="N91" s="3" t="n"/>
      <c r="O91">
        <f>IFERROR(INT((A91-2-VLOOKUP(D91,'Flock Reference'!$A:$B,2,FALSE))/7), "")</f>
        <v/>
      </c>
    </row>
    <row r="92">
      <c r="G92" s="3">
        <f>IF(E92&gt;0, F92/E92, 0)</f>
        <v/>
      </c>
      <c r="I92" s="3">
        <f>IF(E92&gt;0, H92/E92, 0)</f>
        <v/>
      </c>
      <c r="J92">
        <f>IF(E92&gt;0, E92-F92-H92, 0)</f>
        <v/>
      </c>
      <c r="K92" s="3">
        <f>IF(E92&gt;0, J92/E92, 0)</f>
        <v/>
      </c>
      <c r="M92" s="3">
        <f>IF(E92&gt;0, L92/E92, 0)</f>
        <v/>
      </c>
      <c r="N92" s="3" t="n"/>
      <c r="O92">
        <f>IFERROR(INT((A92-2-VLOOKUP(D92,'Flock Reference'!$A:$B,2,FALSE))/7), "")</f>
        <v/>
      </c>
    </row>
    <row r="93">
      <c r="G93" s="3">
        <f>IF(E93&gt;0, F93/E93, 0)</f>
        <v/>
      </c>
      <c r="I93" s="3">
        <f>IF(E93&gt;0, H93/E93, 0)</f>
        <v/>
      </c>
      <c r="J93">
        <f>IF(E93&gt;0, E93-F93-H93, 0)</f>
        <v/>
      </c>
      <c r="K93" s="3">
        <f>IF(E93&gt;0, J93/E93, 0)</f>
        <v/>
      </c>
      <c r="M93" s="3">
        <f>IF(E93&gt;0, L93/E93, 0)</f>
        <v/>
      </c>
      <c r="N93" s="3" t="n"/>
      <c r="O93">
        <f>IFERROR(INT((A93-2-VLOOKUP(D93,'Flock Reference'!$A:$B,2,FALSE))/7), "")</f>
        <v/>
      </c>
    </row>
    <row r="94">
      <c r="G94" s="3">
        <f>IF(E94&gt;0, F94/E94, 0)</f>
        <v/>
      </c>
      <c r="I94" s="3">
        <f>IF(E94&gt;0, H94/E94, 0)</f>
        <v/>
      </c>
      <c r="J94">
        <f>IF(E94&gt;0, E94-F94-H94, 0)</f>
        <v/>
      </c>
      <c r="K94" s="3">
        <f>IF(E94&gt;0, J94/E94, 0)</f>
        <v/>
      </c>
      <c r="M94" s="3">
        <f>IF(E94&gt;0, L94/E94, 0)</f>
        <v/>
      </c>
      <c r="N94" s="3" t="n"/>
      <c r="O94">
        <f>IFERROR(INT((A94-2-VLOOKUP(D94,'Flock Reference'!$A:$B,2,FALSE))/7), "")</f>
        <v/>
      </c>
    </row>
    <row r="95">
      <c r="G95" s="3">
        <f>IF(E95&gt;0, F95/E95, 0)</f>
        <v/>
      </c>
      <c r="I95" s="3">
        <f>IF(E95&gt;0, H95/E95, 0)</f>
        <v/>
      </c>
      <c r="J95">
        <f>IF(E95&gt;0, E95-F95-H95, 0)</f>
        <v/>
      </c>
      <c r="K95" s="3">
        <f>IF(E95&gt;0, J95/E95, 0)</f>
        <v/>
      </c>
      <c r="M95" s="3">
        <f>IF(E95&gt;0, L95/E95, 0)</f>
        <v/>
      </c>
      <c r="N95" s="3" t="n"/>
      <c r="O95">
        <f>IFERROR(INT((A95-2-VLOOKUP(D95,'Flock Reference'!$A:$B,2,FALSE))/7), "")</f>
        <v/>
      </c>
    </row>
    <row r="96">
      <c r="G96" s="3">
        <f>IF(E96&gt;0, F96/E96, 0)</f>
        <v/>
      </c>
      <c r="I96" s="3">
        <f>IF(E96&gt;0, H96/E96, 0)</f>
        <v/>
      </c>
      <c r="J96">
        <f>IF(E96&gt;0, E96-F96-H96, 0)</f>
        <v/>
      </c>
      <c r="K96" s="3">
        <f>IF(E96&gt;0, J96/E96, 0)</f>
        <v/>
      </c>
      <c r="M96" s="3">
        <f>IF(E96&gt;0, L96/E96, 0)</f>
        <v/>
      </c>
      <c r="N96" s="3" t="n"/>
      <c r="O96">
        <f>IFERROR(INT((A96-2-VLOOKUP(D96,'Flock Reference'!$A:$B,2,FALSE))/7), "")</f>
        <v/>
      </c>
    </row>
    <row r="97">
      <c r="G97" s="3">
        <f>IF(E97&gt;0, F97/E97, 0)</f>
        <v/>
      </c>
      <c r="I97" s="3">
        <f>IF(E97&gt;0, H97/E97, 0)</f>
        <v/>
      </c>
      <c r="J97">
        <f>IF(E97&gt;0, E97-F97-H97, 0)</f>
        <v/>
      </c>
      <c r="K97" s="3">
        <f>IF(E97&gt;0, J97/E97, 0)</f>
        <v/>
      </c>
      <c r="M97" s="3">
        <f>IF(E97&gt;0, L97/E97, 0)</f>
        <v/>
      </c>
      <c r="N97" s="3" t="n"/>
      <c r="O97">
        <f>IFERROR(INT((A97-2-VLOOKUP(D97,'Flock Reference'!$A:$B,2,FALSE))/7), "")</f>
        <v/>
      </c>
    </row>
    <row r="98">
      <c r="G98" s="3">
        <f>IF(E98&gt;0, F98/E98, 0)</f>
        <v/>
      </c>
      <c r="I98" s="3">
        <f>IF(E98&gt;0, H98/E98, 0)</f>
        <v/>
      </c>
      <c r="J98">
        <f>IF(E98&gt;0, E98-F98-H98, 0)</f>
        <v/>
      </c>
      <c r="K98" s="3">
        <f>IF(E98&gt;0, J98/E98, 0)</f>
        <v/>
      </c>
      <c r="M98" s="3">
        <f>IF(E98&gt;0, L98/E98, 0)</f>
        <v/>
      </c>
      <c r="N98" s="3" t="n"/>
      <c r="O98">
        <f>IFERROR(INT((A98-2-VLOOKUP(D98,'Flock Reference'!$A:$B,2,FALSE))/7), "")</f>
        <v/>
      </c>
    </row>
    <row r="99">
      <c r="G99" s="3">
        <f>IF(E99&gt;0, F99/E99, 0)</f>
        <v/>
      </c>
      <c r="I99" s="3">
        <f>IF(E99&gt;0, H99/E99, 0)</f>
        <v/>
      </c>
      <c r="J99">
        <f>IF(E99&gt;0, E99-F99-H99, 0)</f>
        <v/>
      </c>
      <c r="K99" s="3">
        <f>IF(E99&gt;0, J99/E99, 0)</f>
        <v/>
      </c>
      <c r="M99" s="3">
        <f>IF(E99&gt;0, L99/E99, 0)</f>
        <v/>
      </c>
      <c r="N99" s="3" t="n"/>
      <c r="O99">
        <f>IFERROR(INT((A99-2-VLOOKUP(D99,'Flock Reference'!$A:$B,2,FALSE))/7), "")</f>
        <v/>
      </c>
    </row>
    <row r="100">
      <c r="G100" s="3">
        <f>IF(E100&gt;0, F100/E100, 0)</f>
        <v/>
      </c>
      <c r="I100" s="3">
        <f>IF(E100&gt;0, H100/E100, 0)</f>
        <v/>
      </c>
      <c r="J100">
        <f>IF(E100&gt;0, E100-F100-H100, 0)</f>
        <v/>
      </c>
      <c r="K100" s="3">
        <f>IF(E100&gt;0, J100/E100, 0)</f>
        <v/>
      </c>
      <c r="M100" s="3">
        <f>IF(E100&gt;0, L100/E100, 0)</f>
        <v/>
      </c>
      <c r="N100" s="3" t="n"/>
      <c r="O100">
        <f>IFERROR(INT((A100-2-VLOOKUP(D100,'Flock Reference'!$A:$B,2,FALSE))/7), "")</f>
        <v/>
      </c>
    </row>
    <row r="101">
      <c r="G101" s="3">
        <f>IF(E101&gt;0, F101/E101, 0)</f>
        <v/>
      </c>
      <c r="I101" s="3">
        <f>IF(E101&gt;0, H101/E101, 0)</f>
        <v/>
      </c>
      <c r="J101">
        <f>IF(E101&gt;0, E101-F101-H101, 0)</f>
        <v/>
      </c>
      <c r="K101" s="3">
        <f>IF(E101&gt;0, J101/E101, 0)</f>
        <v/>
      </c>
      <c r="M101" s="3">
        <f>IF(E101&gt;0, L101/E101, 0)</f>
        <v/>
      </c>
      <c r="N101" s="3" t="n"/>
      <c r="O101">
        <f>IFERROR(INT((A101-2-VLOOKUP(D101,'Flock Reference'!$A:$B,2,FALSE))/7), "")</f>
        <v/>
      </c>
    </row>
    <row r="102">
      <c r="G102" s="3">
        <f>IF(E102&gt;0, F102/E102, 0)</f>
        <v/>
      </c>
      <c r="I102" s="3">
        <f>IF(E102&gt;0, H102/E102, 0)</f>
        <v/>
      </c>
      <c r="J102">
        <f>IF(E102&gt;0, E102-F102-H102, 0)</f>
        <v/>
      </c>
      <c r="K102" s="3">
        <f>IF(E102&gt;0, J102/E102, 0)</f>
        <v/>
      </c>
      <c r="M102" s="3">
        <f>IF(E102&gt;0, L102/E102, 0)</f>
        <v/>
      </c>
      <c r="N102" s="3" t="n"/>
      <c r="O102">
        <f>IFERROR(INT((A102-2-VLOOKUP(D102,'Flock Reference'!$A:$B,2,FALSE))/7), "")</f>
        <v/>
      </c>
    </row>
    <row r="103">
      <c r="G103" s="3">
        <f>IF(E103&gt;0, F103/E103, 0)</f>
        <v/>
      </c>
      <c r="I103" s="3">
        <f>IF(E103&gt;0, H103/E103, 0)</f>
        <v/>
      </c>
      <c r="J103">
        <f>IF(E103&gt;0, E103-F103-H103, 0)</f>
        <v/>
      </c>
      <c r="K103" s="3">
        <f>IF(E103&gt;0, J103/E103, 0)</f>
        <v/>
      </c>
      <c r="M103" s="3">
        <f>IF(E103&gt;0, L103/E103, 0)</f>
        <v/>
      </c>
      <c r="N103" s="3" t="n"/>
      <c r="O103">
        <f>IFERROR(INT((A103-2-VLOOKUP(D103,'Flock Reference'!$A:$B,2,FALSE))/7), "")</f>
        <v/>
      </c>
    </row>
    <row r="104">
      <c r="G104" s="3">
        <f>IF(E104&gt;0, F104/E104, 0)</f>
        <v/>
      </c>
      <c r="I104" s="3">
        <f>IF(E104&gt;0, H104/E104, 0)</f>
        <v/>
      </c>
      <c r="J104">
        <f>IF(E104&gt;0, E104-F104-H104, 0)</f>
        <v/>
      </c>
      <c r="K104" s="3">
        <f>IF(E104&gt;0, J104/E104, 0)</f>
        <v/>
      </c>
      <c r="M104" s="3">
        <f>IF(E104&gt;0, L104/E104, 0)</f>
        <v/>
      </c>
      <c r="N104" s="3" t="n"/>
      <c r="O104">
        <f>IFERROR(INT((A104-2-VLOOKUP(D104,'Flock Reference'!$A:$B,2,FALSE))/7), "")</f>
        <v/>
      </c>
    </row>
    <row r="105">
      <c r="G105" s="3">
        <f>IF(E105&gt;0, F105/E105, 0)</f>
        <v/>
      </c>
      <c r="I105" s="3">
        <f>IF(E105&gt;0, H105/E105, 0)</f>
        <v/>
      </c>
      <c r="J105">
        <f>IF(E105&gt;0, E105-F105-H105, 0)</f>
        <v/>
      </c>
      <c r="K105" s="3">
        <f>IF(E105&gt;0, J105/E105, 0)</f>
        <v/>
      </c>
      <c r="M105" s="3">
        <f>IF(E105&gt;0, L105/E105, 0)</f>
        <v/>
      </c>
      <c r="N105" s="3" t="n"/>
      <c r="O105">
        <f>IFERROR(INT((A105-2-VLOOKUP(D105,'Flock Reference'!$A:$B,2,FALSE))/7), "")</f>
        <v/>
      </c>
    </row>
    <row r="106">
      <c r="G106" s="3">
        <f>IF(E106&gt;0, F106/E106, 0)</f>
        <v/>
      </c>
      <c r="I106" s="3">
        <f>IF(E106&gt;0, H106/E106, 0)</f>
        <v/>
      </c>
      <c r="J106">
        <f>IF(E106&gt;0, E106-F106-H106, 0)</f>
        <v/>
      </c>
      <c r="K106" s="3">
        <f>IF(E106&gt;0, J106/E106, 0)</f>
        <v/>
      </c>
      <c r="M106" s="3">
        <f>IF(E106&gt;0, L106/E106, 0)</f>
        <v/>
      </c>
      <c r="N106" s="3" t="n"/>
      <c r="O106">
        <f>IFERROR(INT((A106-2-VLOOKUP(D106,'Flock Reference'!$A:$B,2,FALSE))/7), "")</f>
        <v/>
      </c>
    </row>
    <row r="107">
      <c r="G107" s="3">
        <f>IF(E107&gt;0, F107/E107, 0)</f>
        <v/>
      </c>
      <c r="I107" s="3">
        <f>IF(E107&gt;0, H107/E107, 0)</f>
        <v/>
      </c>
      <c r="J107">
        <f>IF(E107&gt;0, E107-F107-H107, 0)</f>
        <v/>
      </c>
      <c r="K107" s="3">
        <f>IF(E107&gt;0, J107/E107, 0)</f>
        <v/>
      </c>
      <c r="M107" s="3">
        <f>IF(E107&gt;0, L107/E107, 0)</f>
        <v/>
      </c>
      <c r="N107" s="3" t="n"/>
      <c r="O107">
        <f>IFERROR(INT((A107-2-VLOOKUP(D107,'Flock Reference'!$A:$B,2,FALSE))/7), "")</f>
        <v/>
      </c>
    </row>
    <row r="108">
      <c r="G108" s="3">
        <f>IF(E108&gt;0, F108/E108, 0)</f>
        <v/>
      </c>
      <c r="I108" s="3">
        <f>IF(E108&gt;0, H108/E108, 0)</f>
        <v/>
      </c>
      <c r="J108">
        <f>IF(E108&gt;0, E108-F108-H108, 0)</f>
        <v/>
      </c>
      <c r="K108" s="3">
        <f>IF(E108&gt;0, J108/E108, 0)</f>
        <v/>
      </c>
      <c r="M108" s="3">
        <f>IF(E108&gt;0, L108/E108, 0)</f>
        <v/>
      </c>
      <c r="N108" s="3" t="n"/>
      <c r="O108">
        <f>IFERROR(INT((A108-2-VLOOKUP(D108,'Flock Reference'!$A:$B,2,FALSE))/7), "")</f>
        <v/>
      </c>
    </row>
    <row r="109">
      <c r="G109" s="3">
        <f>IF(E109&gt;0, F109/E109, 0)</f>
        <v/>
      </c>
      <c r="I109" s="3">
        <f>IF(E109&gt;0, H109/E109, 0)</f>
        <v/>
      </c>
      <c r="J109">
        <f>IF(E109&gt;0, E109-F109-H109, 0)</f>
        <v/>
      </c>
      <c r="K109" s="3">
        <f>IF(E109&gt;0, J109/E109, 0)</f>
        <v/>
      </c>
      <c r="M109" s="3">
        <f>IF(E109&gt;0, L109/E109, 0)</f>
        <v/>
      </c>
      <c r="N109" s="3" t="n"/>
      <c r="O109">
        <f>IFERROR(INT((A109-2-VLOOKUP(D109,'Flock Reference'!$A:$B,2,FALSE))/7), "")</f>
        <v/>
      </c>
    </row>
    <row r="110">
      <c r="G110" s="3">
        <f>IF(E110&gt;0, F110/E110, 0)</f>
        <v/>
      </c>
      <c r="I110" s="3">
        <f>IF(E110&gt;0, H110/E110, 0)</f>
        <v/>
      </c>
      <c r="J110">
        <f>IF(E110&gt;0, E110-F110-H110, 0)</f>
        <v/>
      </c>
      <c r="K110" s="3">
        <f>IF(E110&gt;0, J110/E110, 0)</f>
        <v/>
      </c>
      <c r="M110" s="3">
        <f>IF(E110&gt;0, L110/E110, 0)</f>
        <v/>
      </c>
      <c r="N110" s="3" t="n"/>
      <c r="O110">
        <f>IFERROR(INT((A110-2-VLOOKUP(D110,'Flock Reference'!$A:$B,2,FALSE))/7), "")</f>
        <v/>
      </c>
    </row>
    <row r="111">
      <c r="G111" s="3">
        <f>IF(E111&gt;0, F111/E111, 0)</f>
        <v/>
      </c>
      <c r="I111" s="3">
        <f>IF(E111&gt;0, H111/E111, 0)</f>
        <v/>
      </c>
      <c r="J111">
        <f>IF(E111&gt;0, E111-F111-H111, 0)</f>
        <v/>
      </c>
      <c r="K111" s="3">
        <f>IF(E111&gt;0, J111/E111, 0)</f>
        <v/>
      </c>
      <c r="M111" s="3">
        <f>IF(E111&gt;0, L111/E111, 0)</f>
        <v/>
      </c>
      <c r="N111" s="3" t="n"/>
      <c r="O111">
        <f>IFERROR(INT((A111-2-VLOOKUP(D111,'Flock Reference'!$A:$B,2,FALSE))/7), "")</f>
        <v/>
      </c>
    </row>
    <row r="112">
      <c r="G112" s="3">
        <f>IF(E112&gt;0, F112/E112, 0)</f>
        <v/>
      </c>
      <c r="I112" s="3">
        <f>IF(E112&gt;0, H112/E112, 0)</f>
        <v/>
      </c>
      <c r="J112">
        <f>IF(E112&gt;0, E112-F112-H112, 0)</f>
        <v/>
      </c>
      <c r="K112" s="3">
        <f>IF(E112&gt;0, J112/E112, 0)</f>
        <v/>
      </c>
      <c r="M112" s="3">
        <f>IF(E112&gt;0, L112/E112, 0)</f>
        <v/>
      </c>
      <c r="N112" s="3" t="n"/>
      <c r="O112">
        <f>IFERROR(INT((A112-2-VLOOKUP(D112,'Flock Reference'!$A:$B,2,FALSE))/7), "")</f>
        <v/>
      </c>
    </row>
    <row r="113">
      <c r="G113" s="3">
        <f>IF(E113&gt;0, F113/E113, 0)</f>
        <v/>
      </c>
      <c r="I113" s="3">
        <f>IF(E113&gt;0, H113/E113, 0)</f>
        <v/>
      </c>
      <c r="J113">
        <f>IF(E113&gt;0, E113-F113-H113, 0)</f>
        <v/>
      </c>
      <c r="K113" s="3">
        <f>IF(E113&gt;0, J113/E113, 0)</f>
        <v/>
      </c>
      <c r="M113" s="3">
        <f>IF(E113&gt;0, L113/E113, 0)</f>
        <v/>
      </c>
      <c r="N113" s="3" t="n"/>
      <c r="O113">
        <f>IFERROR(INT((A113-2-VLOOKUP(D113,'Flock Reference'!$A:$B,2,FALSE))/7), "")</f>
        <v/>
      </c>
    </row>
    <row r="114">
      <c r="G114" s="3">
        <f>IF(E114&gt;0, F114/E114, 0)</f>
        <v/>
      </c>
      <c r="I114" s="3">
        <f>IF(E114&gt;0, H114/E114, 0)</f>
        <v/>
      </c>
      <c r="J114">
        <f>IF(E114&gt;0, E114-F114-H114, 0)</f>
        <v/>
      </c>
      <c r="K114" s="3">
        <f>IF(E114&gt;0, J114/E114, 0)</f>
        <v/>
      </c>
      <c r="M114" s="3">
        <f>IF(E114&gt;0, L114/E114, 0)</f>
        <v/>
      </c>
      <c r="N114" s="3" t="n"/>
      <c r="O114">
        <f>IFERROR(INT((A114-2-VLOOKUP(D114,'Flock Reference'!$A:$B,2,FALSE))/7), "")</f>
        <v/>
      </c>
    </row>
    <row r="115">
      <c r="G115" s="3">
        <f>IF(E115&gt;0, F115/E115, 0)</f>
        <v/>
      </c>
      <c r="I115" s="3">
        <f>IF(E115&gt;0, H115/E115, 0)</f>
        <v/>
      </c>
      <c r="J115">
        <f>IF(E115&gt;0, E115-F115-H115, 0)</f>
        <v/>
      </c>
      <c r="K115" s="3">
        <f>IF(E115&gt;0, J115/E115, 0)</f>
        <v/>
      </c>
      <c r="M115" s="3">
        <f>IF(E115&gt;0, L115/E115, 0)</f>
        <v/>
      </c>
      <c r="N115" s="3" t="n"/>
      <c r="O115">
        <f>IFERROR(INT((A115-2-VLOOKUP(D115,'Flock Reference'!$A:$B,2,FALSE))/7), "")</f>
        <v/>
      </c>
    </row>
    <row r="116">
      <c r="G116" s="3">
        <f>IF(E116&gt;0, F116/E116, 0)</f>
        <v/>
      </c>
      <c r="I116" s="3">
        <f>IF(E116&gt;0, H116/E116, 0)</f>
        <v/>
      </c>
      <c r="J116">
        <f>IF(E116&gt;0, E116-F116-H116, 0)</f>
        <v/>
      </c>
      <c r="K116" s="3">
        <f>IF(E116&gt;0, J116/E116, 0)</f>
        <v/>
      </c>
      <c r="M116" s="3">
        <f>IF(E116&gt;0, L116/E116, 0)</f>
        <v/>
      </c>
      <c r="N116" s="3" t="n"/>
      <c r="O116">
        <f>IFERROR(INT((A116-2-VLOOKUP(D116,'Flock Reference'!$A:$B,2,FALSE))/7), "")</f>
        <v/>
      </c>
    </row>
    <row r="117">
      <c r="G117" s="3">
        <f>IF(E117&gt;0, F117/E117, 0)</f>
        <v/>
      </c>
      <c r="I117" s="3">
        <f>IF(E117&gt;0, H117/E117, 0)</f>
        <v/>
      </c>
      <c r="J117">
        <f>IF(E117&gt;0, E117-F117-H117, 0)</f>
        <v/>
      </c>
      <c r="K117" s="3">
        <f>IF(E117&gt;0, J117/E117, 0)</f>
        <v/>
      </c>
      <c r="M117" s="3">
        <f>IF(E117&gt;0, L117/E117, 0)</f>
        <v/>
      </c>
      <c r="N117" s="3" t="n"/>
      <c r="O117">
        <f>IFERROR(INT((A117-2-VLOOKUP(D117,'Flock Reference'!$A:$B,2,FALSE))/7), "")</f>
        <v/>
      </c>
    </row>
    <row r="118">
      <c r="G118" s="3">
        <f>IF(E118&gt;0, F118/E118, 0)</f>
        <v/>
      </c>
      <c r="I118" s="3">
        <f>IF(E118&gt;0, H118/E118, 0)</f>
        <v/>
      </c>
      <c r="J118">
        <f>IF(E118&gt;0, E118-F118-H118, 0)</f>
        <v/>
      </c>
      <c r="K118" s="3">
        <f>IF(E118&gt;0, J118/E118, 0)</f>
        <v/>
      </c>
      <c r="M118" s="3">
        <f>IF(E118&gt;0, L118/E118, 0)</f>
        <v/>
      </c>
      <c r="N118" s="3" t="n"/>
      <c r="O118">
        <f>IFERROR(INT((A118-2-VLOOKUP(D118,'Flock Reference'!$A:$B,2,FALSE))/7), "")</f>
        <v/>
      </c>
    </row>
    <row r="119">
      <c r="G119" s="3">
        <f>IF(E119&gt;0, F119/E119, 0)</f>
        <v/>
      </c>
      <c r="I119" s="3">
        <f>IF(E119&gt;0, H119/E119, 0)</f>
        <v/>
      </c>
      <c r="J119">
        <f>IF(E119&gt;0, E119-F119-H119, 0)</f>
        <v/>
      </c>
      <c r="K119" s="3">
        <f>IF(E119&gt;0, J119/E119, 0)</f>
        <v/>
      </c>
      <c r="M119" s="3">
        <f>IF(E119&gt;0, L119/E119, 0)</f>
        <v/>
      </c>
      <c r="N119" s="3" t="n"/>
      <c r="O119">
        <f>IFERROR(INT((A119-2-VLOOKUP(D119,'Flock Reference'!$A:$B,2,FALSE))/7), "")</f>
        <v/>
      </c>
    </row>
    <row r="120">
      <c r="G120" s="3">
        <f>IF(E120&gt;0, F120/E120, 0)</f>
        <v/>
      </c>
      <c r="I120" s="3">
        <f>IF(E120&gt;0, H120/E120, 0)</f>
        <v/>
      </c>
      <c r="J120">
        <f>IF(E120&gt;0, E120-F120-H120, 0)</f>
        <v/>
      </c>
      <c r="K120" s="3">
        <f>IF(E120&gt;0, J120/E120, 0)</f>
        <v/>
      </c>
      <c r="M120" s="3">
        <f>IF(E120&gt;0, L120/E120, 0)</f>
        <v/>
      </c>
      <c r="N120" s="3" t="n"/>
      <c r="O120">
        <f>IFERROR(INT((A120-2-VLOOKUP(D120,'Flock Reference'!$A:$B,2,FALSE))/7), "")</f>
        <v/>
      </c>
    </row>
    <row r="121">
      <c r="G121" s="3">
        <f>IF(E121&gt;0, F121/E121, 0)</f>
        <v/>
      </c>
      <c r="I121" s="3">
        <f>IF(E121&gt;0, H121/E121, 0)</f>
        <v/>
      </c>
      <c r="J121">
        <f>IF(E121&gt;0, E121-F121-H121, 0)</f>
        <v/>
      </c>
      <c r="K121" s="3">
        <f>IF(E121&gt;0, J121/E121, 0)</f>
        <v/>
      </c>
      <c r="M121" s="3">
        <f>IF(E121&gt;0, L121/E121, 0)</f>
        <v/>
      </c>
      <c r="N121" s="3" t="n"/>
      <c r="O121">
        <f>IFERROR(INT((A121-2-VLOOKUP(D121,'Flock Reference'!$A:$B,2,FALSE))/7), "")</f>
        <v/>
      </c>
    </row>
    <row r="122">
      <c r="G122" s="3">
        <f>IF(E122&gt;0, F122/E122, 0)</f>
        <v/>
      </c>
      <c r="I122" s="3">
        <f>IF(E122&gt;0, H122/E122, 0)</f>
        <v/>
      </c>
      <c r="J122">
        <f>IF(E122&gt;0, E122-F122-H122, 0)</f>
        <v/>
      </c>
      <c r="K122" s="3">
        <f>IF(E122&gt;0, J122/E122, 0)</f>
        <v/>
      </c>
      <c r="M122" s="3">
        <f>IF(E122&gt;0, L122/E122, 0)</f>
        <v/>
      </c>
      <c r="N122" s="3" t="n"/>
      <c r="O122">
        <f>IFERROR(INT((A122-2-VLOOKUP(D122,'Flock Reference'!$A:$B,2,FALSE))/7), "")</f>
        <v/>
      </c>
    </row>
    <row r="123">
      <c r="G123" s="3">
        <f>IF(E123&gt;0, F123/E123, 0)</f>
        <v/>
      </c>
      <c r="I123" s="3">
        <f>IF(E123&gt;0, H123/E123, 0)</f>
        <v/>
      </c>
      <c r="J123">
        <f>IF(E123&gt;0, E123-F123-H123, 0)</f>
        <v/>
      </c>
      <c r="K123" s="3">
        <f>IF(E123&gt;0, J123/E123, 0)</f>
        <v/>
      </c>
      <c r="M123" s="3">
        <f>IF(E123&gt;0, L123/E123, 0)</f>
        <v/>
      </c>
      <c r="N123" s="3" t="n"/>
      <c r="O123">
        <f>IFERROR(INT((A123-2-VLOOKUP(D123,'Flock Reference'!$A:$B,2,FALSE))/7), "")</f>
        <v/>
      </c>
    </row>
    <row r="124">
      <c r="G124" s="3">
        <f>IF(E124&gt;0, F124/E124, 0)</f>
        <v/>
      </c>
      <c r="I124" s="3">
        <f>IF(E124&gt;0, H124/E124, 0)</f>
        <v/>
      </c>
      <c r="J124">
        <f>IF(E124&gt;0, E124-F124-H124, 0)</f>
        <v/>
      </c>
      <c r="K124" s="3">
        <f>IF(E124&gt;0, J124/E124, 0)</f>
        <v/>
      </c>
      <c r="M124" s="3">
        <f>IF(E124&gt;0, L124/E124, 0)</f>
        <v/>
      </c>
      <c r="N124" s="3" t="n"/>
      <c r="O124">
        <f>IFERROR(INT((A124-2-VLOOKUP(D124,'Flock Reference'!$A:$B,2,FALSE))/7), "")</f>
        <v/>
      </c>
    </row>
    <row r="125">
      <c r="G125" s="3">
        <f>IF(E125&gt;0, F125/E125, 0)</f>
        <v/>
      </c>
      <c r="I125" s="3">
        <f>IF(E125&gt;0, H125/E125, 0)</f>
        <v/>
      </c>
      <c r="J125">
        <f>IF(E125&gt;0, E125-F125-H125, 0)</f>
        <v/>
      </c>
      <c r="K125" s="3">
        <f>IF(E125&gt;0, J125/E125, 0)</f>
        <v/>
      </c>
      <c r="M125" s="3">
        <f>IF(E125&gt;0, L125/E125, 0)</f>
        <v/>
      </c>
      <c r="N125" s="3" t="n"/>
      <c r="O125">
        <f>IFERROR(INT((A125-2-VLOOKUP(D125,'Flock Reference'!$A:$B,2,FALSE))/7), "")</f>
        <v/>
      </c>
    </row>
    <row r="126">
      <c r="G126" s="3">
        <f>IF(E126&gt;0, F126/E126, 0)</f>
        <v/>
      </c>
      <c r="I126" s="3">
        <f>IF(E126&gt;0, H126/E126, 0)</f>
        <v/>
      </c>
      <c r="J126">
        <f>IF(E126&gt;0, E126-F126-H126, 0)</f>
        <v/>
      </c>
      <c r="K126" s="3">
        <f>IF(E126&gt;0, J126/E126, 0)</f>
        <v/>
      </c>
      <c r="M126" s="3">
        <f>IF(E126&gt;0, L126/E126, 0)</f>
        <v/>
      </c>
      <c r="N126" s="3" t="n"/>
      <c r="O126">
        <f>IFERROR(INT((A126-2-VLOOKUP(D126,'Flock Reference'!$A:$B,2,FALSE))/7), "")</f>
        <v/>
      </c>
    </row>
    <row r="127">
      <c r="G127" s="3">
        <f>IF(E127&gt;0, F127/E127, 0)</f>
        <v/>
      </c>
      <c r="I127" s="3">
        <f>IF(E127&gt;0, H127/E127, 0)</f>
        <v/>
      </c>
      <c r="J127">
        <f>IF(E127&gt;0, E127-F127-H127, 0)</f>
        <v/>
      </c>
      <c r="K127" s="3">
        <f>IF(E127&gt;0, J127/E127, 0)</f>
        <v/>
      </c>
      <c r="M127" s="3">
        <f>IF(E127&gt;0, L127/E127, 0)</f>
        <v/>
      </c>
      <c r="N127" s="3" t="n"/>
      <c r="O127">
        <f>IFERROR(INT((A127-2-VLOOKUP(D127,'Flock Reference'!$A:$B,2,FALSE))/7), "")</f>
        <v/>
      </c>
    </row>
    <row r="128">
      <c r="G128" s="3">
        <f>IF(E128&gt;0, F128/E128, 0)</f>
        <v/>
      </c>
      <c r="I128" s="3">
        <f>IF(E128&gt;0, H128/E128, 0)</f>
        <v/>
      </c>
      <c r="J128">
        <f>IF(E128&gt;0, E128-F128-H128, 0)</f>
        <v/>
      </c>
      <c r="K128" s="3">
        <f>IF(E128&gt;0, J128/E128, 0)</f>
        <v/>
      </c>
      <c r="M128" s="3">
        <f>IF(E128&gt;0, L128/E128, 0)</f>
        <v/>
      </c>
      <c r="N128" s="3" t="n"/>
      <c r="O128">
        <f>IFERROR(INT((A128-2-VLOOKUP(D128,'Flock Reference'!$A:$B,2,FALSE))/7), "")</f>
        <v/>
      </c>
    </row>
    <row r="129">
      <c r="G129" s="3">
        <f>IF(E129&gt;0, F129/E129, 0)</f>
        <v/>
      </c>
      <c r="I129" s="3">
        <f>IF(E129&gt;0, H129/E129, 0)</f>
        <v/>
      </c>
      <c r="J129">
        <f>IF(E129&gt;0, E129-F129-H129, 0)</f>
        <v/>
      </c>
      <c r="K129" s="3">
        <f>IF(E129&gt;0, J129/E129, 0)</f>
        <v/>
      </c>
      <c r="M129" s="3">
        <f>IF(E129&gt;0, L129/E129, 0)</f>
        <v/>
      </c>
      <c r="N129" s="3" t="n"/>
      <c r="O129">
        <f>IFERROR(INT((A129-2-VLOOKUP(D129,'Flock Reference'!$A:$B,2,FALSE))/7), "")</f>
        <v/>
      </c>
    </row>
    <row r="130">
      <c r="G130" s="3">
        <f>IF(E130&gt;0, F130/E130, 0)</f>
        <v/>
      </c>
      <c r="I130" s="3">
        <f>IF(E130&gt;0, H130/E130, 0)</f>
        <v/>
      </c>
      <c r="J130">
        <f>IF(E130&gt;0, E130-F130-H130, 0)</f>
        <v/>
      </c>
      <c r="K130" s="3">
        <f>IF(E130&gt;0, J130/E130, 0)</f>
        <v/>
      </c>
      <c r="M130" s="3">
        <f>IF(E130&gt;0, L130/E130, 0)</f>
        <v/>
      </c>
      <c r="N130" s="3" t="n"/>
      <c r="O130">
        <f>IFERROR(INT((A130-2-VLOOKUP(D130,'Flock Reference'!$A:$B,2,FALSE))/7), "")</f>
        <v/>
      </c>
    </row>
    <row r="131">
      <c r="G131" s="3">
        <f>IF(E131&gt;0, F131/E131, 0)</f>
        <v/>
      </c>
      <c r="I131" s="3">
        <f>IF(E131&gt;0, H131/E131, 0)</f>
        <v/>
      </c>
      <c r="J131">
        <f>IF(E131&gt;0, E131-F131-H131, 0)</f>
        <v/>
      </c>
      <c r="K131" s="3">
        <f>IF(E131&gt;0, J131/E131, 0)</f>
        <v/>
      </c>
      <c r="M131" s="3">
        <f>IF(E131&gt;0, L131/E131, 0)</f>
        <v/>
      </c>
      <c r="N131" s="3" t="n"/>
      <c r="O131">
        <f>IFERROR(INT((A131-2-VLOOKUP(D131,'Flock Reference'!$A:$B,2,FALSE))/7), "")</f>
        <v/>
      </c>
    </row>
    <row r="132">
      <c r="G132" s="3">
        <f>IF(E132&gt;0, F132/E132, 0)</f>
        <v/>
      </c>
      <c r="I132" s="3">
        <f>IF(E132&gt;0, H132/E132, 0)</f>
        <v/>
      </c>
      <c r="J132">
        <f>IF(E132&gt;0, E132-F132-H132, 0)</f>
        <v/>
      </c>
      <c r="K132" s="3">
        <f>IF(E132&gt;0, J132/E132, 0)</f>
        <v/>
      </c>
      <c r="M132" s="3">
        <f>IF(E132&gt;0, L132/E132, 0)</f>
        <v/>
      </c>
      <c r="N132" s="3" t="n"/>
      <c r="O132">
        <f>IFERROR(INT((A132-2-VLOOKUP(D132,'Flock Reference'!$A:$B,2,FALSE))/7), "")</f>
        <v/>
      </c>
    </row>
    <row r="133">
      <c r="G133" s="3">
        <f>IF(E133&gt;0, F133/E133, 0)</f>
        <v/>
      </c>
      <c r="I133" s="3">
        <f>IF(E133&gt;0, H133/E133, 0)</f>
        <v/>
      </c>
      <c r="J133">
        <f>IF(E133&gt;0, E133-F133-H133, 0)</f>
        <v/>
      </c>
      <c r="K133" s="3">
        <f>IF(E133&gt;0, J133/E133, 0)</f>
        <v/>
      </c>
      <c r="M133" s="3">
        <f>IF(E133&gt;0, L133/E133, 0)</f>
        <v/>
      </c>
      <c r="N133" s="3" t="n"/>
      <c r="O133">
        <f>IFERROR(INT((A133-2-VLOOKUP(D133,'Flock Reference'!$A:$B,2,FALSE))/7), "")</f>
        <v/>
      </c>
    </row>
    <row r="134">
      <c r="G134" s="3">
        <f>IF(E134&gt;0, F134/E134, 0)</f>
        <v/>
      </c>
      <c r="I134" s="3">
        <f>IF(E134&gt;0, H134/E134, 0)</f>
        <v/>
      </c>
      <c r="J134">
        <f>IF(E134&gt;0, E134-F134-H134, 0)</f>
        <v/>
      </c>
      <c r="K134" s="3">
        <f>IF(E134&gt;0, J134/E134, 0)</f>
        <v/>
      </c>
      <c r="M134" s="3">
        <f>IF(E134&gt;0, L134/E134, 0)</f>
        <v/>
      </c>
      <c r="N134" s="3" t="n"/>
      <c r="O134">
        <f>IFERROR(INT((A134-2-VLOOKUP(D134,'Flock Reference'!$A:$B,2,FALSE))/7), "")</f>
        <v/>
      </c>
    </row>
    <row r="135">
      <c r="G135" s="3">
        <f>IF(E135&gt;0, F135/E135, 0)</f>
        <v/>
      </c>
      <c r="I135" s="3">
        <f>IF(E135&gt;0, H135/E135, 0)</f>
        <v/>
      </c>
      <c r="J135">
        <f>IF(E135&gt;0, E135-F135-H135, 0)</f>
        <v/>
      </c>
      <c r="K135" s="3">
        <f>IF(E135&gt;0, J135/E135, 0)</f>
        <v/>
      </c>
      <c r="M135" s="3">
        <f>IF(E135&gt;0, L135/E135, 0)</f>
        <v/>
      </c>
      <c r="N135" s="3" t="n"/>
      <c r="O135">
        <f>IFERROR(INT((A135-2-VLOOKUP(D135,'Flock Reference'!$A:$B,2,FALSE))/7), "")</f>
        <v/>
      </c>
    </row>
    <row r="136">
      <c r="G136" s="3">
        <f>IF(E136&gt;0, F136/E136, 0)</f>
        <v/>
      </c>
      <c r="I136" s="3">
        <f>IF(E136&gt;0, H136/E136, 0)</f>
        <v/>
      </c>
      <c r="J136">
        <f>IF(E136&gt;0, E136-F136-H136, 0)</f>
        <v/>
      </c>
      <c r="K136" s="3">
        <f>IF(E136&gt;0, J136/E136, 0)</f>
        <v/>
      </c>
      <c r="M136" s="3">
        <f>IF(E136&gt;0, L136/E136, 0)</f>
        <v/>
      </c>
      <c r="N136" s="3" t="n"/>
      <c r="O136">
        <f>IFERROR(INT((A136-2-VLOOKUP(D136,'Flock Reference'!$A:$B,2,FALSE))/7), "")</f>
        <v/>
      </c>
    </row>
    <row r="137">
      <c r="G137" s="3">
        <f>IF(E137&gt;0, F137/E137, 0)</f>
        <v/>
      </c>
      <c r="I137" s="3">
        <f>IF(E137&gt;0, H137/E137, 0)</f>
        <v/>
      </c>
      <c r="J137">
        <f>IF(E137&gt;0, E137-F137-H137, 0)</f>
        <v/>
      </c>
      <c r="K137" s="3">
        <f>IF(E137&gt;0, J137/E137, 0)</f>
        <v/>
      </c>
      <c r="M137" s="3">
        <f>IF(E137&gt;0, L137/E137, 0)</f>
        <v/>
      </c>
      <c r="N137" s="3" t="n"/>
      <c r="O137">
        <f>IFERROR(INT((A137-2-VLOOKUP(D137,'Flock Reference'!$A:$B,2,FALSE))/7), "")</f>
        <v/>
      </c>
    </row>
    <row r="138">
      <c r="G138" s="3">
        <f>IF(E138&gt;0, F138/E138, 0)</f>
        <v/>
      </c>
      <c r="I138" s="3">
        <f>IF(E138&gt;0, H138/E138, 0)</f>
        <v/>
      </c>
      <c r="J138">
        <f>IF(E138&gt;0, E138-F138-H138, 0)</f>
        <v/>
      </c>
      <c r="K138" s="3">
        <f>IF(E138&gt;0, J138/E138, 0)</f>
        <v/>
      </c>
      <c r="M138" s="3">
        <f>IF(E138&gt;0, L138/E138, 0)</f>
        <v/>
      </c>
      <c r="N138" s="3" t="n"/>
      <c r="O138">
        <f>IFERROR(INT((A138-2-VLOOKUP(D138,'Flock Reference'!$A:$B,2,FALSE))/7), "")</f>
        <v/>
      </c>
    </row>
    <row r="139">
      <c r="G139" s="3">
        <f>IF(E139&gt;0, F139/E139, 0)</f>
        <v/>
      </c>
      <c r="I139" s="3">
        <f>IF(E139&gt;0, H139/E139, 0)</f>
        <v/>
      </c>
      <c r="J139">
        <f>IF(E139&gt;0, E139-F139-H139, 0)</f>
        <v/>
      </c>
      <c r="K139" s="3">
        <f>IF(E139&gt;0, J139/E139, 0)</f>
        <v/>
      </c>
      <c r="M139" s="3">
        <f>IF(E139&gt;0, L139/E139, 0)</f>
        <v/>
      </c>
      <c r="N139" s="3" t="n"/>
      <c r="O139">
        <f>IFERROR(INT((A139-2-VLOOKUP(D139,'Flock Reference'!$A:$B,2,FALSE))/7), "")</f>
        <v/>
      </c>
    </row>
    <row r="140">
      <c r="G140" s="3">
        <f>IF(E140&gt;0, F140/E140, 0)</f>
        <v/>
      </c>
      <c r="I140" s="3">
        <f>IF(E140&gt;0, H140/E140, 0)</f>
        <v/>
      </c>
      <c r="J140">
        <f>IF(E140&gt;0, E140-F140-H140, 0)</f>
        <v/>
      </c>
      <c r="K140" s="3">
        <f>IF(E140&gt;0, J140/E140, 0)</f>
        <v/>
      </c>
      <c r="M140" s="3">
        <f>IF(E140&gt;0, L140/E140, 0)</f>
        <v/>
      </c>
      <c r="N140" s="3" t="n"/>
      <c r="O140">
        <f>IFERROR(INT((A140-2-VLOOKUP(D140,'Flock Reference'!$A:$B,2,FALSE))/7), "")</f>
        <v/>
      </c>
    </row>
    <row r="141">
      <c r="G141" s="3">
        <f>IF(E141&gt;0, F141/E141, 0)</f>
        <v/>
      </c>
      <c r="I141" s="3">
        <f>IF(E141&gt;0, H141/E141, 0)</f>
        <v/>
      </c>
      <c r="J141">
        <f>IF(E141&gt;0, E141-F141-H141, 0)</f>
        <v/>
      </c>
      <c r="K141" s="3">
        <f>IF(E141&gt;0, J141/E141, 0)</f>
        <v/>
      </c>
      <c r="M141" s="3">
        <f>IF(E141&gt;0, L141/E141, 0)</f>
        <v/>
      </c>
      <c r="N141" s="3" t="n"/>
      <c r="O141">
        <f>IFERROR(INT((A141-2-VLOOKUP(D141,'Flock Reference'!$A:$B,2,FALSE))/7), "")</f>
        <v/>
      </c>
    </row>
    <row r="142">
      <c r="G142" s="3">
        <f>IF(E142&gt;0, F142/E142, 0)</f>
        <v/>
      </c>
      <c r="I142" s="3">
        <f>IF(E142&gt;0, H142/E142, 0)</f>
        <v/>
      </c>
      <c r="J142">
        <f>IF(E142&gt;0, E142-F142-H142, 0)</f>
        <v/>
      </c>
      <c r="K142" s="3">
        <f>IF(E142&gt;0, J142/E142, 0)</f>
        <v/>
      </c>
      <c r="M142" s="3">
        <f>IF(E142&gt;0, L142/E142, 0)</f>
        <v/>
      </c>
      <c r="N142" s="3" t="n"/>
      <c r="O142">
        <f>IFERROR(INT((A142-2-VLOOKUP(D142,'Flock Reference'!$A:$B,2,FALSE))/7), "")</f>
        <v/>
      </c>
    </row>
    <row r="143">
      <c r="G143" s="3">
        <f>IF(E143&gt;0, F143/E143, 0)</f>
        <v/>
      </c>
      <c r="I143" s="3">
        <f>IF(E143&gt;0, H143/E143, 0)</f>
        <v/>
      </c>
      <c r="J143">
        <f>IF(E143&gt;0, E143-F143-H143, 0)</f>
        <v/>
      </c>
      <c r="K143" s="3">
        <f>IF(E143&gt;0, J143/E143, 0)</f>
        <v/>
      </c>
      <c r="M143" s="3">
        <f>IF(E143&gt;0, L143/E143, 0)</f>
        <v/>
      </c>
      <c r="N143" s="3" t="n"/>
      <c r="O143">
        <f>IFERROR(INT((A143-2-VLOOKUP(D143,'Flock Reference'!$A:$B,2,FALSE))/7), "")</f>
        <v/>
      </c>
    </row>
    <row r="144">
      <c r="G144" s="3">
        <f>IF(E144&gt;0, F144/E144, 0)</f>
        <v/>
      </c>
      <c r="I144" s="3">
        <f>IF(E144&gt;0, H144/E144, 0)</f>
        <v/>
      </c>
      <c r="J144">
        <f>IF(E144&gt;0, E144-F144-H144, 0)</f>
        <v/>
      </c>
      <c r="K144" s="3">
        <f>IF(E144&gt;0, J144/E144, 0)</f>
        <v/>
      </c>
      <c r="M144" s="3">
        <f>IF(E144&gt;0, L144/E144, 0)</f>
        <v/>
      </c>
      <c r="N144" s="3" t="n"/>
      <c r="O144">
        <f>IFERROR(INT((A144-2-VLOOKUP(D144,'Flock Reference'!$A:$B,2,FALSE))/7), "")</f>
        <v/>
      </c>
    </row>
    <row r="145">
      <c r="G145" s="3">
        <f>IF(E145&gt;0, F145/E145, 0)</f>
        <v/>
      </c>
      <c r="I145" s="3">
        <f>IF(E145&gt;0, H145/E145, 0)</f>
        <v/>
      </c>
      <c r="J145">
        <f>IF(E145&gt;0, E145-F145-H145, 0)</f>
        <v/>
      </c>
      <c r="K145" s="3">
        <f>IF(E145&gt;0, J145/E145, 0)</f>
        <v/>
      </c>
      <c r="M145" s="3">
        <f>IF(E145&gt;0, L145/E145, 0)</f>
        <v/>
      </c>
      <c r="N145" s="3" t="n"/>
      <c r="O145">
        <f>IFERROR(INT((A145-2-VLOOKUP(D145,'Flock Reference'!$A:$B,2,FALSE))/7), "")</f>
        <v/>
      </c>
    </row>
    <row r="146">
      <c r="G146" s="3">
        <f>IF(E146&gt;0, F146/E146, 0)</f>
        <v/>
      </c>
      <c r="I146" s="3">
        <f>IF(E146&gt;0, H146/E146, 0)</f>
        <v/>
      </c>
      <c r="J146">
        <f>IF(E146&gt;0, E146-F146-H146, 0)</f>
        <v/>
      </c>
      <c r="K146" s="3">
        <f>IF(E146&gt;0, J146/E146, 0)</f>
        <v/>
      </c>
      <c r="M146" s="3">
        <f>IF(E146&gt;0, L146/E146, 0)</f>
        <v/>
      </c>
      <c r="N146" s="3" t="n"/>
      <c r="O146">
        <f>IFERROR(INT((A146-2-VLOOKUP(D146,'Flock Reference'!$A:$B,2,FALSE))/7), "")</f>
        <v/>
      </c>
    </row>
    <row r="147">
      <c r="G147" s="3">
        <f>IF(E147&gt;0, F147/E147, 0)</f>
        <v/>
      </c>
      <c r="I147" s="3">
        <f>IF(E147&gt;0, H147/E147, 0)</f>
        <v/>
      </c>
      <c r="J147">
        <f>IF(E147&gt;0, E147-F147-H147, 0)</f>
        <v/>
      </c>
      <c r="K147" s="3">
        <f>IF(E147&gt;0, J147/E147, 0)</f>
        <v/>
      </c>
      <c r="M147" s="3">
        <f>IF(E147&gt;0, L147/E147, 0)</f>
        <v/>
      </c>
      <c r="N147" s="3" t="n"/>
      <c r="O147">
        <f>IFERROR(INT((A147-2-VLOOKUP(D147,'Flock Reference'!$A:$B,2,FALSE))/7), "")</f>
        <v/>
      </c>
    </row>
    <row r="148">
      <c r="G148" s="3">
        <f>IF(E148&gt;0, F148/E148, 0)</f>
        <v/>
      </c>
      <c r="I148" s="3">
        <f>IF(E148&gt;0, H148/E148, 0)</f>
        <v/>
      </c>
      <c r="J148">
        <f>IF(E148&gt;0, E148-F148-H148, 0)</f>
        <v/>
      </c>
      <c r="K148" s="3">
        <f>IF(E148&gt;0, J148/E148, 0)</f>
        <v/>
      </c>
      <c r="M148" s="3">
        <f>IF(E148&gt;0, L148/E148, 0)</f>
        <v/>
      </c>
      <c r="N148" s="3" t="n"/>
      <c r="O148">
        <f>IFERROR(INT((A148-2-VLOOKUP(D148,'Flock Reference'!$A:$B,2,FALSE))/7), "")</f>
        <v/>
      </c>
    </row>
    <row r="149">
      <c r="G149" s="3">
        <f>IF(E149&gt;0, F149/E149, 0)</f>
        <v/>
      </c>
      <c r="I149" s="3">
        <f>IF(E149&gt;0, H149/E149, 0)</f>
        <v/>
      </c>
      <c r="J149">
        <f>IF(E149&gt;0, E149-F149-H149, 0)</f>
        <v/>
      </c>
      <c r="K149" s="3">
        <f>IF(E149&gt;0, J149/E149, 0)</f>
        <v/>
      </c>
      <c r="M149" s="3">
        <f>IF(E149&gt;0, L149/E149, 0)</f>
        <v/>
      </c>
      <c r="N149" s="3" t="n"/>
      <c r="O149">
        <f>IFERROR(INT((A149-2-VLOOKUP(D149,'Flock Reference'!$A:$B,2,FALSE))/7), "")</f>
        <v/>
      </c>
    </row>
    <row r="150">
      <c r="G150" s="3">
        <f>IF(E150&gt;0, F150/E150, 0)</f>
        <v/>
      </c>
      <c r="I150" s="3">
        <f>IF(E150&gt;0, H150/E150, 0)</f>
        <v/>
      </c>
      <c r="J150">
        <f>IF(E150&gt;0, E150-F150-H150, 0)</f>
        <v/>
      </c>
      <c r="K150" s="3">
        <f>IF(E150&gt;0, J150/E150, 0)</f>
        <v/>
      </c>
      <c r="M150" s="3">
        <f>IF(E150&gt;0, L150/E150, 0)</f>
        <v/>
      </c>
      <c r="N150" s="3" t="n"/>
      <c r="O150">
        <f>IFERROR(INT((A150-2-VLOOKUP(D150,'Flock Reference'!$A:$B,2,FALSE))/7), "")</f>
        <v/>
      </c>
    </row>
    <row r="151">
      <c r="G151" s="3">
        <f>IF(E151&gt;0, F151/E151, 0)</f>
        <v/>
      </c>
      <c r="I151" s="3">
        <f>IF(E151&gt;0, H151/E151, 0)</f>
        <v/>
      </c>
      <c r="J151">
        <f>IF(E151&gt;0, E151-F151-H151, 0)</f>
        <v/>
      </c>
      <c r="K151" s="3">
        <f>IF(E151&gt;0, J151/E151, 0)</f>
        <v/>
      </c>
      <c r="M151" s="3">
        <f>IF(E151&gt;0, L151/E151, 0)</f>
        <v/>
      </c>
      <c r="N151" s="3" t="n"/>
      <c r="O151">
        <f>IFERROR(INT((A151-2-VLOOKUP(D151,'Flock Reference'!$A:$B,2,FALSE))/7), "")</f>
        <v/>
      </c>
    </row>
    <row r="152">
      <c r="G152" s="3">
        <f>IF(E152&gt;0, F152/E152, 0)</f>
        <v/>
      </c>
      <c r="I152" s="3">
        <f>IF(E152&gt;0, H152/E152, 0)</f>
        <v/>
      </c>
      <c r="J152">
        <f>IF(E152&gt;0, E152-F152-H152, 0)</f>
        <v/>
      </c>
      <c r="K152" s="3">
        <f>IF(E152&gt;0, J152/E152, 0)</f>
        <v/>
      </c>
      <c r="M152" s="3">
        <f>IF(E152&gt;0, L152/E152, 0)</f>
        <v/>
      </c>
      <c r="N152" s="3" t="n"/>
      <c r="O152">
        <f>IFERROR(INT((A152-2-VLOOKUP(D152,'Flock Reference'!$A:$B,2,FALSE))/7), "")</f>
        <v/>
      </c>
    </row>
    <row r="153">
      <c r="G153" s="3">
        <f>IF(E153&gt;0, F153/E153, 0)</f>
        <v/>
      </c>
      <c r="I153" s="3">
        <f>IF(E153&gt;0, H153/E153, 0)</f>
        <v/>
      </c>
      <c r="J153">
        <f>IF(E153&gt;0, E153-F153-H153, 0)</f>
        <v/>
      </c>
      <c r="K153" s="3">
        <f>IF(E153&gt;0, J153/E153, 0)</f>
        <v/>
      </c>
      <c r="M153" s="3">
        <f>IF(E153&gt;0, L153/E153, 0)</f>
        <v/>
      </c>
      <c r="N153" s="3" t="n"/>
      <c r="O153">
        <f>IFERROR(INT((A153-2-VLOOKUP(D153,'Flock Reference'!$A:$B,2,FALSE))/7), "")</f>
        <v/>
      </c>
    </row>
    <row r="154">
      <c r="G154" s="3">
        <f>IF(E154&gt;0, F154/E154, 0)</f>
        <v/>
      </c>
      <c r="I154" s="3">
        <f>IF(E154&gt;0, H154/E154, 0)</f>
        <v/>
      </c>
      <c r="J154">
        <f>IF(E154&gt;0, E154-F154-H154, 0)</f>
        <v/>
      </c>
      <c r="K154" s="3">
        <f>IF(E154&gt;0, J154/E154, 0)</f>
        <v/>
      </c>
      <c r="M154" s="3">
        <f>IF(E154&gt;0, L154/E154, 0)</f>
        <v/>
      </c>
      <c r="N154" s="3" t="n"/>
      <c r="O154">
        <f>IFERROR(INT((A154-2-VLOOKUP(D154,'Flock Reference'!$A:$B,2,FALSE))/7), "")</f>
        <v/>
      </c>
    </row>
    <row r="155">
      <c r="G155" s="3">
        <f>IF(E155&gt;0, F155/E155, 0)</f>
        <v/>
      </c>
      <c r="I155" s="3">
        <f>IF(E155&gt;0, H155/E155, 0)</f>
        <v/>
      </c>
      <c r="J155">
        <f>IF(E155&gt;0, E155-F155-H155, 0)</f>
        <v/>
      </c>
      <c r="K155" s="3">
        <f>IF(E155&gt;0, J155/E155, 0)</f>
        <v/>
      </c>
      <c r="M155" s="3">
        <f>IF(E155&gt;0, L155/E155, 0)</f>
        <v/>
      </c>
      <c r="N155" s="3" t="n"/>
      <c r="O155">
        <f>IFERROR(INT((A155-2-VLOOKUP(D155,'Flock Reference'!$A:$B,2,FALSE))/7), "")</f>
        <v/>
      </c>
    </row>
    <row r="156">
      <c r="G156" s="3">
        <f>IF(E156&gt;0, F156/E156, 0)</f>
        <v/>
      </c>
      <c r="I156" s="3">
        <f>IF(E156&gt;0, H156/E156, 0)</f>
        <v/>
      </c>
      <c r="J156">
        <f>IF(E156&gt;0, E156-F156-H156, 0)</f>
        <v/>
      </c>
      <c r="K156" s="3">
        <f>IF(E156&gt;0, J156/E156, 0)</f>
        <v/>
      </c>
      <c r="M156" s="3">
        <f>IF(E156&gt;0, L156/E156, 0)</f>
        <v/>
      </c>
      <c r="N156" s="3" t="n"/>
      <c r="O156">
        <f>IFERROR(INT((A156-2-VLOOKUP(D156,'Flock Reference'!$A:$B,2,FALSE))/7), "")</f>
        <v/>
      </c>
    </row>
    <row r="157">
      <c r="G157" s="3">
        <f>IF(E157&gt;0, F157/E157, 0)</f>
        <v/>
      </c>
      <c r="I157" s="3">
        <f>IF(E157&gt;0, H157/E157, 0)</f>
        <v/>
      </c>
      <c r="J157">
        <f>IF(E157&gt;0, E157-F157-H157, 0)</f>
        <v/>
      </c>
      <c r="K157" s="3">
        <f>IF(E157&gt;0, J157/E157, 0)</f>
        <v/>
      </c>
      <c r="M157" s="3">
        <f>IF(E157&gt;0, L157/E157, 0)</f>
        <v/>
      </c>
      <c r="N157" s="3" t="n"/>
      <c r="O157">
        <f>IFERROR(INT((A157-2-VLOOKUP(D157,'Flock Reference'!$A:$B,2,FALSE))/7), "")</f>
        <v/>
      </c>
    </row>
    <row r="158">
      <c r="G158" s="3">
        <f>IF(E158&gt;0, F158/E158, 0)</f>
        <v/>
      </c>
      <c r="I158" s="3">
        <f>IF(E158&gt;0, H158/E158, 0)</f>
        <v/>
      </c>
      <c r="J158">
        <f>IF(E158&gt;0, E158-F158-H158, 0)</f>
        <v/>
      </c>
      <c r="K158" s="3">
        <f>IF(E158&gt;0, J158/E158, 0)</f>
        <v/>
      </c>
      <c r="M158" s="3">
        <f>IF(E158&gt;0, L158/E158, 0)</f>
        <v/>
      </c>
      <c r="N158" s="3" t="n"/>
      <c r="O158">
        <f>IFERROR(INT((A158-2-VLOOKUP(D158,'Flock Reference'!$A:$B,2,FALSE))/7), "")</f>
        <v/>
      </c>
    </row>
    <row r="159">
      <c r="G159" s="3">
        <f>IF(E159&gt;0, F159/E159, 0)</f>
        <v/>
      </c>
      <c r="I159" s="3">
        <f>IF(E159&gt;0, H159/E159, 0)</f>
        <v/>
      </c>
      <c r="J159">
        <f>IF(E159&gt;0, E159-F159-H159, 0)</f>
        <v/>
      </c>
      <c r="K159" s="3">
        <f>IF(E159&gt;0, J159/E159, 0)</f>
        <v/>
      </c>
      <c r="M159" s="3">
        <f>IF(E159&gt;0, L159/E159, 0)</f>
        <v/>
      </c>
      <c r="N159" s="3" t="n"/>
      <c r="O159">
        <f>IFERROR(INT((A159-2-VLOOKUP(D159,'Flock Reference'!$A:$B,2,FALSE))/7), "")</f>
        <v/>
      </c>
    </row>
    <row r="160">
      <c r="G160" s="3">
        <f>IF(E160&gt;0, F160/E160, 0)</f>
        <v/>
      </c>
      <c r="I160" s="3">
        <f>IF(E160&gt;0, H160/E160, 0)</f>
        <v/>
      </c>
      <c r="J160">
        <f>IF(E160&gt;0, E160-F160-H160, 0)</f>
        <v/>
      </c>
      <c r="K160" s="3">
        <f>IF(E160&gt;0, J160/E160, 0)</f>
        <v/>
      </c>
      <c r="M160" s="3">
        <f>IF(E160&gt;0, L160/E160, 0)</f>
        <v/>
      </c>
      <c r="N160" s="3" t="n"/>
      <c r="O160">
        <f>IFERROR(INT((A160-2-VLOOKUP(D160,'Flock Reference'!$A:$B,2,FALSE))/7), "")</f>
        <v/>
      </c>
    </row>
    <row r="161">
      <c r="G161" s="3">
        <f>IF(E161&gt;0, F161/E161, 0)</f>
        <v/>
      </c>
      <c r="I161" s="3">
        <f>IF(E161&gt;0, H161/E161, 0)</f>
        <v/>
      </c>
      <c r="J161">
        <f>IF(E161&gt;0, E161-F161-H161, 0)</f>
        <v/>
      </c>
      <c r="K161" s="3">
        <f>IF(E161&gt;0, J161/E161, 0)</f>
        <v/>
      </c>
      <c r="M161" s="3">
        <f>IF(E161&gt;0, L161/E161, 0)</f>
        <v/>
      </c>
      <c r="N161" s="3" t="n"/>
      <c r="O161">
        <f>IFERROR(INT((A161-2-VLOOKUP(D161,'Flock Reference'!$A:$B,2,FALSE))/7), "")</f>
        <v/>
      </c>
    </row>
    <row r="162">
      <c r="G162" s="3">
        <f>IF(E162&gt;0, F162/E162, 0)</f>
        <v/>
      </c>
      <c r="I162" s="3">
        <f>IF(E162&gt;0, H162/E162, 0)</f>
        <v/>
      </c>
      <c r="J162">
        <f>IF(E162&gt;0, E162-F162-H162, 0)</f>
        <v/>
      </c>
      <c r="K162" s="3">
        <f>IF(E162&gt;0, J162/E162, 0)</f>
        <v/>
      </c>
      <c r="M162" s="3">
        <f>IF(E162&gt;0, L162/E162, 0)</f>
        <v/>
      </c>
      <c r="N162" s="3" t="n"/>
      <c r="O162">
        <f>IFERROR(INT((A162-2-VLOOKUP(D162,'Flock Reference'!$A:$B,2,FALSE))/7), "")</f>
        <v/>
      </c>
    </row>
    <row r="163">
      <c r="G163" s="3">
        <f>IF(E163&gt;0, F163/E163, 0)</f>
        <v/>
      </c>
      <c r="I163" s="3">
        <f>IF(E163&gt;0, H163/E163, 0)</f>
        <v/>
      </c>
      <c r="J163">
        <f>IF(E163&gt;0, E163-F163-H163, 0)</f>
        <v/>
      </c>
      <c r="K163" s="3">
        <f>IF(E163&gt;0, J163/E163, 0)</f>
        <v/>
      </c>
      <c r="M163" s="3">
        <f>IF(E163&gt;0, L163/E163, 0)</f>
        <v/>
      </c>
      <c r="N163" s="3" t="n"/>
      <c r="O163">
        <f>IFERROR(INT((A163-2-VLOOKUP(D163,'Flock Reference'!$A:$B,2,FALSE))/7), "")</f>
        <v/>
      </c>
    </row>
    <row r="164">
      <c r="G164" s="3">
        <f>IF(E164&gt;0, F164/E164, 0)</f>
        <v/>
      </c>
      <c r="I164" s="3">
        <f>IF(E164&gt;0, H164/E164, 0)</f>
        <v/>
      </c>
      <c r="J164">
        <f>IF(E164&gt;0, E164-F164-H164, 0)</f>
        <v/>
      </c>
      <c r="K164" s="3">
        <f>IF(E164&gt;0, J164/E164, 0)</f>
        <v/>
      </c>
      <c r="M164" s="3">
        <f>IF(E164&gt;0, L164/E164, 0)</f>
        <v/>
      </c>
      <c r="N164" s="3" t="n"/>
      <c r="O164">
        <f>IFERROR(INT((A164-2-VLOOKUP(D164,'Flock Reference'!$A:$B,2,FALSE))/7), "")</f>
        <v/>
      </c>
    </row>
    <row r="165">
      <c r="G165" s="3">
        <f>IF(E165&gt;0, F165/E165, 0)</f>
        <v/>
      </c>
      <c r="I165" s="3">
        <f>IF(E165&gt;0, H165/E165, 0)</f>
        <v/>
      </c>
      <c r="J165">
        <f>IF(E165&gt;0, E165-F165-H165, 0)</f>
        <v/>
      </c>
      <c r="K165" s="3">
        <f>IF(E165&gt;0, J165/E165, 0)</f>
        <v/>
      </c>
      <c r="M165" s="3">
        <f>IF(E165&gt;0, L165/E165, 0)</f>
        <v/>
      </c>
      <c r="N165" s="3" t="n"/>
      <c r="O165">
        <f>IFERROR(INT((A165-2-VLOOKUP(D165,'Flock Reference'!$A:$B,2,FALSE))/7), "")</f>
        <v/>
      </c>
    </row>
    <row r="166">
      <c r="G166" s="3">
        <f>IF(E166&gt;0, F166/E166, 0)</f>
        <v/>
      </c>
      <c r="I166" s="3">
        <f>IF(E166&gt;0, H166/E166, 0)</f>
        <v/>
      </c>
      <c r="J166">
        <f>IF(E166&gt;0, E166-F166-H166, 0)</f>
        <v/>
      </c>
      <c r="K166" s="3">
        <f>IF(E166&gt;0, J166/E166, 0)</f>
        <v/>
      </c>
      <c r="M166" s="3">
        <f>IF(E166&gt;0, L166/E166, 0)</f>
        <v/>
      </c>
      <c r="N166" s="3" t="n"/>
      <c r="O166">
        <f>IFERROR(INT((A166-2-VLOOKUP(D166,'Flock Reference'!$A:$B,2,FALSE))/7), "")</f>
        <v/>
      </c>
    </row>
    <row r="167">
      <c r="G167" s="3">
        <f>IF(E167&gt;0, F167/E167, 0)</f>
        <v/>
      </c>
      <c r="I167" s="3">
        <f>IF(E167&gt;0, H167/E167, 0)</f>
        <v/>
      </c>
      <c r="J167">
        <f>IF(E167&gt;0, E167-F167-H167, 0)</f>
        <v/>
      </c>
      <c r="K167" s="3">
        <f>IF(E167&gt;0, J167/E167, 0)</f>
        <v/>
      </c>
      <c r="M167" s="3">
        <f>IF(E167&gt;0, L167/E167, 0)</f>
        <v/>
      </c>
      <c r="N167" s="3" t="n"/>
      <c r="O167">
        <f>IFERROR(INT((A167-2-VLOOKUP(D167,'Flock Reference'!$A:$B,2,FALSE))/7), "")</f>
        <v/>
      </c>
    </row>
    <row r="168">
      <c r="G168" s="3">
        <f>IF(E168&gt;0, F168/E168, 0)</f>
        <v/>
      </c>
      <c r="I168" s="3">
        <f>IF(E168&gt;0, H168/E168, 0)</f>
        <v/>
      </c>
      <c r="J168">
        <f>IF(E168&gt;0, E168-F168-H168, 0)</f>
        <v/>
      </c>
      <c r="K168" s="3">
        <f>IF(E168&gt;0, J168/E168, 0)</f>
        <v/>
      </c>
      <c r="M168" s="3">
        <f>IF(E168&gt;0, L168/E168, 0)</f>
        <v/>
      </c>
      <c r="N168" s="3" t="n"/>
      <c r="O168">
        <f>IFERROR(INT((A168-2-VLOOKUP(D168,'Flock Reference'!$A:$B,2,FALSE))/7), "")</f>
        <v/>
      </c>
    </row>
    <row r="169">
      <c r="G169" s="3">
        <f>IF(E169&gt;0, F169/E169, 0)</f>
        <v/>
      </c>
      <c r="I169" s="3">
        <f>IF(E169&gt;0, H169/E169, 0)</f>
        <v/>
      </c>
      <c r="J169">
        <f>IF(E169&gt;0, E169-F169-H169, 0)</f>
        <v/>
      </c>
      <c r="K169" s="3">
        <f>IF(E169&gt;0, J169/E169, 0)</f>
        <v/>
      </c>
      <c r="M169" s="3">
        <f>IF(E169&gt;0, L169/E169, 0)</f>
        <v/>
      </c>
      <c r="N169" s="3" t="n"/>
      <c r="O169">
        <f>IFERROR(INT((A169-2-VLOOKUP(D169,'Flock Reference'!$A:$B,2,FALSE))/7), "")</f>
        <v/>
      </c>
    </row>
    <row r="170">
      <c r="G170" s="3">
        <f>IF(E170&gt;0, F170/E170, 0)</f>
        <v/>
      </c>
      <c r="I170" s="3">
        <f>IF(E170&gt;0, H170/E170, 0)</f>
        <v/>
      </c>
      <c r="J170">
        <f>IF(E170&gt;0, E170-F170-H170, 0)</f>
        <v/>
      </c>
      <c r="K170" s="3">
        <f>IF(E170&gt;0, J170/E170, 0)</f>
        <v/>
      </c>
      <c r="M170" s="3">
        <f>IF(E170&gt;0, L170/E170, 0)</f>
        <v/>
      </c>
      <c r="N170" s="3" t="n"/>
      <c r="O170">
        <f>IFERROR(INT((A170-2-VLOOKUP(D170,'Flock Reference'!$A:$B,2,FALSE))/7), "")</f>
        <v/>
      </c>
    </row>
    <row r="171">
      <c r="G171" s="3">
        <f>IF(E171&gt;0, F171/E171, 0)</f>
        <v/>
      </c>
      <c r="I171" s="3">
        <f>IF(E171&gt;0, H171/E171, 0)</f>
        <v/>
      </c>
      <c r="J171">
        <f>IF(E171&gt;0, E171-F171-H171, 0)</f>
        <v/>
      </c>
      <c r="K171" s="3">
        <f>IF(E171&gt;0, J171/E171, 0)</f>
        <v/>
      </c>
      <c r="M171" s="3">
        <f>IF(E171&gt;0, L171/E171, 0)</f>
        <v/>
      </c>
      <c r="N171" s="3" t="n"/>
      <c r="O171">
        <f>IFERROR(INT((A171-2-VLOOKUP(D171,'Flock Reference'!$A:$B,2,FALSE))/7), "")</f>
        <v/>
      </c>
    </row>
    <row r="172">
      <c r="G172" s="3">
        <f>IF(E172&gt;0, F172/E172, 0)</f>
        <v/>
      </c>
      <c r="I172" s="3">
        <f>IF(E172&gt;0, H172/E172, 0)</f>
        <v/>
      </c>
      <c r="J172">
        <f>IF(E172&gt;0, E172-F172-H172, 0)</f>
        <v/>
      </c>
      <c r="K172" s="3">
        <f>IF(E172&gt;0, J172/E172, 0)</f>
        <v/>
      </c>
      <c r="M172" s="3">
        <f>IF(E172&gt;0, L172/E172, 0)</f>
        <v/>
      </c>
      <c r="N172" s="3" t="n"/>
      <c r="O172">
        <f>IFERROR(INT((A172-2-VLOOKUP(D172,'Flock Reference'!$A:$B,2,FALSE))/7), "")</f>
        <v/>
      </c>
    </row>
    <row r="173">
      <c r="G173" s="3">
        <f>IF(E173&gt;0, F173/E173, 0)</f>
        <v/>
      </c>
      <c r="I173" s="3">
        <f>IF(E173&gt;0, H173/E173, 0)</f>
        <v/>
      </c>
      <c r="J173">
        <f>IF(E173&gt;0, E173-F173-H173, 0)</f>
        <v/>
      </c>
      <c r="K173" s="3">
        <f>IF(E173&gt;0, J173/E173, 0)</f>
        <v/>
      </c>
      <c r="M173" s="3">
        <f>IF(E173&gt;0, L173/E173, 0)</f>
        <v/>
      </c>
      <c r="N173" s="3" t="n"/>
      <c r="O173">
        <f>IFERROR(INT((A173-2-VLOOKUP(D173,'Flock Reference'!$A:$B,2,FALSE))/7), "")</f>
        <v/>
      </c>
    </row>
    <row r="174">
      <c r="G174" s="3">
        <f>IF(E174&gt;0, F174/E174, 0)</f>
        <v/>
      </c>
      <c r="I174" s="3">
        <f>IF(E174&gt;0, H174/E174, 0)</f>
        <v/>
      </c>
      <c r="J174">
        <f>IF(E174&gt;0, E174-F174-H174, 0)</f>
        <v/>
      </c>
      <c r="K174" s="3">
        <f>IF(E174&gt;0, J174/E174, 0)</f>
        <v/>
      </c>
      <c r="M174" s="3">
        <f>IF(E174&gt;0, L174/E174, 0)</f>
        <v/>
      </c>
      <c r="N174" s="3" t="n"/>
      <c r="O174">
        <f>IFERROR(INT((A174-2-VLOOKUP(D174,'Flock Reference'!$A:$B,2,FALSE))/7), "")</f>
        <v/>
      </c>
    </row>
    <row r="175">
      <c r="G175" s="3">
        <f>IF(E175&gt;0, F175/E175, 0)</f>
        <v/>
      </c>
      <c r="I175" s="3">
        <f>IF(E175&gt;0, H175/E175, 0)</f>
        <v/>
      </c>
      <c r="J175">
        <f>IF(E175&gt;0, E175-F175-H175, 0)</f>
        <v/>
      </c>
      <c r="K175" s="3">
        <f>IF(E175&gt;0, J175/E175, 0)</f>
        <v/>
      </c>
      <c r="M175" s="3">
        <f>IF(E175&gt;0, L175/E175, 0)</f>
        <v/>
      </c>
      <c r="N175" s="3" t="n"/>
      <c r="O175">
        <f>IFERROR(INT((A175-2-VLOOKUP(D175,'Flock Reference'!$A:$B,2,FALSE))/7), "")</f>
        <v/>
      </c>
    </row>
    <row r="176">
      <c r="G176" s="3">
        <f>IF(E176&gt;0, F176/E176, 0)</f>
        <v/>
      </c>
      <c r="I176" s="3">
        <f>IF(E176&gt;0, H176/E176, 0)</f>
        <v/>
      </c>
      <c r="J176">
        <f>IF(E176&gt;0, E176-F176-H176, 0)</f>
        <v/>
      </c>
      <c r="K176" s="3">
        <f>IF(E176&gt;0, J176/E176, 0)</f>
        <v/>
      </c>
      <c r="M176" s="3">
        <f>IF(E176&gt;0, L176/E176, 0)</f>
        <v/>
      </c>
      <c r="N176" s="3" t="n"/>
      <c r="O176">
        <f>IFERROR(INT((A176-2-VLOOKUP(D176,'Flock Reference'!$A:$B,2,FALSE))/7), "")</f>
        <v/>
      </c>
    </row>
    <row r="177">
      <c r="G177" s="3">
        <f>IF(E177&gt;0, F177/E177, 0)</f>
        <v/>
      </c>
      <c r="I177" s="3">
        <f>IF(E177&gt;0, H177/E177, 0)</f>
        <v/>
      </c>
      <c r="J177">
        <f>IF(E177&gt;0, E177-F177-H177, 0)</f>
        <v/>
      </c>
      <c r="K177" s="3">
        <f>IF(E177&gt;0, J177/E177, 0)</f>
        <v/>
      </c>
      <c r="M177" s="3">
        <f>IF(E177&gt;0, L177/E177, 0)</f>
        <v/>
      </c>
      <c r="N177" s="3" t="n"/>
      <c r="O177">
        <f>IFERROR(INT((A177-2-VLOOKUP(D177,'Flock Reference'!$A:$B,2,FALSE))/7), "")</f>
        <v/>
      </c>
    </row>
    <row r="178">
      <c r="G178" s="3">
        <f>IF(E178&gt;0, F178/E178, 0)</f>
        <v/>
      </c>
      <c r="I178" s="3">
        <f>IF(E178&gt;0, H178/E178, 0)</f>
        <v/>
      </c>
      <c r="J178">
        <f>IF(E178&gt;0, E178-F178-H178, 0)</f>
        <v/>
      </c>
      <c r="K178" s="3">
        <f>IF(E178&gt;0, J178/E178, 0)</f>
        <v/>
      </c>
      <c r="M178" s="3">
        <f>IF(E178&gt;0, L178/E178, 0)</f>
        <v/>
      </c>
      <c r="N178" s="3" t="n"/>
      <c r="O178">
        <f>IFERROR(INT((A178-2-VLOOKUP(D178,'Flock Reference'!$A:$B,2,FALSE))/7), "")</f>
        <v/>
      </c>
    </row>
    <row r="179">
      <c r="G179" s="3">
        <f>IF(E179&gt;0, F179/E179, 0)</f>
        <v/>
      </c>
      <c r="I179" s="3">
        <f>IF(E179&gt;0, H179/E179, 0)</f>
        <v/>
      </c>
      <c r="J179">
        <f>IF(E179&gt;0, E179-F179-H179, 0)</f>
        <v/>
      </c>
      <c r="K179" s="3">
        <f>IF(E179&gt;0, J179/E179, 0)</f>
        <v/>
      </c>
      <c r="M179" s="3">
        <f>IF(E179&gt;0, L179/E179, 0)</f>
        <v/>
      </c>
      <c r="N179" s="3" t="n"/>
      <c r="O179">
        <f>IFERROR(INT((A179-2-VLOOKUP(D179,'Flock Reference'!$A:$B,2,FALSE))/7), "")</f>
        <v/>
      </c>
    </row>
    <row r="180">
      <c r="G180" s="3">
        <f>IF(E180&gt;0, F180/E180, 0)</f>
        <v/>
      </c>
      <c r="I180" s="3">
        <f>IF(E180&gt;0, H180/E180, 0)</f>
        <v/>
      </c>
      <c r="J180">
        <f>IF(E180&gt;0, E180-F180-H180, 0)</f>
        <v/>
      </c>
      <c r="K180" s="3">
        <f>IF(E180&gt;0, J180/E180, 0)</f>
        <v/>
      </c>
      <c r="M180" s="3">
        <f>IF(E180&gt;0, L180/E180, 0)</f>
        <v/>
      </c>
      <c r="N180" s="3" t="n"/>
      <c r="O180">
        <f>IFERROR(INT((A180-2-VLOOKUP(D180,'Flock Reference'!$A:$B,2,FALSE))/7), "")</f>
        <v/>
      </c>
    </row>
    <row r="181">
      <c r="G181" s="3">
        <f>IF(E181&gt;0, F181/E181, 0)</f>
        <v/>
      </c>
      <c r="I181" s="3">
        <f>IF(E181&gt;0, H181/E181, 0)</f>
        <v/>
      </c>
      <c r="J181">
        <f>IF(E181&gt;0, E181-F181-H181, 0)</f>
        <v/>
      </c>
      <c r="K181" s="3">
        <f>IF(E181&gt;0, J181/E181, 0)</f>
        <v/>
      </c>
      <c r="M181" s="3">
        <f>IF(E181&gt;0, L181/E181, 0)</f>
        <v/>
      </c>
      <c r="N181" s="3" t="n"/>
      <c r="O181">
        <f>IFERROR(INT((A181-2-VLOOKUP(D181,'Flock Reference'!$A:$B,2,FALSE))/7), "")</f>
        <v/>
      </c>
    </row>
    <row r="182">
      <c r="G182" s="3">
        <f>IF(E182&gt;0, F182/E182, 0)</f>
        <v/>
      </c>
      <c r="I182" s="3">
        <f>IF(E182&gt;0, H182/E182, 0)</f>
        <v/>
      </c>
      <c r="J182">
        <f>IF(E182&gt;0, E182-F182-H182, 0)</f>
        <v/>
      </c>
      <c r="K182" s="3">
        <f>IF(E182&gt;0, J182/E182, 0)</f>
        <v/>
      </c>
      <c r="M182" s="3">
        <f>IF(E182&gt;0, L182/E182, 0)</f>
        <v/>
      </c>
      <c r="N182" s="3" t="n"/>
      <c r="O182">
        <f>IFERROR(INT((A182-2-VLOOKUP(D182,'Flock Reference'!$A:$B,2,FALSE))/7), "")</f>
        <v/>
      </c>
    </row>
    <row r="183">
      <c r="G183" s="3">
        <f>IF(E183&gt;0, F183/E183, 0)</f>
        <v/>
      </c>
      <c r="I183" s="3">
        <f>IF(E183&gt;0, H183/E183, 0)</f>
        <v/>
      </c>
      <c r="J183">
        <f>IF(E183&gt;0, E183-F183-H183, 0)</f>
        <v/>
      </c>
      <c r="K183" s="3">
        <f>IF(E183&gt;0, J183/E183, 0)</f>
        <v/>
      </c>
      <c r="M183" s="3">
        <f>IF(E183&gt;0, L183/E183, 0)</f>
        <v/>
      </c>
      <c r="N183" s="3" t="n"/>
      <c r="O183">
        <f>IFERROR(INT((A183-2-VLOOKUP(D183,'Flock Reference'!$A:$B,2,FALSE))/7), "")</f>
        <v/>
      </c>
    </row>
    <row r="184">
      <c r="G184" s="3">
        <f>IF(E184&gt;0, F184/E184, 0)</f>
        <v/>
      </c>
      <c r="I184" s="3">
        <f>IF(E184&gt;0, H184/E184, 0)</f>
        <v/>
      </c>
      <c r="J184">
        <f>IF(E184&gt;0, E184-F184-H184, 0)</f>
        <v/>
      </c>
      <c r="K184" s="3">
        <f>IF(E184&gt;0, J184/E184, 0)</f>
        <v/>
      </c>
      <c r="M184" s="3">
        <f>IF(E184&gt;0, L184/E184, 0)</f>
        <v/>
      </c>
      <c r="N184" s="3" t="n"/>
      <c r="O184">
        <f>IFERROR(INT((A184-2-VLOOKUP(D184,'Flock Reference'!$A:$B,2,FALSE))/7), "")</f>
        <v/>
      </c>
    </row>
    <row r="185">
      <c r="G185" s="3">
        <f>IF(E185&gt;0, F185/E185, 0)</f>
        <v/>
      </c>
      <c r="I185" s="3">
        <f>IF(E185&gt;0, H185/E185, 0)</f>
        <v/>
      </c>
      <c r="J185">
        <f>IF(E185&gt;0, E185-F185-H185, 0)</f>
        <v/>
      </c>
      <c r="K185" s="3">
        <f>IF(E185&gt;0, J185/E185, 0)</f>
        <v/>
      </c>
      <c r="M185" s="3">
        <f>IF(E185&gt;0, L185/E185, 0)</f>
        <v/>
      </c>
      <c r="N185" s="3" t="n"/>
      <c r="O185">
        <f>IFERROR(INT((A185-2-VLOOKUP(D185,'Flock Reference'!$A:$B,2,FALSE))/7), "")</f>
        <v/>
      </c>
    </row>
    <row r="186">
      <c r="G186" s="3">
        <f>IF(E186&gt;0, F186/E186, 0)</f>
        <v/>
      </c>
      <c r="I186" s="3">
        <f>IF(E186&gt;0, H186/E186, 0)</f>
        <v/>
      </c>
      <c r="J186">
        <f>IF(E186&gt;0, E186-F186-H186, 0)</f>
        <v/>
      </c>
      <c r="K186" s="3">
        <f>IF(E186&gt;0, J186/E186, 0)</f>
        <v/>
      </c>
      <c r="M186" s="3">
        <f>IF(E186&gt;0, L186/E186, 0)</f>
        <v/>
      </c>
      <c r="N186" s="3" t="n"/>
      <c r="O186">
        <f>IFERROR(INT((A186-2-VLOOKUP(D186,'Flock Reference'!$A:$B,2,FALSE))/7), "")</f>
        <v/>
      </c>
    </row>
    <row r="187">
      <c r="G187" s="3">
        <f>IF(E187&gt;0, F187/E187, 0)</f>
        <v/>
      </c>
      <c r="I187" s="3">
        <f>IF(E187&gt;0, H187/E187, 0)</f>
        <v/>
      </c>
      <c r="J187">
        <f>IF(E187&gt;0, E187-F187-H187, 0)</f>
        <v/>
      </c>
      <c r="K187" s="3">
        <f>IF(E187&gt;0, J187/E187, 0)</f>
        <v/>
      </c>
      <c r="M187" s="3">
        <f>IF(E187&gt;0, L187/E187, 0)</f>
        <v/>
      </c>
      <c r="N187" s="3" t="n"/>
      <c r="O187">
        <f>IFERROR(INT((A187-2-VLOOKUP(D187,'Flock Reference'!$A:$B,2,FALSE))/7), "")</f>
        <v/>
      </c>
    </row>
    <row r="188">
      <c r="G188" s="3">
        <f>IF(E188&gt;0, F188/E188, 0)</f>
        <v/>
      </c>
      <c r="I188" s="3">
        <f>IF(E188&gt;0, H188/E188, 0)</f>
        <v/>
      </c>
      <c r="J188">
        <f>IF(E188&gt;0, E188-F188-H188, 0)</f>
        <v/>
      </c>
      <c r="K188" s="3">
        <f>IF(E188&gt;0, J188/E188, 0)</f>
        <v/>
      </c>
      <c r="M188" s="3">
        <f>IF(E188&gt;0, L188/E188, 0)</f>
        <v/>
      </c>
      <c r="N188" s="3" t="n"/>
      <c r="O188">
        <f>IFERROR(INT((A188-2-VLOOKUP(D188,'Flock Reference'!$A:$B,2,FALSE))/7), "")</f>
        <v/>
      </c>
    </row>
    <row r="189">
      <c r="G189" s="3">
        <f>IF(E189&gt;0, F189/E189, 0)</f>
        <v/>
      </c>
      <c r="I189" s="3">
        <f>IF(E189&gt;0, H189/E189, 0)</f>
        <v/>
      </c>
      <c r="J189">
        <f>IF(E189&gt;0, E189-F189-H189, 0)</f>
        <v/>
      </c>
      <c r="K189" s="3">
        <f>IF(E189&gt;0, J189/E189, 0)</f>
        <v/>
      </c>
      <c r="M189" s="3">
        <f>IF(E189&gt;0, L189/E189, 0)</f>
        <v/>
      </c>
      <c r="N189" s="3" t="n"/>
      <c r="O189">
        <f>IFERROR(INT((A189-2-VLOOKUP(D189,'Flock Reference'!$A:$B,2,FALSE))/7), "")</f>
        <v/>
      </c>
    </row>
    <row r="190">
      <c r="G190" s="3">
        <f>IF(E190&gt;0, F190/E190, 0)</f>
        <v/>
      </c>
      <c r="I190" s="3">
        <f>IF(E190&gt;0, H190/E190, 0)</f>
        <v/>
      </c>
      <c r="J190">
        <f>IF(E190&gt;0, E190-F190-H190, 0)</f>
        <v/>
      </c>
      <c r="K190" s="3">
        <f>IF(E190&gt;0, J190/E190, 0)</f>
        <v/>
      </c>
      <c r="M190" s="3">
        <f>IF(E190&gt;0, L190/E190, 0)</f>
        <v/>
      </c>
      <c r="N190" s="3" t="n"/>
      <c r="O190">
        <f>IFERROR(INT((A190-2-VLOOKUP(D190,'Flock Reference'!$A:$B,2,FALSE))/7), "")</f>
        <v/>
      </c>
    </row>
    <row r="191">
      <c r="G191" s="3">
        <f>IF(E191&gt;0, F191/E191, 0)</f>
        <v/>
      </c>
      <c r="I191" s="3">
        <f>IF(E191&gt;0, H191/E191, 0)</f>
        <v/>
      </c>
      <c r="J191">
        <f>IF(E191&gt;0, E191-F191-H191, 0)</f>
        <v/>
      </c>
      <c r="K191" s="3">
        <f>IF(E191&gt;0, J191/E191, 0)</f>
        <v/>
      </c>
      <c r="M191" s="3">
        <f>IF(E191&gt;0, L191/E191, 0)</f>
        <v/>
      </c>
      <c r="N191" s="3" t="n"/>
      <c r="O191">
        <f>IFERROR(INT((A191-2-VLOOKUP(D191,'Flock Reference'!$A:$B,2,FALSE))/7), "")</f>
        <v/>
      </c>
    </row>
    <row r="192">
      <c r="G192" s="3">
        <f>IF(E192&gt;0, F192/E192, 0)</f>
        <v/>
      </c>
      <c r="I192" s="3">
        <f>IF(E192&gt;0, H192/E192, 0)</f>
        <v/>
      </c>
      <c r="J192">
        <f>IF(E192&gt;0, E192-F192-H192, 0)</f>
        <v/>
      </c>
      <c r="K192" s="3">
        <f>IF(E192&gt;0, J192/E192, 0)</f>
        <v/>
      </c>
      <c r="M192" s="3">
        <f>IF(E192&gt;0, L192/E192, 0)</f>
        <v/>
      </c>
      <c r="N192" s="3" t="n"/>
      <c r="O192">
        <f>IFERROR(INT((A192-2-VLOOKUP(D192,'Flock Reference'!$A:$B,2,FALSE))/7), "")</f>
        <v/>
      </c>
    </row>
    <row r="193">
      <c r="G193" s="3">
        <f>IF(E193&gt;0, F193/E193, 0)</f>
        <v/>
      </c>
      <c r="I193" s="3">
        <f>IF(E193&gt;0, H193/E193, 0)</f>
        <v/>
      </c>
      <c r="J193">
        <f>IF(E193&gt;0, E193-F193-H193, 0)</f>
        <v/>
      </c>
      <c r="K193" s="3">
        <f>IF(E193&gt;0, J193/E193, 0)</f>
        <v/>
      </c>
      <c r="M193" s="3">
        <f>IF(E193&gt;0, L193/E193, 0)</f>
        <v/>
      </c>
      <c r="N193" s="3" t="n"/>
      <c r="O193">
        <f>IFERROR(INT((A193-2-VLOOKUP(D193,'Flock Reference'!$A:$B,2,FALSE))/7), "")</f>
        <v/>
      </c>
    </row>
    <row r="194">
      <c r="G194" s="3">
        <f>IF(E194&gt;0, F194/E194, 0)</f>
        <v/>
      </c>
      <c r="I194" s="3">
        <f>IF(E194&gt;0, H194/E194, 0)</f>
        <v/>
      </c>
      <c r="J194">
        <f>IF(E194&gt;0, E194-F194-H194, 0)</f>
        <v/>
      </c>
      <c r="K194" s="3">
        <f>IF(E194&gt;0, J194/E194, 0)</f>
        <v/>
      </c>
      <c r="M194" s="3">
        <f>IF(E194&gt;0, L194/E194, 0)</f>
        <v/>
      </c>
      <c r="N194" s="3" t="n"/>
      <c r="O194">
        <f>IFERROR(INT((A194-2-VLOOKUP(D194,'Flock Reference'!$A:$B,2,FALSE))/7), "")</f>
        <v/>
      </c>
    </row>
    <row r="195">
      <c r="G195" s="3">
        <f>IF(E195&gt;0, F195/E195, 0)</f>
        <v/>
      </c>
      <c r="I195" s="3">
        <f>IF(E195&gt;0, H195/E195, 0)</f>
        <v/>
      </c>
      <c r="J195">
        <f>IF(E195&gt;0, E195-F195-H195, 0)</f>
        <v/>
      </c>
      <c r="K195" s="3">
        <f>IF(E195&gt;0, J195/E195, 0)</f>
        <v/>
      </c>
      <c r="M195" s="3">
        <f>IF(E195&gt;0, L195/E195, 0)</f>
        <v/>
      </c>
      <c r="N195" s="3" t="n"/>
      <c r="O195">
        <f>IFERROR(INT((A195-2-VLOOKUP(D195,'Flock Reference'!$A:$B,2,FALSE))/7), "")</f>
        <v/>
      </c>
    </row>
    <row r="196">
      <c r="G196" s="3">
        <f>IF(E196&gt;0, F196/E196, 0)</f>
        <v/>
      </c>
      <c r="I196" s="3">
        <f>IF(E196&gt;0, H196/E196, 0)</f>
        <v/>
      </c>
      <c r="J196">
        <f>IF(E196&gt;0, E196-F196-H196, 0)</f>
        <v/>
      </c>
      <c r="K196" s="3">
        <f>IF(E196&gt;0, J196/E196, 0)</f>
        <v/>
      </c>
      <c r="M196" s="3">
        <f>IF(E196&gt;0, L196/E196, 0)</f>
        <v/>
      </c>
      <c r="N196" s="3" t="n"/>
      <c r="O196">
        <f>IFERROR(INT((A196-2-VLOOKUP(D196,'Flock Reference'!$A:$B,2,FALSE))/7), "")</f>
        <v/>
      </c>
    </row>
    <row r="197">
      <c r="G197" s="3">
        <f>IF(E197&gt;0, F197/E197, 0)</f>
        <v/>
      </c>
      <c r="I197" s="3">
        <f>IF(E197&gt;0, H197/E197, 0)</f>
        <v/>
      </c>
      <c r="J197">
        <f>IF(E197&gt;0, E197-F197-H197, 0)</f>
        <v/>
      </c>
      <c r="K197" s="3">
        <f>IF(E197&gt;0, J197/E197, 0)</f>
        <v/>
      </c>
      <c r="M197" s="3">
        <f>IF(E197&gt;0, L197/E197, 0)</f>
        <v/>
      </c>
      <c r="N197" s="3" t="n"/>
      <c r="O197">
        <f>IFERROR(INT((A197-2-VLOOKUP(D197,'Flock Reference'!$A:$B,2,FALSE))/7), "")</f>
        <v/>
      </c>
    </row>
    <row r="198">
      <c r="G198" s="3">
        <f>IF(E198&gt;0, F198/E198, 0)</f>
        <v/>
      </c>
      <c r="I198" s="3">
        <f>IF(E198&gt;0, H198/E198, 0)</f>
        <v/>
      </c>
      <c r="J198">
        <f>IF(E198&gt;0, E198-F198-H198, 0)</f>
        <v/>
      </c>
      <c r="K198" s="3">
        <f>IF(E198&gt;0, J198/E198, 0)</f>
        <v/>
      </c>
      <c r="M198" s="3">
        <f>IF(E198&gt;0, L198/E198, 0)</f>
        <v/>
      </c>
      <c r="N198" s="3" t="n"/>
      <c r="O198">
        <f>IFERROR(INT((A198-2-VLOOKUP(D198,'Flock Reference'!$A:$B,2,FALSE))/7), "")</f>
        <v/>
      </c>
    </row>
    <row r="199">
      <c r="G199" s="3">
        <f>IF(E199&gt;0, F199/E199, 0)</f>
        <v/>
      </c>
      <c r="I199" s="3">
        <f>IF(E199&gt;0, H199/E199, 0)</f>
        <v/>
      </c>
      <c r="J199">
        <f>IF(E199&gt;0, E199-F199-H199, 0)</f>
        <v/>
      </c>
      <c r="K199" s="3">
        <f>IF(E199&gt;0, J199/E199, 0)</f>
        <v/>
      </c>
      <c r="M199" s="3">
        <f>IF(E199&gt;0, L199/E199, 0)</f>
        <v/>
      </c>
      <c r="N199" s="3" t="n"/>
      <c r="O199">
        <f>IFERROR(INT((A199-2-VLOOKUP(D199,'Flock Reference'!$A:$B,2,FALSE))/7), "")</f>
        <v/>
      </c>
    </row>
    <row r="200">
      <c r="G200" s="3">
        <f>IF(E200&gt;0, F200/E200, 0)</f>
        <v/>
      </c>
      <c r="I200" s="3">
        <f>IF(E200&gt;0, H200/E200, 0)</f>
        <v/>
      </c>
      <c r="J200">
        <f>IF(E200&gt;0, E200-F200-H200, 0)</f>
        <v/>
      </c>
      <c r="K200" s="3">
        <f>IF(E200&gt;0, J200/E200, 0)</f>
        <v/>
      </c>
      <c r="M200" s="3">
        <f>IF(E200&gt;0, L200/E200, 0)</f>
        <v/>
      </c>
      <c r="N200" s="3" t="n"/>
      <c r="O200">
        <f>IFERROR(INT((A200-2-VLOOKUP(D200,'Flock Reference'!$A:$B,2,FALSE))/7), "")</f>
        <v/>
      </c>
    </row>
    <row r="201">
      <c r="G201" s="3">
        <f>IF(E201&gt;0, F201/E201, 0)</f>
        <v/>
      </c>
      <c r="I201" s="3">
        <f>IF(E201&gt;0, H201/E201, 0)</f>
        <v/>
      </c>
      <c r="J201">
        <f>IF(E201&gt;0, E201-F201-H201, 0)</f>
        <v/>
      </c>
      <c r="K201" s="3">
        <f>IF(E201&gt;0, J201/E201, 0)</f>
        <v/>
      </c>
      <c r="M201" s="3">
        <f>IF(E201&gt;0, L201/E201, 0)</f>
        <v/>
      </c>
      <c r="N201" s="3" t="n"/>
      <c r="O201">
        <f>IFERROR(INT((A201-2-VLOOKUP(D201,'Flock Reference'!$A:$B,2,FALSE))/7), "")</f>
        <v/>
      </c>
    </row>
    <row r="202">
      <c r="G202" s="3">
        <f>IF(E202&gt;0, F202/E202, 0)</f>
        <v/>
      </c>
      <c r="I202" s="3">
        <f>IF(E202&gt;0, H202/E202, 0)</f>
        <v/>
      </c>
      <c r="J202">
        <f>IF(E202&gt;0, E202-F202-H202, 0)</f>
        <v/>
      </c>
      <c r="K202" s="3">
        <f>IF(E202&gt;0, J202/E202, 0)</f>
        <v/>
      </c>
      <c r="M202" s="3">
        <f>IF(E202&gt;0, L202/E202, 0)</f>
        <v/>
      </c>
      <c r="N202" s="3" t="n"/>
      <c r="O202">
        <f>IFERROR(INT((A202-2-VLOOKUP(D202,'Flock Reference'!$A:$B,2,FALSE))/7), "")</f>
        <v/>
      </c>
    </row>
    <row r="203">
      <c r="G203" s="3">
        <f>IF(E203&gt;0, F203/E203, 0)</f>
        <v/>
      </c>
      <c r="I203" s="3">
        <f>IF(E203&gt;0, H203/E203, 0)</f>
        <v/>
      </c>
      <c r="J203">
        <f>IF(E203&gt;0, E203-F203-H203, 0)</f>
        <v/>
      </c>
      <c r="K203" s="3">
        <f>IF(E203&gt;0, J203/E203, 0)</f>
        <v/>
      </c>
      <c r="M203" s="3">
        <f>IF(E203&gt;0, L203/E203, 0)</f>
        <v/>
      </c>
      <c r="N203" s="3" t="n"/>
      <c r="O203">
        <f>IFERROR(INT((A203-2-VLOOKUP(D203,'Flock Reference'!$A:$B,2,FALSE))/7), "")</f>
        <v/>
      </c>
    </row>
    <row r="204">
      <c r="G204" s="3">
        <f>IF(E204&gt;0, F204/E204, 0)</f>
        <v/>
      </c>
      <c r="I204" s="3">
        <f>IF(E204&gt;0, H204/E204, 0)</f>
        <v/>
      </c>
      <c r="J204">
        <f>IF(E204&gt;0, E204-F204-H204, 0)</f>
        <v/>
      </c>
      <c r="K204" s="3">
        <f>IF(E204&gt;0, J204/E204, 0)</f>
        <v/>
      </c>
      <c r="M204" s="3">
        <f>IF(E204&gt;0, L204/E204, 0)</f>
        <v/>
      </c>
      <c r="N204" s="3" t="n"/>
      <c r="O204">
        <f>IFERROR(INT((A204-2-VLOOKUP(D204,'Flock Reference'!$A:$B,2,FALSE))/7), "")</f>
        <v/>
      </c>
    </row>
    <row r="205">
      <c r="G205" s="3">
        <f>IF(E205&gt;0, F205/E205, 0)</f>
        <v/>
      </c>
      <c r="I205" s="3">
        <f>IF(E205&gt;0, H205/E205, 0)</f>
        <v/>
      </c>
      <c r="J205">
        <f>IF(E205&gt;0, E205-F205-H205, 0)</f>
        <v/>
      </c>
      <c r="K205" s="3">
        <f>IF(E205&gt;0, J205/E205, 0)</f>
        <v/>
      </c>
      <c r="M205" s="3">
        <f>IF(E205&gt;0, L205/E205, 0)</f>
        <v/>
      </c>
      <c r="N205" s="3" t="n"/>
      <c r="O205">
        <f>IFERROR(INT((A205-2-VLOOKUP(D205,'Flock Reference'!$A:$B,2,FALSE))/7), "")</f>
        <v/>
      </c>
    </row>
    <row r="206">
      <c r="G206" s="3">
        <f>IF(E206&gt;0, F206/E206, 0)</f>
        <v/>
      </c>
      <c r="I206" s="3">
        <f>IF(E206&gt;0, H206/E206, 0)</f>
        <v/>
      </c>
      <c r="J206">
        <f>IF(E206&gt;0, E206-F206-H206, 0)</f>
        <v/>
      </c>
      <c r="K206" s="3">
        <f>IF(E206&gt;0, J206/E206, 0)</f>
        <v/>
      </c>
      <c r="M206" s="3">
        <f>IF(E206&gt;0, L206/E206, 0)</f>
        <v/>
      </c>
      <c r="N206" s="3" t="n"/>
      <c r="O206">
        <f>IFERROR(INT((A206-2-VLOOKUP(D206,'Flock Reference'!$A:$B,2,FALSE))/7), "")</f>
        <v/>
      </c>
    </row>
    <row r="207">
      <c r="G207" s="3">
        <f>IF(E207&gt;0, F207/E207, 0)</f>
        <v/>
      </c>
      <c r="I207" s="3">
        <f>IF(E207&gt;0, H207/E207, 0)</f>
        <v/>
      </c>
      <c r="J207">
        <f>IF(E207&gt;0, E207-F207-H207, 0)</f>
        <v/>
      </c>
      <c r="K207" s="3">
        <f>IF(E207&gt;0, J207/E207, 0)</f>
        <v/>
      </c>
      <c r="M207" s="3">
        <f>IF(E207&gt;0, L207/E207, 0)</f>
        <v/>
      </c>
      <c r="N207" s="3" t="n"/>
      <c r="O207">
        <f>IFERROR(INT((A207-2-VLOOKUP(D207,'Flock Reference'!$A:$B,2,FALSE))/7), "")</f>
        <v/>
      </c>
    </row>
    <row r="208">
      <c r="G208" s="3">
        <f>IF(E208&gt;0, F208/E208, 0)</f>
        <v/>
      </c>
      <c r="I208" s="3">
        <f>IF(E208&gt;0, H208/E208, 0)</f>
        <v/>
      </c>
      <c r="J208">
        <f>IF(E208&gt;0, E208-F208-H208, 0)</f>
        <v/>
      </c>
      <c r="K208" s="3">
        <f>IF(E208&gt;0, J208/E208, 0)</f>
        <v/>
      </c>
      <c r="M208" s="3">
        <f>IF(E208&gt;0, L208/E208, 0)</f>
        <v/>
      </c>
      <c r="N208" s="3" t="n"/>
      <c r="O208">
        <f>IFERROR(INT((A208-2-VLOOKUP(D208,'Flock Reference'!$A:$B,2,FALSE))/7), "")</f>
        <v/>
      </c>
    </row>
    <row r="209">
      <c r="G209" s="3">
        <f>IF(E209&gt;0, F209/E209, 0)</f>
        <v/>
      </c>
      <c r="I209" s="3">
        <f>IF(E209&gt;0, H209/E209, 0)</f>
        <v/>
      </c>
      <c r="J209">
        <f>IF(E209&gt;0, E209-F209-H209, 0)</f>
        <v/>
      </c>
      <c r="K209" s="3">
        <f>IF(E209&gt;0, J209/E209, 0)</f>
        <v/>
      </c>
      <c r="M209" s="3">
        <f>IF(E209&gt;0, L209/E209, 0)</f>
        <v/>
      </c>
      <c r="N209" s="3" t="n"/>
      <c r="O209">
        <f>IFERROR(INT((A209-2-VLOOKUP(D209,'Flock Reference'!$A:$B,2,FALSE))/7), "")</f>
        <v/>
      </c>
    </row>
    <row r="210">
      <c r="G210" s="3">
        <f>IF(E210&gt;0, F210/E210, 0)</f>
        <v/>
      </c>
      <c r="I210" s="3">
        <f>IF(E210&gt;0, H210/E210, 0)</f>
        <v/>
      </c>
      <c r="J210">
        <f>IF(E210&gt;0, E210-F210-H210, 0)</f>
        <v/>
      </c>
      <c r="K210" s="3">
        <f>IF(E210&gt;0, J210/E210, 0)</f>
        <v/>
      </c>
      <c r="M210" s="3">
        <f>IF(E210&gt;0, L210/E210, 0)</f>
        <v/>
      </c>
      <c r="N210" s="3" t="n"/>
      <c r="O210">
        <f>IFERROR(INT((A210-2-VLOOKUP(D210,'Flock Reference'!$A:$B,2,FALSE))/7), "")</f>
        <v/>
      </c>
    </row>
    <row r="211">
      <c r="G211" s="3">
        <f>IF(E211&gt;0, F211/E211, 0)</f>
        <v/>
      </c>
      <c r="I211" s="3">
        <f>IF(E211&gt;0, H211/E211, 0)</f>
        <v/>
      </c>
      <c r="J211">
        <f>IF(E211&gt;0, E211-F211-H211, 0)</f>
        <v/>
      </c>
      <c r="K211" s="3">
        <f>IF(E211&gt;0, J211/E211, 0)</f>
        <v/>
      </c>
      <c r="M211" s="3">
        <f>IF(E211&gt;0, L211/E211, 0)</f>
        <v/>
      </c>
      <c r="N211" s="3" t="n"/>
      <c r="O211">
        <f>IFERROR(INT((A211-2-VLOOKUP(D211,'Flock Reference'!$A:$B,2,FALSE))/7), "")</f>
        <v/>
      </c>
    </row>
    <row r="212">
      <c r="G212" s="3">
        <f>IF(E212&gt;0, F212/E212, 0)</f>
        <v/>
      </c>
      <c r="I212" s="3">
        <f>IF(E212&gt;0, H212/E212, 0)</f>
        <v/>
      </c>
      <c r="J212">
        <f>IF(E212&gt;0, E212-F212-H212, 0)</f>
        <v/>
      </c>
      <c r="K212" s="3">
        <f>IF(E212&gt;0, J212/E212, 0)</f>
        <v/>
      </c>
      <c r="M212" s="3">
        <f>IF(E212&gt;0, L212/E212, 0)</f>
        <v/>
      </c>
      <c r="N212" s="3" t="n"/>
      <c r="O212">
        <f>IFERROR(INT((A212-2-VLOOKUP(D212,'Flock Reference'!$A:$B,2,FALSE))/7), "")</f>
        <v/>
      </c>
    </row>
    <row r="213">
      <c r="G213" s="3">
        <f>IF(E213&gt;0, F213/E213, 0)</f>
        <v/>
      </c>
      <c r="I213" s="3">
        <f>IF(E213&gt;0, H213/E213, 0)</f>
        <v/>
      </c>
      <c r="J213">
        <f>IF(E213&gt;0, E213-F213-H213, 0)</f>
        <v/>
      </c>
      <c r="K213" s="3">
        <f>IF(E213&gt;0, J213/E213, 0)</f>
        <v/>
      </c>
      <c r="M213" s="3">
        <f>IF(E213&gt;0, L213/E213, 0)</f>
        <v/>
      </c>
      <c r="N213" s="3" t="n"/>
      <c r="O213">
        <f>IFERROR(INT((A213-2-VLOOKUP(D213,'Flock Reference'!$A:$B,2,FALSE))/7), "")</f>
        <v/>
      </c>
    </row>
    <row r="214">
      <c r="G214" s="3">
        <f>IF(E214&gt;0, F214/E214, 0)</f>
        <v/>
      </c>
      <c r="I214" s="3">
        <f>IF(E214&gt;0, H214/E214, 0)</f>
        <v/>
      </c>
      <c r="J214">
        <f>IF(E214&gt;0, E214-F214-H214, 0)</f>
        <v/>
      </c>
      <c r="K214" s="3">
        <f>IF(E214&gt;0, J214/E214, 0)</f>
        <v/>
      </c>
      <c r="M214" s="3">
        <f>IF(E214&gt;0, L214/E214, 0)</f>
        <v/>
      </c>
      <c r="N214" s="3" t="n"/>
      <c r="O214">
        <f>IFERROR(INT((A214-2-VLOOKUP(D214,'Flock Reference'!$A:$B,2,FALSE))/7), "")</f>
        <v/>
      </c>
    </row>
    <row r="215">
      <c r="G215" s="3">
        <f>IF(E215&gt;0, F215/E215, 0)</f>
        <v/>
      </c>
      <c r="I215" s="3">
        <f>IF(E215&gt;0, H215/E215, 0)</f>
        <v/>
      </c>
      <c r="J215">
        <f>IF(E215&gt;0, E215-F215-H215, 0)</f>
        <v/>
      </c>
      <c r="K215" s="3">
        <f>IF(E215&gt;0, J215/E215, 0)</f>
        <v/>
      </c>
      <c r="M215" s="3">
        <f>IF(E215&gt;0, L215/E215, 0)</f>
        <v/>
      </c>
      <c r="N215" s="3" t="n"/>
      <c r="O215">
        <f>IFERROR(INT((A215-2-VLOOKUP(D215,'Flock Reference'!$A:$B,2,FALSE))/7), "")</f>
        <v/>
      </c>
    </row>
    <row r="216">
      <c r="G216" s="3">
        <f>IF(E216&gt;0, F216/E216, 0)</f>
        <v/>
      </c>
      <c r="I216" s="3">
        <f>IF(E216&gt;0, H216/E216, 0)</f>
        <v/>
      </c>
      <c r="J216">
        <f>IF(E216&gt;0, E216-F216-H216, 0)</f>
        <v/>
      </c>
      <c r="K216" s="3">
        <f>IF(E216&gt;0, J216/E216, 0)</f>
        <v/>
      </c>
      <c r="M216" s="3">
        <f>IF(E216&gt;0, L216/E216, 0)</f>
        <v/>
      </c>
      <c r="N216" s="3" t="n"/>
      <c r="O216">
        <f>IFERROR(INT((A216-2-VLOOKUP(D216,'Flock Reference'!$A:$B,2,FALSE))/7), "")</f>
        <v/>
      </c>
    </row>
    <row r="217">
      <c r="G217" s="3">
        <f>IF(E217&gt;0, F217/E217, 0)</f>
        <v/>
      </c>
      <c r="I217" s="3">
        <f>IF(E217&gt;0, H217/E217, 0)</f>
        <v/>
      </c>
      <c r="J217">
        <f>IF(E217&gt;0, E217-F217-H217, 0)</f>
        <v/>
      </c>
      <c r="K217" s="3">
        <f>IF(E217&gt;0, J217/E217, 0)</f>
        <v/>
      </c>
      <c r="M217" s="3">
        <f>IF(E217&gt;0, L217/E217, 0)</f>
        <v/>
      </c>
      <c r="N217" s="3" t="n"/>
      <c r="O217">
        <f>IFERROR(INT((A217-2-VLOOKUP(D217,'Flock Reference'!$A:$B,2,FALSE))/7), "")</f>
        <v/>
      </c>
    </row>
    <row r="218">
      <c r="G218" s="3">
        <f>IF(E218&gt;0, F218/E218, 0)</f>
        <v/>
      </c>
      <c r="I218" s="3">
        <f>IF(E218&gt;0, H218/E218, 0)</f>
        <v/>
      </c>
      <c r="J218">
        <f>IF(E218&gt;0, E218-F218-H218, 0)</f>
        <v/>
      </c>
      <c r="K218" s="3">
        <f>IF(E218&gt;0, J218/E218, 0)</f>
        <v/>
      </c>
      <c r="M218" s="3">
        <f>IF(E218&gt;0, L218/E218, 0)</f>
        <v/>
      </c>
      <c r="N218" s="3" t="n"/>
      <c r="O218">
        <f>IFERROR(INT((A218-2-VLOOKUP(D218,'Flock Reference'!$A:$B,2,FALSE))/7), "")</f>
        <v/>
      </c>
    </row>
    <row r="219">
      <c r="G219" s="3">
        <f>IF(E219&gt;0, F219/E219, 0)</f>
        <v/>
      </c>
      <c r="I219" s="3">
        <f>IF(E219&gt;0, H219/E219, 0)</f>
        <v/>
      </c>
      <c r="J219">
        <f>IF(E219&gt;0, E219-F219-H219, 0)</f>
        <v/>
      </c>
      <c r="K219" s="3">
        <f>IF(E219&gt;0, J219/E219, 0)</f>
        <v/>
      </c>
      <c r="M219" s="3">
        <f>IF(E219&gt;0, L219/E219, 0)</f>
        <v/>
      </c>
      <c r="N219" s="3" t="n"/>
      <c r="O219">
        <f>IFERROR(INT((A219-2-VLOOKUP(D219,'Flock Reference'!$A:$B,2,FALSE))/7), "")</f>
        <v/>
      </c>
    </row>
    <row r="220">
      <c r="G220" s="3">
        <f>IF(E220&gt;0, F220/E220, 0)</f>
        <v/>
      </c>
      <c r="I220" s="3">
        <f>IF(E220&gt;0, H220/E220, 0)</f>
        <v/>
      </c>
      <c r="J220">
        <f>IF(E220&gt;0, E220-F220-H220, 0)</f>
        <v/>
      </c>
      <c r="K220" s="3">
        <f>IF(E220&gt;0, J220/E220, 0)</f>
        <v/>
      </c>
      <c r="M220" s="3">
        <f>IF(E220&gt;0, L220/E220, 0)</f>
        <v/>
      </c>
      <c r="N220" s="3" t="n"/>
      <c r="O220">
        <f>IFERROR(INT((A220-2-VLOOKUP(D220,'Flock Reference'!$A:$B,2,FALSE))/7), "")</f>
        <v/>
      </c>
    </row>
    <row r="221">
      <c r="G221" s="3">
        <f>IF(E221&gt;0, F221/E221, 0)</f>
        <v/>
      </c>
      <c r="I221" s="3">
        <f>IF(E221&gt;0, H221/E221, 0)</f>
        <v/>
      </c>
      <c r="J221">
        <f>IF(E221&gt;0, E221-F221-H221, 0)</f>
        <v/>
      </c>
      <c r="K221" s="3">
        <f>IF(E221&gt;0, J221/E221, 0)</f>
        <v/>
      </c>
      <c r="M221" s="3">
        <f>IF(E221&gt;0, L221/E221, 0)</f>
        <v/>
      </c>
      <c r="N221" s="3" t="n"/>
      <c r="O221">
        <f>IFERROR(INT((A221-2-VLOOKUP(D221,'Flock Reference'!$A:$B,2,FALSE))/7), "")</f>
        <v/>
      </c>
    </row>
    <row r="222">
      <c r="G222" s="3">
        <f>IF(E222&gt;0, F222/E222, 0)</f>
        <v/>
      </c>
      <c r="I222" s="3">
        <f>IF(E222&gt;0, H222/E222, 0)</f>
        <v/>
      </c>
      <c r="J222">
        <f>IF(E222&gt;0, E222-F222-H222, 0)</f>
        <v/>
      </c>
      <c r="K222" s="3">
        <f>IF(E222&gt;0, J222/E222, 0)</f>
        <v/>
      </c>
      <c r="M222" s="3">
        <f>IF(E222&gt;0, L222/E222, 0)</f>
        <v/>
      </c>
      <c r="N222" s="3" t="n"/>
      <c r="O222">
        <f>IFERROR(INT((A222-2-VLOOKUP(D222,'Flock Reference'!$A:$B,2,FALSE))/7), "")</f>
        <v/>
      </c>
    </row>
    <row r="223">
      <c r="G223" s="3">
        <f>IF(E223&gt;0, F223/E223, 0)</f>
        <v/>
      </c>
      <c r="I223" s="3">
        <f>IF(E223&gt;0, H223/E223, 0)</f>
        <v/>
      </c>
      <c r="J223">
        <f>IF(E223&gt;0, E223-F223-H223, 0)</f>
        <v/>
      </c>
      <c r="K223" s="3">
        <f>IF(E223&gt;0, J223/E223, 0)</f>
        <v/>
      </c>
      <c r="M223" s="3">
        <f>IF(E223&gt;0, L223/E223, 0)</f>
        <v/>
      </c>
      <c r="N223" s="3" t="n"/>
      <c r="O223">
        <f>IFERROR(INT((A223-2-VLOOKUP(D223,'Flock Reference'!$A:$B,2,FALSE))/7), "")</f>
        <v/>
      </c>
    </row>
    <row r="224">
      <c r="G224" s="3">
        <f>IF(E224&gt;0, F224/E224, 0)</f>
        <v/>
      </c>
      <c r="I224" s="3">
        <f>IF(E224&gt;0, H224/E224, 0)</f>
        <v/>
      </c>
      <c r="J224">
        <f>IF(E224&gt;0, E224-F224-H224, 0)</f>
        <v/>
      </c>
      <c r="K224" s="3">
        <f>IF(E224&gt;0, J224/E224, 0)</f>
        <v/>
      </c>
      <c r="M224" s="3">
        <f>IF(E224&gt;0, L224/E224, 0)</f>
        <v/>
      </c>
      <c r="N224" s="3" t="n"/>
      <c r="O224">
        <f>IFERROR(INT((A224-2-VLOOKUP(D224,'Flock Reference'!$A:$B,2,FALSE))/7), "")</f>
        <v/>
      </c>
    </row>
    <row r="225">
      <c r="G225" s="3">
        <f>IF(E225&gt;0, F225/E225, 0)</f>
        <v/>
      </c>
      <c r="I225" s="3">
        <f>IF(E225&gt;0, H225/E225, 0)</f>
        <v/>
      </c>
      <c r="J225">
        <f>IF(E225&gt;0, E225-F225-H225, 0)</f>
        <v/>
      </c>
      <c r="K225" s="3">
        <f>IF(E225&gt;0, J225/E225, 0)</f>
        <v/>
      </c>
      <c r="M225" s="3">
        <f>IF(E225&gt;0, L225/E225, 0)</f>
        <v/>
      </c>
      <c r="N225" s="3" t="n"/>
      <c r="O225">
        <f>IFERROR(INT((A225-2-VLOOKUP(D225,'Flock Reference'!$A:$B,2,FALSE))/7), "")</f>
        <v/>
      </c>
    </row>
    <row r="226">
      <c r="G226" s="3">
        <f>IF(E226&gt;0, F226/E226, 0)</f>
        <v/>
      </c>
      <c r="I226" s="3">
        <f>IF(E226&gt;0, H226/E226, 0)</f>
        <v/>
      </c>
      <c r="J226">
        <f>IF(E226&gt;0, E226-F226-H226, 0)</f>
        <v/>
      </c>
      <c r="K226" s="3">
        <f>IF(E226&gt;0, J226/E226, 0)</f>
        <v/>
      </c>
      <c r="M226" s="3">
        <f>IF(E226&gt;0, L226/E226, 0)</f>
        <v/>
      </c>
      <c r="N226" s="3" t="n"/>
      <c r="O226">
        <f>IFERROR(INT((A226-2-VLOOKUP(D226,'Flock Reference'!$A:$B,2,FALSE))/7), "")</f>
        <v/>
      </c>
    </row>
    <row r="227">
      <c r="G227" s="3">
        <f>IF(E227&gt;0, F227/E227, 0)</f>
        <v/>
      </c>
      <c r="I227" s="3">
        <f>IF(E227&gt;0, H227/E227, 0)</f>
        <v/>
      </c>
      <c r="J227">
        <f>IF(E227&gt;0, E227-F227-H227, 0)</f>
        <v/>
      </c>
      <c r="K227" s="3">
        <f>IF(E227&gt;0, J227/E227, 0)</f>
        <v/>
      </c>
      <c r="M227" s="3">
        <f>IF(E227&gt;0, L227/E227, 0)</f>
        <v/>
      </c>
      <c r="N227" s="3" t="n"/>
      <c r="O227">
        <f>IFERROR(INT((A227-2-VLOOKUP(D227,'Flock Reference'!$A:$B,2,FALSE))/7), "")</f>
        <v/>
      </c>
    </row>
    <row r="228">
      <c r="G228" s="3">
        <f>IF(E228&gt;0, F228/E228, 0)</f>
        <v/>
      </c>
      <c r="I228" s="3">
        <f>IF(E228&gt;0, H228/E228, 0)</f>
        <v/>
      </c>
      <c r="J228">
        <f>IF(E228&gt;0, E228-F228-H228, 0)</f>
        <v/>
      </c>
      <c r="K228" s="3">
        <f>IF(E228&gt;0, J228/E228, 0)</f>
        <v/>
      </c>
      <c r="M228" s="3">
        <f>IF(E228&gt;0, L228/E228, 0)</f>
        <v/>
      </c>
      <c r="N228" s="3" t="n"/>
      <c r="O228">
        <f>IFERROR(INT((A228-2-VLOOKUP(D228,'Flock Reference'!$A:$B,2,FALSE))/7), "")</f>
        <v/>
      </c>
    </row>
    <row r="229">
      <c r="G229" s="3">
        <f>IF(E229&gt;0, F229/E229, 0)</f>
        <v/>
      </c>
      <c r="I229" s="3">
        <f>IF(E229&gt;0, H229/E229, 0)</f>
        <v/>
      </c>
      <c r="J229">
        <f>IF(E229&gt;0, E229-F229-H229, 0)</f>
        <v/>
      </c>
      <c r="K229" s="3">
        <f>IF(E229&gt;0, J229/E229, 0)</f>
        <v/>
      </c>
      <c r="M229" s="3">
        <f>IF(E229&gt;0, L229/E229, 0)</f>
        <v/>
      </c>
      <c r="N229" s="3" t="n"/>
      <c r="O229">
        <f>IFERROR(INT((A229-2-VLOOKUP(D229,'Flock Reference'!$A:$B,2,FALSE))/7), "")</f>
        <v/>
      </c>
    </row>
    <row r="230">
      <c r="G230" s="3">
        <f>IF(E230&gt;0, F230/E230, 0)</f>
        <v/>
      </c>
      <c r="I230" s="3">
        <f>IF(E230&gt;0, H230/E230, 0)</f>
        <v/>
      </c>
      <c r="J230">
        <f>IF(E230&gt;0, E230-F230-H230, 0)</f>
        <v/>
      </c>
      <c r="K230" s="3">
        <f>IF(E230&gt;0, J230/E230, 0)</f>
        <v/>
      </c>
      <c r="M230" s="3">
        <f>IF(E230&gt;0, L230/E230, 0)</f>
        <v/>
      </c>
      <c r="N230" s="3" t="n"/>
      <c r="O230">
        <f>IFERROR(INT((A230-2-VLOOKUP(D230,'Flock Reference'!$A:$B,2,FALSE))/7), "")</f>
        <v/>
      </c>
    </row>
    <row r="231">
      <c r="G231" s="3">
        <f>IF(E231&gt;0, F231/E231, 0)</f>
        <v/>
      </c>
      <c r="I231" s="3">
        <f>IF(E231&gt;0, H231/E231, 0)</f>
        <v/>
      </c>
      <c r="J231">
        <f>IF(E231&gt;0, E231-F231-H231, 0)</f>
        <v/>
      </c>
      <c r="K231" s="3">
        <f>IF(E231&gt;0, J231/E231, 0)</f>
        <v/>
      </c>
      <c r="M231" s="3">
        <f>IF(E231&gt;0, L231/E231, 0)</f>
        <v/>
      </c>
      <c r="N231" s="3" t="n"/>
      <c r="O231">
        <f>IFERROR(INT((A231-2-VLOOKUP(D231,'Flock Reference'!$A:$B,2,FALSE))/7), "")</f>
        <v/>
      </c>
    </row>
    <row r="232">
      <c r="G232" s="3">
        <f>IF(E232&gt;0, F232/E232, 0)</f>
        <v/>
      </c>
      <c r="I232" s="3">
        <f>IF(E232&gt;0, H232/E232, 0)</f>
        <v/>
      </c>
      <c r="J232">
        <f>IF(E232&gt;0, E232-F232-H232, 0)</f>
        <v/>
      </c>
      <c r="K232" s="3">
        <f>IF(E232&gt;0, J232/E232, 0)</f>
        <v/>
      </c>
      <c r="M232" s="3">
        <f>IF(E232&gt;0, L232/E232, 0)</f>
        <v/>
      </c>
      <c r="N232" s="3" t="n"/>
      <c r="O232">
        <f>IFERROR(INT((A232-2-VLOOKUP(D232,'Flock Reference'!$A:$B,2,FALSE))/7), "")</f>
        <v/>
      </c>
    </row>
    <row r="233">
      <c r="G233" s="3">
        <f>IF(E233&gt;0, F233/E233, 0)</f>
        <v/>
      </c>
      <c r="I233" s="3">
        <f>IF(E233&gt;0, H233/E233, 0)</f>
        <v/>
      </c>
      <c r="J233">
        <f>IF(E233&gt;0, E233-F233-H233, 0)</f>
        <v/>
      </c>
      <c r="K233" s="3">
        <f>IF(E233&gt;0, J233/E233, 0)</f>
        <v/>
      </c>
      <c r="M233" s="3">
        <f>IF(E233&gt;0, L233/E233, 0)</f>
        <v/>
      </c>
      <c r="N233" s="3" t="n"/>
      <c r="O233">
        <f>IFERROR(INT((A233-2-VLOOKUP(D233,'Flock Reference'!$A:$B,2,FALSE))/7), "")</f>
        <v/>
      </c>
    </row>
    <row r="234">
      <c r="G234" s="3">
        <f>IF(E234&gt;0, F234/E234, 0)</f>
        <v/>
      </c>
      <c r="I234" s="3">
        <f>IF(E234&gt;0, H234/E234, 0)</f>
        <v/>
      </c>
      <c r="J234">
        <f>IF(E234&gt;0, E234-F234-H234, 0)</f>
        <v/>
      </c>
      <c r="K234" s="3">
        <f>IF(E234&gt;0, J234/E234, 0)</f>
        <v/>
      </c>
      <c r="M234" s="3">
        <f>IF(E234&gt;0, L234/E234, 0)</f>
        <v/>
      </c>
      <c r="N234" s="3" t="n"/>
      <c r="O234">
        <f>IFERROR(INT((A234-2-VLOOKUP(D234,'Flock Reference'!$A:$B,2,FALSE))/7), "")</f>
        <v/>
      </c>
    </row>
    <row r="235">
      <c r="G235" s="3">
        <f>IF(E235&gt;0, F235/E235, 0)</f>
        <v/>
      </c>
      <c r="I235" s="3">
        <f>IF(E235&gt;0, H235/E235, 0)</f>
        <v/>
      </c>
      <c r="J235">
        <f>IF(E235&gt;0, E235-F235-H235, 0)</f>
        <v/>
      </c>
      <c r="K235" s="3">
        <f>IF(E235&gt;0, J235/E235, 0)</f>
        <v/>
      </c>
      <c r="M235" s="3">
        <f>IF(E235&gt;0, L235/E235, 0)</f>
        <v/>
      </c>
      <c r="N235" s="3" t="n"/>
      <c r="O235">
        <f>IFERROR(INT((A235-2-VLOOKUP(D235,'Flock Reference'!$A:$B,2,FALSE))/7), "")</f>
        <v/>
      </c>
    </row>
    <row r="236">
      <c r="G236" s="3">
        <f>IF(E236&gt;0, F236/E236, 0)</f>
        <v/>
      </c>
      <c r="I236" s="3">
        <f>IF(E236&gt;0, H236/E236, 0)</f>
        <v/>
      </c>
      <c r="J236">
        <f>IF(E236&gt;0, E236-F236-H236, 0)</f>
        <v/>
      </c>
      <c r="K236" s="3">
        <f>IF(E236&gt;0, J236/E236, 0)</f>
        <v/>
      </c>
      <c r="M236" s="3">
        <f>IF(E236&gt;0, L236/E236, 0)</f>
        <v/>
      </c>
      <c r="N236" s="3" t="n"/>
      <c r="O236">
        <f>IFERROR(INT((A236-2-VLOOKUP(D236,'Flock Reference'!$A:$B,2,FALSE))/7), "")</f>
        <v/>
      </c>
    </row>
    <row r="237">
      <c r="G237" s="3">
        <f>IF(E237&gt;0, F237/E237, 0)</f>
        <v/>
      </c>
      <c r="I237" s="3">
        <f>IF(E237&gt;0, H237/E237, 0)</f>
        <v/>
      </c>
      <c r="J237">
        <f>IF(E237&gt;0, E237-F237-H237, 0)</f>
        <v/>
      </c>
      <c r="K237" s="3">
        <f>IF(E237&gt;0, J237/E237, 0)</f>
        <v/>
      </c>
      <c r="M237" s="3">
        <f>IF(E237&gt;0, L237/E237, 0)</f>
        <v/>
      </c>
      <c r="N237" s="3" t="n"/>
      <c r="O237">
        <f>IFERROR(INT((A237-2-VLOOKUP(D237,'Flock Reference'!$A:$B,2,FALSE))/7), "")</f>
        <v/>
      </c>
    </row>
    <row r="238">
      <c r="G238" s="3">
        <f>IF(E238&gt;0, F238/E238, 0)</f>
        <v/>
      </c>
      <c r="I238" s="3">
        <f>IF(E238&gt;0, H238/E238, 0)</f>
        <v/>
      </c>
      <c r="J238">
        <f>IF(E238&gt;0, E238-F238-H238, 0)</f>
        <v/>
      </c>
      <c r="K238" s="3">
        <f>IF(E238&gt;0, J238/E238, 0)</f>
        <v/>
      </c>
      <c r="M238" s="3">
        <f>IF(E238&gt;0, L238/E238, 0)</f>
        <v/>
      </c>
      <c r="N238" s="3" t="n"/>
      <c r="O238">
        <f>IFERROR(INT((A238-2-VLOOKUP(D238,'Flock Reference'!$A:$B,2,FALSE))/7), "")</f>
        <v/>
      </c>
    </row>
    <row r="239">
      <c r="G239" s="3">
        <f>IF(E239&gt;0, F239/E239, 0)</f>
        <v/>
      </c>
      <c r="I239" s="3">
        <f>IF(E239&gt;0, H239/E239, 0)</f>
        <v/>
      </c>
      <c r="J239">
        <f>IF(E239&gt;0, E239-F239-H239, 0)</f>
        <v/>
      </c>
      <c r="K239" s="3">
        <f>IF(E239&gt;0, J239/E239, 0)</f>
        <v/>
      </c>
      <c r="M239" s="3">
        <f>IF(E239&gt;0, L239/E239, 0)</f>
        <v/>
      </c>
      <c r="N239" s="3" t="n"/>
      <c r="O239">
        <f>IFERROR(INT((A239-2-VLOOKUP(D239,'Flock Reference'!$A:$B,2,FALSE))/7), "")</f>
        <v/>
      </c>
    </row>
    <row r="240">
      <c r="G240" s="3">
        <f>IF(E240&gt;0, F240/E240, 0)</f>
        <v/>
      </c>
      <c r="I240" s="3">
        <f>IF(E240&gt;0, H240/E240, 0)</f>
        <v/>
      </c>
      <c r="J240">
        <f>IF(E240&gt;0, E240-F240-H240, 0)</f>
        <v/>
      </c>
      <c r="K240" s="3">
        <f>IF(E240&gt;0, J240/E240, 0)</f>
        <v/>
      </c>
      <c r="M240" s="3">
        <f>IF(E240&gt;0, L240/E240, 0)</f>
        <v/>
      </c>
      <c r="N240" s="3" t="n"/>
      <c r="O240">
        <f>IFERROR(INT((A240-2-VLOOKUP(D240,'Flock Reference'!$A:$B,2,FALSE))/7), "")</f>
        <v/>
      </c>
    </row>
    <row r="241">
      <c r="G241" s="3">
        <f>IF(E241&gt;0, F241/E241, 0)</f>
        <v/>
      </c>
      <c r="I241" s="3">
        <f>IF(E241&gt;0, H241/E241, 0)</f>
        <v/>
      </c>
      <c r="J241">
        <f>IF(E241&gt;0, E241-F241-H241, 0)</f>
        <v/>
      </c>
      <c r="K241" s="3">
        <f>IF(E241&gt;0, J241/E241, 0)</f>
        <v/>
      </c>
      <c r="M241" s="3">
        <f>IF(E241&gt;0, L241/E241, 0)</f>
        <v/>
      </c>
      <c r="N241" s="3" t="n"/>
      <c r="O241">
        <f>IFERROR(INT((A241-2-VLOOKUP(D241,'Flock Reference'!$A:$B,2,FALSE))/7), "")</f>
        <v/>
      </c>
    </row>
    <row r="242">
      <c r="G242" s="3">
        <f>IF(E242&gt;0, F242/E242, 0)</f>
        <v/>
      </c>
      <c r="I242" s="3">
        <f>IF(E242&gt;0, H242/E242, 0)</f>
        <v/>
      </c>
      <c r="J242">
        <f>IF(E242&gt;0, E242-F242-H242, 0)</f>
        <v/>
      </c>
      <c r="K242" s="3">
        <f>IF(E242&gt;0, J242/E242, 0)</f>
        <v/>
      </c>
      <c r="M242" s="3">
        <f>IF(E242&gt;0, L242/E242, 0)</f>
        <v/>
      </c>
      <c r="N242" s="3" t="n"/>
      <c r="O242">
        <f>IFERROR(INT((A242-2-VLOOKUP(D242,'Flock Reference'!$A:$B,2,FALSE))/7), "")</f>
        <v/>
      </c>
    </row>
    <row r="243">
      <c r="G243" s="3">
        <f>IF(E243&gt;0, F243/E243, 0)</f>
        <v/>
      </c>
      <c r="I243" s="3">
        <f>IF(E243&gt;0, H243/E243, 0)</f>
        <v/>
      </c>
      <c r="J243">
        <f>IF(E243&gt;0, E243-F243-H243, 0)</f>
        <v/>
      </c>
      <c r="K243" s="3">
        <f>IF(E243&gt;0, J243/E243, 0)</f>
        <v/>
      </c>
      <c r="M243" s="3">
        <f>IF(E243&gt;0, L243/E243, 0)</f>
        <v/>
      </c>
      <c r="N243" s="3" t="n"/>
      <c r="O243">
        <f>IFERROR(INT((A243-2-VLOOKUP(D243,'Flock Reference'!$A:$B,2,FALSE))/7), "")</f>
        <v/>
      </c>
    </row>
    <row r="244">
      <c r="G244" s="3">
        <f>IF(E244&gt;0, F244/E244, 0)</f>
        <v/>
      </c>
      <c r="I244" s="3">
        <f>IF(E244&gt;0, H244/E244, 0)</f>
        <v/>
      </c>
      <c r="J244">
        <f>IF(E244&gt;0, E244-F244-H244, 0)</f>
        <v/>
      </c>
      <c r="K244" s="3">
        <f>IF(E244&gt;0, J244/E244, 0)</f>
        <v/>
      </c>
      <c r="M244" s="3">
        <f>IF(E244&gt;0, L244/E244, 0)</f>
        <v/>
      </c>
      <c r="N244" s="3" t="n"/>
      <c r="O244">
        <f>IFERROR(INT((A244-2-VLOOKUP(D244,'Flock Reference'!$A:$B,2,FALSE))/7), "")</f>
        <v/>
      </c>
    </row>
    <row r="245">
      <c r="G245" s="3">
        <f>IF(E245&gt;0, F245/E245, 0)</f>
        <v/>
      </c>
      <c r="I245" s="3">
        <f>IF(E245&gt;0, H245/E245, 0)</f>
        <v/>
      </c>
      <c r="J245">
        <f>IF(E245&gt;0, E245-F245-H245, 0)</f>
        <v/>
      </c>
      <c r="K245" s="3">
        <f>IF(E245&gt;0, J245/E245, 0)</f>
        <v/>
      </c>
      <c r="M245" s="3">
        <f>IF(E245&gt;0, L245/E245, 0)</f>
        <v/>
      </c>
      <c r="N245" s="3" t="n"/>
      <c r="O245">
        <f>IFERROR(INT((A245-2-VLOOKUP(D245,'Flock Reference'!$A:$B,2,FALSE))/7), "")</f>
        <v/>
      </c>
    </row>
    <row r="246">
      <c r="G246" s="3">
        <f>IF(E246&gt;0, F246/E246, 0)</f>
        <v/>
      </c>
      <c r="I246" s="3">
        <f>IF(E246&gt;0, H246/E246, 0)</f>
        <v/>
      </c>
      <c r="J246">
        <f>IF(E246&gt;0, E246-F246-H246, 0)</f>
        <v/>
      </c>
      <c r="K246" s="3">
        <f>IF(E246&gt;0, J246/E246, 0)</f>
        <v/>
      </c>
      <c r="M246" s="3">
        <f>IF(E246&gt;0, L246/E246, 0)</f>
        <v/>
      </c>
      <c r="N246" s="3" t="n"/>
      <c r="O246">
        <f>IFERROR(INT((A246-2-VLOOKUP(D246,'Flock Reference'!$A:$B,2,FALSE))/7), "")</f>
        <v/>
      </c>
    </row>
    <row r="247">
      <c r="G247" s="3">
        <f>IF(E247&gt;0, F247/E247, 0)</f>
        <v/>
      </c>
      <c r="I247" s="3">
        <f>IF(E247&gt;0, H247/E247, 0)</f>
        <v/>
      </c>
      <c r="J247">
        <f>IF(E247&gt;0, E247-F247-H247, 0)</f>
        <v/>
      </c>
      <c r="K247" s="3">
        <f>IF(E247&gt;0, J247/E247, 0)</f>
        <v/>
      </c>
      <c r="M247" s="3">
        <f>IF(E247&gt;0, L247/E247, 0)</f>
        <v/>
      </c>
      <c r="N247" s="3" t="n"/>
      <c r="O247">
        <f>IFERROR(INT((A247-2-VLOOKUP(D247,'Flock Reference'!$A:$B,2,FALSE))/7), "")</f>
        <v/>
      </c>
    </row>
    <row r="248">
      <c r="G248" s="3">
        <f>IF(E248&gt;0, F248/E248, 0)</f>
        <v/>
      </c>
      <c r="I248" s="3">
        <f>IF(E248&gt;0, H248/E248, 0)</f>
        <v/>
      </c>
      <c r="J248">
        <f>IF(E248&gt;0, E248-F248-H248, 0)</f>
        <v/>
      </c>
      <c r="K248" s="3">
        <f>IF(E248&gt;0, J248/E248, 0)</f>
        <v/>
      </c>
      <c r="M248" s="3">
        <f>IF(E248&gt;0, L248/E248, 0)</f>
        <v/>
      </c>
      <c r="N248" s="3" t="n"/>
      <c r="O248">
        <f>IFERROR(INT((A248-2-VLOOKUP(D248,'Flock Reference'!$A:$B,2,FALSE))/7), "")</f>
        <v/>
      </c>
    </row>
    <row r="249">
      <c r="G249" s="3">
        <f>IF(E249&gt;0, F249/E249, 0)</f>
        <v/>
      </c>
      <c r="I249" s="3">
        <f>IF(E249&gt;0, H249/E249, 0)</f>
        <v/>
      </c>
      <c r="J249">
        <f>IF(E249&gt;0, E249-F249-H249, 0)</f>
        <v/>
      </c>
      <c r="K249" s="3">
        <f>IF(E249&gt;0, J249/E249, 0)</f>
        <v/>
      </c>
      <c r="M249" s="3">
        <f>IF(E249&gt;0, L249/E249, 0)</f>
        <v/>
      </c>
      <c r="N249" s="3" t="n"/>
      <c r="O249">
        <f>IFERROR(INT((A249-2-VLOOKUP(D249,'Flock Reference'!$A:$B,2,FALSE))/7), "")</f>
        <v/>
      </c>
    </row>
    <row r="250">
      <c r="G250" s="3">
        <f>IF(E250&gt;0, F250/E250, 0)</f>
        <v/>
      </c>
      <c r="I250" s="3">
        <f>IF(E250&gt;0, H250/E250, 0)</f>
        <v/>
      </c>
      <c r="J250">
        <f>IF(E250&gt;0, E250-F250-H250, 0)</f>
        <v/>
      </c>
      <c r="K250" s="3">
        <f>IF(E250&gt;0, J250/E250, 0)</f>
        <v/>
      </c>
      <c r="M250" s="3">
        <f>IF(E250&gt;0, L250/E250, 0)</f>
        <v/>
      </c>
      <c r="N250" s="3" t="n"/>
      <c r="O250">
        <f>IFERROR(INT((A250-2-VLOOKUP(D250,'Flock Reference'!$A:$B,2,FALSE))/7), "")</f>
        <v/>
      </c>
    </row>
    <row r="251">
      <c r="G251" s="3">
        <f>IF(E251&gt;0, F251/E251, 0)</f>
        <v/>
      </c>
      <c r="I251" s="3">
        <f>IF(E251&gt;0, H251/E251, 0)</f>
        <v/>
      </c>
      <c r="J251">
        <f>IF(E251&gt;0, E251-F251-H251, 0)</f>
        <v/>
      </c>
      <c r="K251" s="3">
        <f>IF(E251&gt;0, J251/E251, 0)</f>
        <v/>
      </c>
      <c r="M251" s="3">
        <f>IF(E251&gt;0, L251/E251, 0)</f>
        <v/>
      </c>
      <c r="N251" s="3" t="n"/>
      <c r="O251">
        <f>IFERROR(INT((A251-2-VLOOKUP(D251,'Flock Reference'!$A:$B,2,FALSE))/7), "")</f>
        <v/>
      </c>
    </row>
    <row r="252">
      <c r="G252" s="3">
        <f>IF(E252&gt;0, F252/E252, 0)</f>
        <v/>
      </c>
      <c r="I252" s="3">
        <f>IF(E252&gt;0, H252/E252, 0)</f>
        <v/>
      </c>
      <c r="J252">
        <f>IF(E252&gt;0, E252-F252-H252, 0)</f>
        <v/>
      </c>
      <c r="K252" s="3">
        <f>IF(E252&gt;0, J252/E252, 0)</f>
        <v/>
      </c>
      <c r="M252" s="3">
        <f>IF(E252&gt;0, L252/E252, 0)</f>
        <v/>
      </c>
      <c r="N252" s="3" t="n"/>
      <c r="O252">
        <f>IFERROR(INT((A252-2-VLOOKUP(D252,'Flock Reference'!$A:$B,2,FALSE))/7), "")</f>
        <v/>
      </c>
    </row>
    <row r="253">
      <c r="G253" s="3">
        <f>IF(E253&gt;0, F253/E253, 0)</f>
        <v/>
      </c>
      <c r="I253" s="3">
        <f>IF(E253&gt;0, H253/E253, 0)</f>
        <v/>
      </c>
      <c r="J253">
        <f>IF(E253&gt;0, E253-F253-H253, 0)</f>
        <v/>
      </c>
      <c r="K253" s="3">
        <f>IF(E253&gt;0, J253/E253, 0)</f>
        <v/>
      </c>
      <c r="M253" s="3">
        <f>IF(E253&gt;0, L253/E253, 0)</f>
        <v/>
      </c>
      <c r="N253" s="3" t="n"/>
      <c r="O253">
        <f>IFERROR(INT((A253-2-VLOOKUP(D253,'Flock Reference'!$A:$B,2,FALSE))/7), "")</f>
        <v/>
      </c>
    </row>
    <row r="254">
      <c r="G254" s="3">
        <f>IF(E254&gt;0, F254/E254, 0)</f>
        <v/>
      </c>
      <c r="I254" s="3">
        <f>IF(E254&gt;0, H254/E254, 0)</f>
        <v/>
      </c>
      <c r="J254">
        <f>IF(E254&gt;0, E254-F254-H254, 0)</f>
        <v/>
      </c>
      <c r="K254" s="3">
        <f>IF(E254&gt;0, J254/E254, 0)</f>
        <v/>
      </c>
      <c r="M254" s="3">
        <f>IF(E254&gt;0, L254/E254, 0)</f>
        <v/>
      </c>
      <c r="N254" s="3" t="n"/>
      <c r="O254">
        <f>IFERROR(INT((A254-2-VLOOKUP(D254,'Flock Reference'!$A:$B,2,FALSE))/7), "")</f>
        <v/>
      </c>
    </row>
    <row r="255">
      <c r="G255" s="3">
        <f>IF(E255&gt;0, F255/E255, 0)</f>
        <v/>
      </c>
      <c r="I255" s="3">
        <f>IF(E255&gt;0, H255/E255, 0)</f>
        <v/>
      </c>
      <c r="J255">
        <f>IF(E255&gt;0, E255-F255-H255, 0)</f>
        <v/>
      </c>
      <c r="K255" s="3">
        <f>IF(E255&gt;0, J255/E255, 0)</f>
        <v/>
      </c>
      <c r="M255" s="3">
        <f>IF(E255&gt;0, L255/E255, 0)</f>
        <v/>
      </c>
      <c r="N255" s="3" t="n"/>
      <c r="O255">
        <f>IFERROR(INT((A255-2-VLOOKUP(D255,'Flock Reference'!$A:$B,2,FALSE))/7), "")</f>
        <v/>
      </c>
    </row>
    <row r="256">
      <c r="G256" s="3">
        <f>IF(E256&gt;0, F256/E256, 0)</f>
        <v/>
      </c>
      <c r="I256" s="3">
        <f>IF(E256&gt;0, H256/E256, 0)</f>
        <v/>
      </c>
      <c r="J256">
        <f>IF(E256&gt;0, E256-F256-H256, 0)</f>
        <v/>
      </c>
      <c r="K256" s="3">
        <f>IF(E256&gt;0, J256/E256, 0)</f>
        <v/>
      </c>
      <c r="M256" s="3">
        <f>IF(E256&gt;0, L256/E256, 0)</f>
        <v/>
      </c>
      <c r="N256" s="3" t="n"/>
      <c r="O256">
        <f>IFERROR(INT((A256-2-VLOOKUP(D256,'Flock Reference'!$A:$B,2,FALSE))/7), "")</f>
        <v/>
      </c>
    </row>
    <row r="257">
      <c r="G257" s="3">
        <f>IF(E257&gt;0, F257/E257, 0)</f>
        <v/>
      </c>
      <c r="I257" s="3">
        <f>IF(E257&gt;0, H257/E257, 0)</f>
        <v/>
      </c>
      <c r="J257">
        <f>IF(E257&gt;0, E257-F257-H257, 0)</f>
        <v/>
      </c>
      <c r="K257" s="3">
        <f>IF(E257&gt;0, J257/E257, 0)</f>
        <v/>
      </c>
      <c r="M257" s="3">
        <f>IF(E257&gt;0, L257/E257, 0)</f>
        <v/>
      </c>
      <c r="N257" s="3" t="n"/>
      <c r="O257">
        <f>IFERROR(INT((A257-2-VLOOKUP(D257,'Flock Reference'!$A:$B,2,FALSE))/7), "")</f>
        <v/>
      </c>
    </row>
    <row r="258">
      <c r="G258" s="3">
        <f>IF(E258&gt;0, F258/E258, 0)</f>
        <v/>
      </c>
      <c r="I258" s="3">
        <f>IF(E258&gt;0, H258/E258, 0)</f>
        <v/>
      </c>
      <c r="J258">
        <f>IF(E258&gt;0, E258-F258-H258, 0)</f>
        <v/>
      </c>
      <c r="K258" s="3">
        <f>IF(E258&gt;0, J258/E258, 0)</f>
        <v/>
      </c>
      <c r="M258" s="3">
        <f>IF(E258&gt;0, L258/E258, 0)</f>
        <v/>
      </c>
      <c r="N258" s="3" t="n"/>
      <c r="O258">
        <f>IFERROR(INT((A258-2-VLOOKUP(D258,'Flock Reference'!$A:$B,2,FALSE))/7), "")</f>
        <v/>
      </c>
    </row>
    <row r="259">
      <c r="G259" s="3">
        <f>IF(E259&gt;0, F259/E259, 0)</f>
        <v/>
      </c>
      <c r="I259" s="3">
        <f>IF(E259&gt;0, H259/E259, 0)</f>
        <v/>
      </c>
      <c r="J259">
        <f>IF(E259&gt;0, E259-F259-H259, 0)</f>
        <v/>
      </c>
      <c r="K259" s="3">
        <f>IF(E259&gt;0, J259/E259, 0)</f>
        <v/>
      </c>
      <c r="M259" s="3">
        <f>IF(E259&gt;0, L259/E259, 0)</f>
        <v/>
      </c>
      <c r="N259" s="3" t="n"/>
      <c r="O259">
        <f>IFERROR(INT((A259-2-VLOOKUP(D259,'Flock Reference'!$A:$B,2,FALSE))/7), "")</f>
        <v/>
      </c>
    </row>
    <row r="260">
      <c r="G260" s="3">
        <f>IF(E260&gt;0, F260/E260, 0)</f>
        <v/>
      </c>
      <c r="I260" s="3">
        <f>IF(E260&gt;0, H260/E260, 0)</f>
        <v/>
      </c>
      <c r="J260">
        <f>IF(E260&gt;0, E260-F260-H260, 0)</f>
        <v/>
      </c>
      <c r="K260" s="3">
        <f>IF(E260&gt;0, J260/E260, 0)</f>
        <v/>
      </c>
      <c r="M260" s="3">
        <f>IF(E260&gt;0, L260/E260, 0)</f>
        <v/>
      </c>
      <c r="N260" s="3" t="n"/>
      <c r="O260">
        <f>IFERROR(INT((A260-2-VLOOKUP(D260,'Flock Reference'!$A:$B,2,FALSE))/7), "")</f>
        <v/>
      </c>
    </row>
    <row r="261">
      <c r="G261" s="3">
        <f>IF(E261&gt;0, F261/E261, 0)</f>
        <v/>
      </c>
      <c r="I261" s="3">
        <f>IF(E261&gt;0, H261/E261, 0)</f>
        <v/>
      </c>
      <c r="J261">
        <f>IF(E261&gt;0, E261-F261-H261, 0)</f>
        <v/>
      </c>
      <c r="K261" s="3">
        <f>IF(E261&gt;0, J261/E261, 0)</f>
        <v/>
      </c>
      <c r="M261" s="3">
        <f>IF(E261&gt;0, L261/E261, 0)</f>
        <v/>
      </c>
      <c r="N261" s="3" t="n"/>
      <c r="O261">
        <f>IFERROR(INT((A261-2-VLOOKUP(D261,'Flock Reference'!$A:$B,2,FALSE))/7), "")</f>
        <v/>
      </c>
    </row>
    <row r="262">
      <c r="G262" s="3">
        <f>IF(E262&gt;0, F262/E262, 0)</f>
        <v/>
      </c>
      <c r="I262" s="3">
        <f>IF(E262&gt;0, H262/E262, 0)</f>
        <v/>
      </c>
      <c r="J262">
        <f>IF(E262&gt;0, E262-F262-H262, 0)</f>
        <v/>
      </c>
      <c r="K262" s="3">
        <f>IF(E262&gt;0, J262/E262, 0)</f>
        <v/>
      </c>
      <c r="M262" s="3">
        <f>IF(E262&gt;0, L262/E262, 0)</f>
        <v/>
      </c>
      <c r="N262" s="3" t="n"/>
      <c r="O262">
        <f>IFERROR(INT((A262-2-VLOOKUP(D262,'Flock Reference'!$A:$B,2,FALSE))/7), "")</f>
        <v/>
      </c>
    </row>
    <row r="263">
      <c r="G263" s="3">
        <f>IF(E263&gt;0, F263/E263, 0)</f>
        <v/>
      </c>
      <c r="I263" s="3">
        <f>IF(E263&gt;0, H263/E263, 0)</f>
        <v/>
      </c>
      <c r="J263">
        <f>IF(E263&gt;0, E263-F263-H263, 0)</f>
        <v/>
      </c>
      <c r="K263" s="3">
        <f>IF(E263&gt;0, J263/E263, 0)</f>
        <v/>
      </c>
      <c r="M263" s="3">
        <f>IF(E263&gt;0, L263/E263, 0)</f>
        <v/>
      </c>
      <c r="N263" s="3" t="n"/>
      <c r="O263">
        <f>IFERROR(INT((A263-2-VLOOKUP(D263,'Flock Reference'!$A:$B,2,FALSE))/7), "")</f>
        <v/>
      </c>
    </row>
    <row r="264">
      <c r="G264" s="3">
        <f>IF(E264&gt;0, F264/E264, 0)</f>
        <v/>
      </c>
      <c r="I264" s="3">
        <f>IF(E264&gt;0, H264/E264, 0)</f>
        <v/>
      </c>
      <c r="J264">
        <f>IF(E264&gt;0, E264-F264-H264, 0)</f>
        <v/>
      </c>
      <c r="K264" s="3">
        <f>IF(E264&gt;0, J264/E264, 0)</f>
        <v/>
      </c>
      <c r="M264" s="3">
        <f>IF(E264&gt;0, L264/E264, 0)</f>
        <v/>
      </c>
      <c r="N264" s="3" t="n"/>
      <c r="O264">
        <f>IFERROR(INT((A264-2-VLOOKUP(D264,'Flock Reference'!$A:$B,2,FALSE))/7), "")</f>
        <v/>
      </c>
    </row>
    <row r="265">
      <c r="G265" s="3">
        <f>IF(E265&gt;0, F265/E265, 0)</f>
        <v/>
      </c>
      <c r="I265" s="3">
        <f>IF(E265&gt;0, H265/E265, 0)</f>
        <v/>
      </c>
      <c r="J265">
        <f>IF(E265&gt;0, E265-F265-H265, 0)</f>
        <v/>
      </c>
      <c r="K265" s="3">
        <f>IF(E265&gt;0, J265/E265, 0)</f>
        <v/>
      </c>
      <c r="M265" s="3">
        <f>IF(E265&gt;0, L265/E265, 0)</f>
        <v/>
      </c>
      <c r="N265" s="3" t="n"/>
      <c r="O265">
        <f>IFERROR(INT((A265-2-VLOOKUP(D265,'Flock Reference'!$A:$B,2,FALSE))/7), "")</f>
        <v/>
      </c>
    </row>
    <row r="266">
      <c r="G266" s="3">
        <f>IF(E266&gt;0, F266/E266, 0)</f>
        <v/>
      </c>
      <c r="I266" s="3">
        <f>IF(E266&gt;0, H266/E266, 0)</f>
        <v/>
      </c>
      <c r="J266">
        <f>IF(E266&gt;0, E266-F266-H266, 0)</f>
        <v/>
      </c>
      <c r="K266" s="3">
        <f>IF(E266&gt;0, J266/E266, 0)</f>
        <v/>
      </c>
      <c r="M266" s="3">
        <f>IF(E266&gt;0, L266/E266, 0)</f>
        <v/>
      </c>
      <c r="N266" s="3" t="n"/>
      <c r="O266">
        <f>IFERROR(INT((A266-2-VLOOKUP(D266,'Flock Reference'!$A:$B,2,FALSE))/7), "")</f>
        <v/>
      </c>
    </row>
    <row r="267">
      <c r="G267" s="3">
        <f>IF(E267&gt;0, F267/E267, 0)</f>
        <v/>
      </c>
      <c r="I267" s="3">
        <f>IF(E267&gt;0, H267/E267, 0)</f>
        <v/>
      </c>
      <c r="J267">
        <f>IF(E267&gt;0, E267-F267-H267, 0)</f>
        <v/>
      </c>
      <c r="K267" s="3">
        <f>IF(E267&gt;0, J267/E267, 0)</f>
        <v/>
      </c>
      <c r="M267" s="3">
        <f>IF(E267&gt;0, L267/E267, 0)</f>
        <v/>
      </c>
      <c r="N267" s="3" t="n"/>
      <c r="O267">
        <f>IFERROR(INT((A267-2-VLOOKUP(D267,'Flock Reference'!$A:$B,2,FALSE))/7), "")</f>
        <v/>
      </c>
    </row>
    <row r="268">
      <c r="G268" s="3">
        <f>IF(E268&gt;0, F268/E268, 0)</f>
        <v/>
      </c>
      <c r="I268" s="3">
        <f>IF(E268&gt;0, H268/E268, 0)</f>
        <v/>
      </c>
      <c r="J268">
        <f>IF(E268&gt;0, E268-F268-H268, 0)</f>
        <v/>
      </c>
      <c r="K268" s="3">
        <f>IF(E268&gt;0, J268/E268, 0)</f>
        <v/>
      </c>
      <c r="M268" s="3">
        <f>IF(E268&gt;0, L268/E268, 0)</f>
        <v/>
      </c>
      <c r="N268" s="3" t="n"/>
      <c r="O268">
        <f>IFERROR(INT((A268-2-VLOOKUP(D268,'Flock Reference'!$A:$B,2,FALSE))/7), "")</f>
        <v/>
      </c>
    </row>
    <row r="269">
      <c r="G269" s="3">
        <f>IF(E269&gt;0, F269/E269, 0)</f>
        <v/>
      </c>
      <c r="I269" s="3">
        <f>IF(E269&gt;0, H269/E269, 0)</f>
        <v/>
      </c>
      <c r="J269">
        <f>IF(E269&gt;0, E269-F269-H269, 0)</f>
        <v/>
      </c>
      <c r="K269" s="3">
        <f>IF(E269&gt;0, J269/E269, 0)</f>
        <v/>
      </c>
      <c r="M269" s="3">
        <f>IF(E269&gt;0, L269/E269, 0)</f>
        <v/>
      </c>
      <c r="N269" s="3" t="n"/>
      <c r="O269">
        <f>IFERROR(INT((A269-2-VLOOKUP(D269,'Flock Reference'!$A:$B,2,FALSE))/7), "")</f>
        <v/>
      </c>
    </row>
    <row r="270">
      <c r="G270" s="3">
        <f>IF(E270&gt;0, F270/E270, 0)</f>
        <v/>
      </c>
      <c r="I270" s="3">
        <f>IF(E270&gt;0, H270/E270, 0)</f>
        <v/>
      </c>
      <c r="J270">
        <f>IF(E270&gt;0, E270-F270-H270, 0)</f>
        <v/>
      </c>
      <c r="K270" s="3">
        <f>IF(E270&gt;0, J270/E270, 0)</f>
        <v/>
      </c>
      <c r="M270" s="3">
        <f>IF(E270&gt;0, L270/E270, 0)</f>
        <v/>
      </c>
      <c r="N270" s="3" t="n"/>
      <c r="O270">
        <f>IFERROR(INT((A270-2-VLOOKUP(D270,'Flock Reference'!$A:$B,2,FALSE))/7), "")</f>
        <v/>
      </c>
    </row>
    <row r="271">
      <c r="G271" s="3">
        <f>IF(E271&gt;0, F271/E271, 0)</f>
        <v/>
      </c>
      <c r="I271" s="3">
        <f>IF(E271&gt;0, H271/E271, 0)</f>
        <v/>
      </c>
      <c r="J271">
        <f>IF(E271&gt;0, E271-F271-H271, 0)</f>
        <v/>
      </c>
      <c r="K271" s="3">
        <f>IF(E271&gt;0, J271/E271, 0)</f>
        <v/>
      </c>
      <c r="M271" s="3">
        <f>IF(E271&gt;0, L271/E271, 0)</f>
        <v/>
      </c>
      <c r="N271" s="3" t="n"/>
      <c r="O271">
        <f>IFERROR(INT((A271-2-VLOOKUP(D271,'Flock Reference'!$A:$B,2,FALSE))/7), "")</f>
        <v/>
      </c>
    </row>
    <row r="272">
      <c r="G272" s="3">
        <f>IF(E272&gt;0, F272/E272, 0)</f>
        <v/>
      </c>
      <c r="I272" s="3">
        <f>IF(E272&gt;0, H272/E272, 0)</f>
        <v/>
      </c>
      <c r="J272">
        <f>IF(E272&gt;0, E272-F272-H272, 0)</f>
        <v/>
      </c>
      <c r="K272" s="3">
        <f>IF(E272&gt;0, J272/E272, 0)</f>
        <v/>
      </c>
      <c r="M272" s="3">
        <f>IF(E272&gt;0, L272/E272, 0)</f>
        <v/>
      </c>
      <c r="N272" s="3" t="n"/>
      <c r="O272">
        <f>IFERROR(INT((A272-2-VLOOKUP(D272,'Flock Reference'!$A:$B,2,FALSE))/7), "")</f>
        <v/>
      </c>
    </row>
    <row r="273">
      <c r="G273" s="3">
        <f>IF(E273&gt;0, F273/E273, 0)</f>
        <v/>
      </c>
      <c r="I273" s="3">
        <f>IF(E273&gt;0, H273/E273, 0)</f>
        <v/>
      </c>
      <c r="J273">
        <f>IF(E273&gt;0, E273-F273-H273, 0)</f>
        <v/>
      </c>
      <c r="K273" s="3">
        <f>IF(E273&gt;0, J273/E273, 0)</f>
        <v/>
      </c>
      <c r="M273" s="3">
        <f>IF(E273&gt;0, L273/E273, 0)</f>
        <v/>
      </c>
      <c r="N273" s="3" t="n"/>
      <c r="O273">
        <f>IFERROR(INT((A273-2-VLOOKUP(D273,'Flock Reference'!$A:$B,2,FALSE))/7), "")</f>
        <v/>
      </c>
    </row>
    <row r="274">
      <c r="G274" s="3">
        <f>IF(E274&gt;0, F274/E274, 0)</f>
        <v/>
      </c>
      <c r="I274" s="3">
        <f>IF(E274&gt;0, H274/E274, 0)</f>
        <v/>
      </c>
      <c r="J274">
        <f>IF(E274&gt;0, E274-F274-H274, 0)</f>
        <v/>
      </c>
      <c r="K274" s="3">
        <f>IF(E274&gt;0, J274/E274, 0)</f>
        <v/>
      </c>
      <c r="M274" s="3">
        <f>IF(E274&gt;0, L274/E274, 0)</f>
        <v/>
      </c>
      <c r="N274" s="3" t="n"/>
      <c r="O274">
        <f>IFERROR(INT((A274-2-VLOOKUP(D274,'Flock Reference'!$A:$B,2,FALSE))/7), "")</f>
        <v/>
      </c>
    </row>
    <row r="275">
      <c r="G275" s="3">
        <f>IF(E275&gt;0, F275/E275, 0)</f>
        <v/>
      </c>
      <c r="I275" s="3">
        <f>IF(E275&gt;0, H275/E275, 0)</f>
        <v/>
      </c>
      <c r="J275">
        <f>IF(E275&gt;0, E275-F275-H275, 0)</f>
        <v/>
      </c>
      <c r="K275" s="3">
        <f>IF(E275&gt;0, J275/E275, 0)</f>
        <v/>
      </c>
      <c r="M275" s="3">
        <f>IF(E275&gt;0, L275/E275, 0)</f>
        <v/>
      </c>
      <c r="N275" s="3" t="n"/>
      <c r="O275">
        <f>IFERROR(INT((A275-2-VLOOKUP(D275,'Flock Reference'!$A:$B,2,FALSE))/7), "")</f>
        <v/>
      </c>
    </row>
    <row r="276">
      <c r="G276" s="3">
        <f>IF(E276&gt;0, F276/E276, 0)</f>
        <v/>
      </c>
      <c r="I276" s="3">
        <f>IF(E276&gt;0, H276/E276, 0)</f>
        <v/>
      </c>
      <c r="J276">
        <f>IF(E276&gt;0, E276-F276-H276, 0)</f>
        <v/>
      </c>
      <c r="K276" s="3">
        <f>IF(E276&gt;0, J276/E276, 0)</f>
        <v/>
      </c>
      <c r="M276" s="3">
        <f>IF(E276&gt;0, L276/E276, 0)</f>
        <v/>
      </c>
      <c r="N276" s="3" t="n"/>
      <c r="O276">
        <f>IFERROR(INT((A276-2-VLOOKUP(D276,'Flock Reference'!$A:$B,2,FALSE))/7), "")</f>
        <v/>
      </c>
    </row>
    <row r="277">
      <c r="G277" s="3">
        <f>IF(E277&gt;0, F277/E277, 0)</f>
        <v/>
      </c>
      <c r="I277" s="3">
        <f>IF(E277&gt;0, H277/E277, 0)</f>
        <v/>
      </c>
      <c r="J277">
        <f>IF(E277&gt;0, E277-F277-H277, 0)</f>
        <v/>
      </c>
      <c r="K277" s="3">
        <f>IF(E277&gt;0, J277/E277, 0)</f>
        <v/>
      </c>
      <c r="M277" s="3">
        <f>IF(E277&gt;0, L277/E277, 0)</f>
        <v/>
      </c>
      <c r="N277" s="3" t="n"/>
      <c r="O277">
        <f>IFERROR(INT((A277-2-VLOOKUP(D277,'Flock Reference'!$A:$B,2,FALSE))/7), "")</f>
        <v/>
      </c>
    </row>
    <row r="278">
      <c r="G278" s="3">
        <f>IF(E278&gt;0, F278/E278, 0)</f>
        <v/>
      </c>
      <c r="I278" s="3">
        <f>IF(E278&gt;0, H278/E278, 0)</f>
        <v/>
      </c>
      <c r="J278">
        <f>IF(E278&gt;0, E278-F278-H278, 0)</f>
        <v/>
      </c>
      <c r="K278" s="3">
        <f>IF(E278&gt;0, J278/E278, 0)</f>
        <v/>
      </c>
      <c r="M278" s="3">
        <f>IF(E278&gt;0, L278/E278, 0)</f>
        <v/>
      </c>
      <c r="N278" s="3" t="n"/>
      <c r="O278">
        <f>IFERROR(INT((A278-2-VLOOKUP(D278,'Flock Reference'!$A:$B,2,FALSE))/7), "")</f>
        <v/>
      </c>
    </row>
    <row r="279">
      <c r="G279" s="3">
        <f>IF(E279&gt;0, F279/E279, 0)</f>
        <v/>
      </c>
      <c r="I279" s="3">
        <f>IF(E279&gt;0, H279/E279, 0)</f>
        <v/>
      </c>
      <c r="J279">
        <f>IF(E279&gt;0, E279-F279-H279, 0)</f>
        <v/>
      </c>
      <c r="K279" s="3">
        <f>IF(E279&gt;0, J279/E279, 0)</f>
        <v/>
      </c>
      <c r="M279" s="3">
        <f>IF(E279&gt;0, L279/E279, 0)</f>
        <v/>
      </c>
      <c r="N279" s="3" t="n"/>
      <c r="O279">
        <f>IFERROR(INT((A279-2-VLOOKUP(D279,'Flock Reference'!$A:$B,2,FALSE))/7), "")</f>
        <v/>
      </c>
    </row>
    <row r="280">
      <c r="G280" s="3">
        <f>IF(E280&gt;0, F280/E280, 0)</f>
        <v/>
      </c>
      <c r="I280" s="3">
        <f>IF(E280&gt;0, H280/E280, 0)</f>
        <v/>
      </c>
      <c r="J280">
        <f>IF(E280&gt;0, E280-F280-H280, 0)</f>
        <v/>
      </c>
      <c r="K280" s="3">
        <f>IF(E280&gt;0, J280/E280, 0)</f>
        <v/>
      </c>
      <c r="M280" s="3">
        <f>IF(E280&gt;0, L280/E280, 0)</f>
        <v/>
      </c>
      <c r="N280" s="3" t="n"/>
      <c r="O280">
        <f>IFERROR(INT((A280-2-VLOOKUP(D280,'Flock Reference'!$A:$B,2,FALSE))/7), "")</f>
        <v/>
      </c>
    </row>
    <row r="281">
      <c r="G281" s="3">
        <f>IF(E281&gt;0, F281/E281, 0)</f>
        <v/>
      </c>
      <c r="I281" s="3">
        <f>IF(E281&gt;0, H281/E281, 0)</f>
        <v/>
      </c>
      <c r="J281">
        <f>IF(E281&gt;0, E281-F281-H281, 0)</f>
        <v/>
      </c>
      <c r="K281" s="3">
        <f>IF(E281&gt;0, J281/E281, 0)</f>
        <v/>
      </c>
      <c r="M281" s="3">
        <f>IF(E281&gt;0, L281/E281, 0)</f>
        <v/>
      </c>
      <c r="N281" s="3" t="n"/>
      <c r="O281">
        <f>IFERROR(INT((A281-2-VLOOKUP(D281,'Flock Reference'!$A:$B,2,FALSE))/7), "")</f>
        <v/>
      </c>
    </row>
    <row r="282">
      <c r="G282" s="3">
        <f>IF(E282&gt;0, F282/E282, 0)</f>
        <v/>
      </c>
      <c r="I282" s="3">
        <f>IF(E282&gt;0, H282/E282, 0)</f>
        <v/>
      </c>
      <c r="J282">
        <f>IF(E282&gt;0, E282-F282-H282, 0)</f>
        <v/>
      </c>
      <c r="K282" s="3">
        <f>IF(E282&gt;0, J282/E282, 0)</f>
        <v/>
      </c>
      <c r="M282" s="3">
        <f>IF(E282&gt;0, L282/E282, 0)</f>
        <v/>
      </c>
      <c r="N282" s="3" t="n"/>
      <c r="O282">
        <f>IFERROR(INT((A282-2-VLOOKUP(D282,'Flock Reference'!$A:$B,2,FALSE))/7), "")</f>
        <v/>
      </c>
    </row>
    <row r="283">
      <c r="G283" s="3">
        <f>IF(E283&gt;0, F283/E283, 0)</f>
        <v/>
      </c>
      <c r="I283" s="3">
        <f>IF(E283&gt;0, H283/E283, 0)</f>
        <v/>
      </c>
      <c r="J283">
        <f>IF(E283&gt;0, E283-F283-H283, 0)</f>
        <v/>
      </c>
      <c r="K283" s="3">
        <f>IF(E283&gt;0, J283/E283, 0)</f>
        <v/>
      </c>
      <c r="M283" s="3">
        <f>IF(E283&gt;0, L283/E283, 0)</f>
        <v/>
      </c>
      <c r="N283" s="3" t="n"/>
      <c r="O283">
        <f>IFERROR(INT((A283-2-VLOOKUP(D283,'Flock Reference'!$A:$B,2,FALSE))/7), "")</f>
        <v/>
      </c>
    </row>
    <row r="284">
      <c r="G284" s="3">
        <f>IF(E284&gt;0, F284/E284, 0)</f>
        <v/>
      </c>
      <c r="I284" s="3">
        <f>IF(E284&gt;0, H284/E284, 0)</f>
        <v/>
      </c>
      <c r="J284">
        <f>IF(E284&gt;0, E284-F284-H284, 0)</f>
        <v/>
      </c>
      <c r="K284" s="3">
        <f>IF(E284&gt;0, J284/E284, 0)</f>
        <v/>
      </c>
      <c r="M284" s="3">
        <f>IF(E284&gt;0, L284/E284, 0)</f>
        <v/>
      </c>
      <c r="N284" s="3" t="n"/>
      <c r="O284">
        <f>IFERROR(INT((A284-2-VLOOKUP(D284,'Flock Reference'!$A:$B,2,FALSE))/7), "")</f>
        <v/>
      </c>
    </row>
    <row r="285">
      <c r="G285" s="3">
        <f>IF(E285&gt;0, F285/E285, 0)</f>
        <v/>
      </c>
      <c r="I285" s="3">
        <f>IF(E285&gt;0, H285/E285, 0)</f>
        <v/>
      </c>
      <c r="J285">
        <f>IF(E285&gt;0, E285-F285-H285, 0)</f>
        <v/>
      </c>
      <c r="K285" s="3">
        <f>IF(E285&gt;0, J285/E285, 0)</f>
        <v/>
      </c>
      <c r="M285" s="3">
        <f>IF(E285&gt;0, L285/E285, 0)</f>
        <v/>
      </c>
      <c r="N285" s="3" t="n"/>
      <c r="O285">
        <f>IFERROR(INT((A285-2-VLOOKUP(D285,'Flock Reference'!$A:$B,2,FALSE))/7), "")</f>
        <v/>
      </c>
    </row>
    <row r="286">
      <c r="G286" s="3">
        <f>IF(E286&gt;0, F286/E286, 0)</f>
        <v/>
      </c>
      <c r="I286" s="3">
        <f>IF(E286&gt;0, H286/E286, 0)</f>
        <v/>
      </c>
      <c r="J286">
        <f>IF(E286&gt;0, E286-F286-H286, 0)</f>
        <v/>
      </c>
      <c r="K286" s="3">
        <f>IF(E286&gt;0, J286/E286, 0)</f>
        <v/>
      </c>
      <c r="M286" s="3">
        <f>IF(E286&gt;0, L286/E286, 0)</f>
        <v/>
      </c>
      <c r="N286" s="3" t="n"/>
      <c r="O286">
        <f>IFERROR(INT((A286-2-VLOOKUP(D286,'Flock Reference'!$A:$B,2,FALSE))/7), "")</f>
        <v/>
      </c>
    </row>
    <row r="287">
      <c r="G287" s="3">
        <f>IF(E287&gt;0, F287/E287, 0)</f>
        <v/>
      </c>
      <c r="I287" s="3">
        <f>IF(E287&gt;0, H287/E287, 0)</f>
        <v/>
      </c>
      <c r="J287">
        <f>IF(E287&gt;0, E287-F287-H287, 0)</f>
        <v/>
      </c>
      <c r="K287" s="3">
        <f>IF(E287&gt;0, J287/E287, 0)</f>
        <v/>
      </c>
      <c r="M287" s="3">
        <f>IF(E287&gt;0, L287/E287, 0)</f>
        <v/>
      </c>
      <c r="N287" s="3" t="n"/>
      <c r="O287">
        <f>IFERROR(INT((A287-2-VLOOKUP(D287,'Flock Reference'!$A:$B,2,FALSE))/7), "")</f>
        <v/>
      </c>
    </row>
    <row r="288">
      <c r="G288" s="3">
        <f>IF(E288&gt;0, F288/E288, 0)</f>
        <v/>
      </c>
      <c r="I288" s="3">
        <f>IF(E288&gt;0, H288/E288, 0)</f>
        <v/>
      </c>
      <c r="J288">
        <f>IF(E288&gt;0, E288-F288-H288, 0)</f>
        <v/>
      </c>
      <c r="K288" s="3">
        <f>IF(E288&gt;0, J288/E288, 0)</f>
        <v/>
      </c>
      <c r="M288" s="3">
        <f>IF(E288&gt;0, L288/E288, 0)</f>
        <v/>
      </c>
      <c r="N288" s="3" t="n"/>
      <c r="O288">
        <f>IFERROR(INT((A288-2-VLOOKUP(D288,'Flock Reference'!$A:$B,2,FALSE))/7), "")</f>
        <v/>
      </c>
    </row>
    <row r="289">
      <c r="G289" s="3">
        <f>IF(E289&gt;0, F289/E289, 0)</f>
        <v/>
      </c>
      <c r="I289" s="3">
        <f>IF(E289&gt;0, H289/E289, 0)</f>
        <v/>
      </c>
      <c r="J289">
        <f>IF(E289&gt;0, E289-F289-H289, 0)</f>
        <v/>
      </c>
      <c r="K289" s="3">
        <f>IF(E289&gt;0, J289/E289, 0)</f>
        <v/>
      </c>
      <c r="M289" s="3">
        <f>IF(E289&gt;0, L289/E289, 0)</f>
        <v/>
      </c>
      <c r="N289" s="3" t="n"/>
      <c r="O289">
        <f>IFERROR(INT((A289-2-VLOOKUP(D289,'Flock Reference'!$A:$B,2,FALSE))/7), "")</f>
        <v/>
      </c>
    </row>
    <row r="290">
      <c r="G290" s="3">
        <f>IF(E290&gt;0, F290/E290, 0)</f>
        <v/>
      </c>
      <c r="I290" s="3">
        <f>IF(E290&gt;0, H290/E290, 0)</f>
        <v/>
      </c>
      <c r="J290">
        <f>IF(E290&gt;0, E290-F290-H290, 0)</f>
        <v/>
      </c>
      <c r="K290" s="3">
        <f>IF(E290&gt;0, J290/E290, 0)</f>
        <v/>
      </c>
      <c r="M290" s="3">
        <f>IF(E290&gt;0, L290/E290, 0)</f>
        <v/>
      </c>
      <c r="N290" s="3" t="n"/>
      <c r="O290">
        <f>IFERROR(INT((A290-2-VLOOKUP(D290,'Flock Reference'!$A:$B,2,FALSE))/7), "")</f>
        <v/>
      </c>
    </row>
    <row r="291">
      <c r="G291" s="3">
        <f>IF(E291&gt;0, F291/E291, 0)</f>
        <v/>
      </c>
      <c r="I291" s="3">
        <f>IF(E291&gt;0, H291/E291, 0)</f>
        <v/>
      </c>
      <c r="J291">
        <f>IF(E291&gt;0, E291-F291-H291, 0)</f>
        <v/>
      </c>
      <c r="K291" s="3">
        <f>IF(E291&gt;0, J291/E291, 0)</f>
        <v/>
      </c>
      <c r="M291" s="3">
        <f>IF(E291&gt;0, L291/E291, 0)</f>
        <v/>
      </c>
      <c r="N291" s="3" t="n"/>
      <c r="O291">
        <f>IFERROR(INT((A291-2-VLOOKUP(D291,'Flock Reference'!$A:$B,2,FALSE))/7), "")</f>
        <v/>
      </c>
    </row>
    <row r="292">
      <c r="G292" s="3">
        <f>IF(E292&gt;0, F292/E292, 0)</f>
        <v/>
      </c>
      <c r="I292" s="3">
        <f>IF(E292&gt;0, H292/E292, 0)</f>
        <v/>
      </c>
      <c r="J292">
        <f>IF(E292&gt;0, E292-F292-H292, 0)</f>
        <v/>
      </c>
      <c r="K292" s="3">
        <f>IF(E292&gt;0, J292/E292, 0)</f>
        <v/>
      </c>
      <c r="M292" s="3">
        <f>IF(E292&gt;0, L292/E292, 0)</f>
        <v/>
      </c>
      <c r="N292" s="3" t="n"/>
      <c r="O292">
        <f>IFERROR(INT((A292-2-VLOOKUP(D292,'Flock Reference'!$A:$B,2,FALSE))/7), "")</f>
        <v/>
      </c>
    </row>
    <row r="293">
      <c r="G293" s="3">
        <f>IF(E293&gt;0, F293/E293, 0)</f>
        <v/>
      </c>
      <c r="I293" s="3">
        <f>IF(E293&gt;0, H293/E293, 0)</f>
        <v/>
      </c>
      <c r="J293">
        <f>IF(E293&gt;0, E293-F293-H293, 0)</f>
        <v/>
      </c>
      <c r="K293" s="3">
        <f>IF(E293&gt;0, J293/E293, 0)</f>
        <v/>
      </c>
      <c r="M293" s="3">
        <f>IF(E293&gt;0, L293/E293, 0)</f>
        <v/>
      </c>
      <c r="N293" s="3" t="n"/>
      <c r="O293">
        <f>IFERROR(INT((A293-2-VLOOKUP(D293,'Flock Reference'!$A:$B,2,FALSE))/7), "")</f>
        <v/>
      </c>
    </row>
    <row r="294">
      <c r="G294" s="3">
        <f>IF(E294&gt;0, F294/E294, 0)</f>
        <v/>
      </c>
      <c r="I294" s="3">
        <f>IF(E294&gt;0, H294/E294, 0)</f>
        <v/>
      </c>
      <c r="J294">
        <f>IF(E294&gt;0, E294-F294-H294, 0)</f>
        <v/>
      </c>
      <c r="K294" s="3">
        <f>IF(E294&gt;0, J294/E294, 0)</f>
        <v/>
      </c>
      <c r="M294" s="3">
        <f>IF(E294&gt;0, L294/E294, 0)</f>
        <v/>
      </c>
      <c r="N294" s="3" t="n"/>
      <c r="O294">
        <f>IFERROR(INT((A294-2-VLOOKUP(D294,'Flock Reference'!$A:$B,2,FALSE))/7), "")</f>
        <v/>
      </c>
    </row>
    <row r="295">
      <c r="G295" s="3">
        <f>IF(E295&gt;0, F295/E295, 0)</f>
        <v/>
      </c>
      <c r="I295" s="3">
        <f>IF(E295&gt;0, H295/E295, 0)</f>
        <v/>
      </c>
      <c r="J295">
        <f>IF(E295&gt;0, E295-F295-H295, 0)</f>
        <v/>
      </c>
      <c r="K295" s="3">
        <f>IF(E295&gt;0, J295/E295, 0)</f>
        <v/>
      </c>
      <c r="M295" s="3">
        <f>IF(E295&gt;0, L295/E295, 0)</f>
        <v/>
      </c>
      <c r="N295" s="3" t="n"/>
      <c r="O295">
        <f>IFERROR(INT((A295-2-VLOOKUP(D295,'Flock Reference'!$A:$B,2,FALSE))/7), "")</f>
        <v/>
      </c>
    </row>
    <row r="296">
      <c r="G296" s="3">
        <f>IF(E296&gt;0, F296/E296, 0)</f>
        <v/>
      </c>
      <c r="I296" s="3">
        <f>IF(E296&gt;0, H296/E296, 0)</f>
        <v/>
      </c>
      <c r="J296">
        <f>IF(E296&gt;0, E296-F296-H296, 0)</f>
        <v/>
      </c>
      <c r="K296" s="3">
        <f>IF(E296&gt;0, J296/E296, 0)</f>
        <v/>
      </c>
      <c r="M296" s="3">
        <f>IF(E296&gt;0, L296/E296, 0)</f>
        <v/>
      </c>
      <c r="N296" s="3" t="n"/>
      <c r="O296">
        <f>IFERROR(INT((A296-2-VLOOKUP(D296,'Flock Reference'!$A:$B,2,FALSE))/7), "")</f>
        <v/>
      </c>
    </row>
    <row r="297">
      <c r="G297" s="3">
        <f>IF(E297&gt;0, F297/E297, 0)</f>
        <v/>
      </c>
      <c r="I297" s="3">
        <f>IF(E297&gt;0, H297/E297, 0)</f>
        <v/>
      </c>
      <c r="J297">
        <f>IF(E297&gt;0, E297-F297-H297, 0)</f>
        <v/>
      </c>
      <c r="K297" s="3">
        <f>IF(E297&gt;0, J297/E297, 0)</f>
        <v/>
      </c>
      <c r="M297" s="3">
        <f>IF(E297&gt;0, L297/E297, 0)</f>
        <v/>
      </c>
      <c r="N297" s="3" t="n"/>
      <c r="O297">
        <f>IFERROR(INT((A297-2-VLOOKUP(D297,'Flock Reference'!$A:$B,2,FALSE))/7), "")</f>
        <v/>
      </c>
    </row>
    <row r="298">
      <c r="G298" s="3">
        <f>IF(E298&gt;0, F298/E298, 0)</f>
        <v/>
      </c>
      <c r="I298" s="3">
        <f>IF(E298&gt;0, H298/E298, 0)</f>
        <v/>
      </c>
      <c r="J298">
        <f>IF(E298&gt;0, E298-F298-H298, 0)</f>
        <v/>
      </c>
      <c r="K298" s="3">
        <f>IF(E298&gt;0, J298/E298, 0)</f>
        <v/>
      </c>
      <c r="M298" s="3">
        <f>IF(E298&gt;0, L298/E298, 0)</f>
        <v/>
      </c>
      <c r="N298" s="3" t="n"/>
      <c r="O298">
        <f>IFERROR(INT((A298-2-VLOOKUP(D298,'Flock Reference'!$A:$B,2,FALSE))/7), "")</f>
        <v/>
      </c>
    </row>
    <row r="299">
      <c r="G299" s="3">
        <f>IF(E299&gt;0, F299/E299, 0)</f>
        <v/>
      </c>
      <c r="I299" s="3">
        <f>IF(E299&gt;0, H299/E299, 0)</f>
        <v/>
      </c>
      <c r="J299">
        <f>IF(E299&gt;0, E299-F299-H299, 0)</f>
        <v/>
      </c>
      <c r="K299" s="3">
        <f>IF(E299&gt;0, J299/E299, 0)</f>
        <v/>
      </c>
      <c r="M299" s="3">
        <f>IF(E299&gt;0, L299/E299, 0)</f>
        <v/>
      </c>
      <c r="N299" s="3" t="n"/>
      <c r="O299">
        <f>IFERROR(INT((A299-2-VLOOKUP(D299,'Flock Reference'!$A:$B,2,FALSE))/7), "")</f>
        <v/>
      </c>
    </row>
    <row r="300">
      <c r="G300" s="3">
        <f>IF(E300&gt;0, F300/E300, 0)</f>
        <v/>
      </c>
      <c r="I300" s="3">
        <f>IF(E300&gt;0, H300/E300, 0)</f>
        <v/>
      </c>
      <c r="J300">
        <f>IF(E300&gt;0, E300-F300-H300, 0)</f>
        <v/>
      </c>
      <c r="K300" s="3">
        <f>IF(E300&gt;0, J300/E300, 0)</f>
        <v/>
      </c>
      <c r="M300" s="3">
        <f>IF(E300&gt;0, L300/E300, 0)</f>
        <v/>
      </c>
      <c r="N300" s="3" t="n"/>
      <c r="O300">
        <f>IFERROR(INT((A300-2-VLOOKUP(D300,'Flock Reference'!$A:$B,2,FALSE))/7), "")</f>
        <v/>
      </c>
    </row>
    <row r="301">
      <c r="G301" s="3">
        <f>IF(E301&gt;0, F301/E301, 0)</f>
        <v/>
      </c>
      <c r="I301" s="3">
        <f>IF(E301&gt;0, H301/E301, 0)</f>
        <v/>
      </c>
      <c r="J301">
        <f>IF(E301&gt;0, E301-F301-H301, 0)</f>
        <v/>
      </c>
      <c r="K301" s="3">
        <f>IF(E301&gt;0, J301/E301, 0)</f>
        <v/>
      </c>
      <c r="M301" s="3">
        <f>IF(E301&gt;0, L301/E301, 0)</f>
        <v/>
      </c>
      <c r="N301" s="3" t="n"/>
      <c r="O301">
        <f>IFERROR(INT((A301-2-VLOOKUP(D301,'Flock Reference'!$A:$B,2,FALSE))/7), "")</f>
        <v/>
      </c>
    </row>
    <row r="302">
      <c r="G302" s="3">
        <f>IF(E302&gt;0, F302/E302, 0)</f>
        <v/>
      </c>
      <c r="I302" s="3">
        <f>IF(E302&gt;0, H302/E302, 0)</f>
        <v/>
      </c>
      <c r="J302">
        <f>IF(E302&gt;0, E302-F302-H302, 0)</f>
        <v/>
      </c>
      <c r="K302" s="3">
        <f>IF(E302&gt;0, J302/E302, 0)</f>
        <v/>
      </c>
      <c r="M302" s="3">
        <f>IF(E302&gt;0, L302/E302, 0)</f>
        <v/>
      </c>
      <c r="N302" s="3" t="n"/>
      <c r="O302">
        <f>IFERROR(INT((A302-2-VLOOKUP(D302,'Flock Reference'!$A:$B,2,FALSE))/7), "")</f>
        <v/>
      </c>
    </row>
    <row r="303">
      <c r="G303" s="3">
        <f>IF(E303&gt;0, F303/E303, 0)</f>
        <v/>
      </c>
      <c r="I303" s="3">
        <f>IF(E303&gt;0, H303/E303, 0)</f>
        <v/>
      </c>
      <c r="J303">
        <f>IF(E303&gt;0, E303-F303-H303, 0)</f>
        <v/>
      </c>
      <c r="K303" s="3">
        <f>IF(E303&gt;0, J303/E303, 0)</f>
        <v/>
      </c>
      <c r="M303" s="3">
        <f>IF(E303&gt;0, L303/E303, 0)</f>
        <v/>
      </c>
      <c r="N303" s="3" t="n"/>
      <c r="O303">
        <f>IFERROR(INT((A303-2-VLOOKUP(D303,'Flock Reference'!$A:$B,2,FALSE))/7), "")</f>
        <v/>
      </c>
    </row>
    <row r="304">
      <c r="G304" s="3">
        <f>IF(E304&gt;0, F304/E304, 0)</f>
        <v/>
      </c>
      <c r="I304" s="3">
        <f>IF(E304&gt;0, H304/E304, 0)</f>
        <v/>
      </c>
      <c r="J304">
        <f>IF(E304&gt;0, E304-F304-H304, 0)</f>
        <v/>
      </c>
      <c r="K304" s="3">
        <f>IF(E304&gt;0, J304/E304, 0)</f>
        <v/>
      </c>
      <c r="M304" s="3">
        <f>IF(E304&gt;0, L304/E304, 0)</f>
        <v/>
      </c>
      <c r="N304" s="3" t="n"/>
      <c r="O304">
        <f>IFERROR(INT((A304-2-VLOOKUP(D304,'Flock Reference'!$A:$B,2,FALSE))/7), "")</f>
        <v/>
      </c>
    </row>
    <row r="305">
      <c r="G305" s="3">
        <f>IF(E305&gt;0, F305/E305, 0)</f>
        <v/>
      </c>
      <c r="I305" s="3">
        <f>IF(E305&gt;0, H305/E305, 0)</f>
        <v/>
      </c>
      <c r="J305">
        <f>IF(E305&gt;0, E305-F305-H305, 0)</f>
        <v/>
      </c>
      <c r="K305" s="3">
        <f>IF(E305&gt;0, J305/E305, 0)</f>
        <v/>
      </c>
      <c r="M305" s="3">
        <f>IF(E305&gt;0, L305/E305, 0)</f>
        <v/>
      </c>
      <c r="N305" s="3" t="n"/>
      <c r="O305">
        <f>IFERROR(INT((A305-2-VLOOKUP(D305,'Flock Reference'!$A:$B,2,FALSE))/7), "")</f>
        <v/>
      </c>
    </row>
    <row r="306">
      <c r="G306" s="3">
        <f>IF(E306&gt;0, F306/E306, 0)</f>
        <v/>
      </c>
      <c r="I306" s="3">
        <f>IF(E306&gt;0, H306/E306, 0)</f>
        <v/>
      </c>
      <c r="J306">
        <f>IF(E306&gt;0, E306-F306-H306, 0)</f>
        <v/>
      </c>
      <c r="K306" s="3">
        <f>IF(E306&gt;0, J306/E306, 0)</f>
        <v/>
      </c>
      <c r="M306" s="3">
        <f>IF(E306&gt;0, L306/E306, 0)</f>
        <v/>
      </c>
      <c r="N306" s="3" t="n"/>
      <c r="O306">
        <f>IFERROR(INT((A306-2-VLOOKUP(D306,'Flock Reference'!$A:$B,2,FALSE))/7), "")</f>
        <v/>
      </c>
    </row>
    <row r="307">
      <c r="G307" s="3">
        <f>IF(E307&gt;0, F307/E307, 0)</f>
        <v/>
      </c>
      <c r="I307" s="3">
        <f>IF(E307&gt;0, H307/E307, 0)</f>
        <v/>
      </c>
      <c r="J307">
        <f>IF(E307&gt;0, E307-F307-H307, 0)</f>
        <v/>
      </c>
      <c r="K307" s="3">
        <f>IF(E307&gt;0, J307/E307, 0)</f>
        <v/>
      </c>
      <c r="M307" s="3">
        <f>IF(E307&gt;0, L307/E307, 0)</f>
        <v/>
      </c>
      <c r="N307" s="3" t="n"/>
      <c r="O307">
        <f>IFERROR(INT((A307-2-VLOOKUP(D307,'Flock Reference'!$A:$B,2,FALSE))/7), "")</f>
        <v/>
      </c>
    </row>
    <row r="308">
      <c r="G308" s="3">
        <f>IF(E308&gt;0, F308/E308, 0)</f>
        <v/>
      </c>
      <c r="I308" s="3">
        <f>IF(E308&gt;0, H308/E308, 0)</f>
        <v/>
      </c>
      <c r="J308">
        <f>IF(E308&gt;0, E308-F308-H308, 0)</f>
        <v/>
      </c>
      <c r="K308" s="3">
        <f>IF(E308&gt;0, J308/E308, 0)</f>
        <v/>
      </c>
      <c r="M308" s="3">
        <f>IF(E308&gt;0, L308/E308, 0)</f>
        <v/>
      </c>
      <c r="N308" s="3" t="n"/>
      <c r="O308">
        <f>IFERROR(INT((A308-2-VLOOKUP(D308,'Flock Reference'!$A:$B,2,FALSE))/7), "")</f>
        <v/>
      </c>
    </row>
    <row r="309">
      <c r="G309" s="3">
        <f>IF(E309&gt;0, F309/E309, 0)</f>
        <v/>
      </c>
      <c r="I309" s="3">
        <f>IF(E309&gt;0, H309/E309, 0)</f>
        <v/>
      </c>
      <c r="J309">
        <f>IF(E309&gt;0, E309-F309-H309, 0)</f>
        <v/>
      </c>
      <c r="K309" s="3">
        <f>IF(E309&gt;0, J309/E309, 0)</f>
        <v/>
      </c>
      <c r="M309" s="3">
        <f>IF(E309&gt;0, L309/E309, 0)</f>
        <v/>
      </c>
      <c r="N309" s="3" t="n"/>
      <c r="O309">
        <f>IFERROR(INT((A309-2-VLOOKUP(D309,'Flock Reference'!$A:$B,2,FALSE))/7), "")</f>
        <v/>
      </c>
    </row>
    <row r="310">
      <c r="G310" s="3">
        <f>IF(E310&gt;0, F310/E310, 0)</f>
        <v/>
      </c>
      <c r="I310" s="3">
        <f>IF(E310&gt;0, H310/E310, 0)</f>
        <v/>
      </c>
      <c r="J310">
        <f>IF(E310&gt;0, E310-F310-H310, 0)</f>
        <v/>
      </c>
      <c r="K310" s="3">
        <f>IF(E310&gt;0, J310/E310, 0)</f>
        <v/>
      </c>
      <c r="M310" s="3">
        <f>IF(E310&gt;0, L310/E310, 0)</f>
        <v/>
      </c>
      <c r="N310" s="3" t="n"/>
      <c r="O310">
        <f>IFERROR(INT((A310-2-VLOOKUP(D310,'Flock Reference'!$A:$B,2,FALSE))/7), "")</f>
        <v/>
      </c>
    </row>
    <row r="311">
      <c r="G311" s="3">
        <f>IF(E311&gt;0, F311/E311, 0)</f>
        <v/>
      </c>
      <c r="I311" s="3">
        <f>IF(E311&gt;0, H311/E311, 0)</f>
        <v/>
      </c>
      <c r="J311">
        <f>IF(E311&gt;0, E311-F311-H311, 0)</f>
        <v/>
      </c>
      <c r="K311" s="3">
        <f>IF(E311&gt;0, J311/E311, 0)</f>
        <v/>
      </c>
      <c r="M311" s="3">
        <f>IF(E311&gt;0, L311/E311, 0)</f>
        <v/>
      </c>
      <c r="N311" s="3" t="n"/>
      <c r="O311">
        <f>IFERROR(INT((A311-2-VLOOKUP(D311,'Flock Reference'!$A:$B,2,FALSE))/7), "")</f>
        <v/>
      </c>
    </row>
    <row r="312">
      <c r="G312" s="3">
        <f>IF(E312&gt;0, F312/E312, 0)</f>
        <v/>
      </c>
      <c r="I312" s="3">
        <f>IF(E312&gt;0, H312/E312, 0)</f>
        <v/>
      </c>
      <c r="J312">
        <f>IF(E312&gt;0, E312-F312-H312, 0)</f>
        <v/>
      </c>
      <c r="K312" s="3">
        <f>IF(E312&gt;0, J312/E312, 0)</f>
        <v/>
      </c>
      <c r="M312" s="3">
        <f>IF(E312&gt;0, L312/E312, 0)</f>
        <v/>
      </c>
      <c r="N312" s="3" t="n"/>
      <c r="O312">
        <f>IFERROR(INT((A312-2-VLOOKUP(D312,'Flock Reference'!$A:$B,2,FALSE))/7), "")</f>
        <v/>
      </c>
    </row>
    <row r="313">
      <c r="G313" s="3">
        <f>IF(E313&gt;0, F313/E313, 0)</f>
        <v/>
      </c>
      <c r="I313" s="3">
        <f>IF(E313&gt;0, H313/E313, 0)</f>
        <v/>
      </c>
      <c r="J313">
        <f>IF(E313&gt;0, E313-F313-H313, 0)</f>
        <v/>
      </c>
      <c r="K313" s="3">
        <f>IF(E313&gt;0, J313/E313, 0)</f>
        <v/>
      </c>
      <c r="M313" s="3">
        <f>IF(E313&gt;0, L313/E313, 0)</f>
        <v/>
      </c>
      <c r="N313" s="3" t="n"/>
      <c r="O313">
        <f>IFERROR(INT((A313-2-VLOOKUP(D313,'Flock Reference'!$A:$B,2,FALSE))/7), "")</f>
        <v/>
      </c>
    </row>
    <row r="314">
      <c r="G314" s="3">
        <f>IF(E314&gt;0, F314/E314, 0)</f>
        <v/>
      </c>
      <c r="I314" s="3">
        <f>IF(E314&gt;0, H314/E314, 0)</f>
        <v/>
      </c>
      <c r="J314">
        <f>IF(E314&gt;0, E314-F314-H314, 0)</f>
        <v/>
      </c>
      <c r="K314" s="3">
        <f>IF(E314&gt;0, J314/E314, 0)</f>
        <v/>
      </c>
      <c r="M314" s="3">
        <f>IF(E314&gt;0, L314/E314, 0)</f>
        <v/>
      </c>
      <c r="N314" s="3" t="n"/>
      <c r="O314">
        <f>IFERROR(INT((A314-2-VLOOKUP(D314,'Flock Reference'!$A:$B,2,FALSE))/7), "")</f>
        <v/>
      </c>
    </row>
    <row r="315">
      <c r="G315" s="3">
        <f>IF(E315&gt;0, F315/E315, 0)</f>
        <v/>
      </c>
      <c r="I315" s="3">
        <f>IF(E315&gt;0, H315/E315, 0)</f>
        <v/>
      </c>
      <c r="J315">
        <f>IF(E315&gt;0, E315-F315-H315, 0)</f>
        <v/>
      </c>
      <c r="K315" s="3">
        <f>IF(E315&gt;0, J315/E315, 0)</f>
        <v/>
      </c>
      <c r="M315" s="3">
        <f>IF(E315&gt;0, L315/E315, 0)</f>
        <v/>
      </c>
      <c r="N315" s="3" t="n"/>
      <c r="O315">
        <f>IFERROR(INT((A315-2-VLOOKUP(D315,'Flock Reference'!$A:$B,2,FALSE))/7), "")</f>
        <v/>
      </c>
    </row>
    <row r="316">
      <c r="G316" s="3">
        <f>IF(E316&gt;0, F316/E316, 0)</f>
        <v/>
      </c>
      <c r="I316" s="3">
        <f>IF(E316&gt;0, H316/E316, 0)</f>
        <v/>
      </c>
      <c r="J316">
        <f>IF(E316&gt;0, E316-F316-H316, 0)</f>
        <v/>
      </c>
      <c r="K316" s="3">
        <f>IF(E316&gt;0, J316/E316, 0)</f>
        <v/>
      </c>
      <c r="M316" s="3">
        <f>IF(E316&gt;0, L316/E316, 0)</f>
        <v/>
      </c>
      <c r="N316" s="3" t="n"/>
      <c r="O316">
        <f>IFERROR(INT((A316-2-VLOOKUP(D316,'Flock Reference'!$A:$B,2,FALSE))/7), "")</f>
        <v/>
      </c>
    </row>
    <row r="317">
      <c r="G317" s="3">
        <f>IF(E317&gt;0, F317/E317, 0)</f>
        <v/>
      </c>
      <c r="I317" s="3">
        <f>IF(E317&gt;0, H317/E317, 0)</f>
        <v/>
      </c>
      <c r="J317">
        <f>IF(E317&gt;0, E317-F317-H317, 0)</f>
        <v/>
      </c>
      <c r="K317" s="3">
        <f>IF(E317&gt;0, J317/E317, 0)</f>
        <v/>
      </c>
      <c r="M317" s="3">
        <f>IF(E317&gt;0, L317/E317, 0)</f>
        <v/>
      </c>
      <c r="N317" s="3" t="n"/>
      <c r="O317">
        <f>IFERROR(INT((A317-2-VLOOKUP(D317,'Flock Reference'!$A:$B,2,FALSE))/7), "")</f>
        <v/>
      </c>
    </row>
    <row r="318">
      <c r="G318" s="3">
        <f>IF(E318&gt;0, F318/E318, 0)</f>
        <v/>
      </c>
      <c r="I318" s="3">
        <f>IF(E318&gt;0, H318/E318, 0)</f>
        <v/>
      </c>
      <c r="J318">
        <f>IF(E318&gt;0, E318-F318-H318, 0)</f>
        <v/>
      </c>
      <c r="K318" s="3">
        <f>IF(E318&gt;0, J318/E318, 0)</f>
        <v/>
      </c>
      <c r="M318" s="3">
        <f>IF(E318&gt;0, L318/E318, 0)</f>
        <v/>
      </c>
      <c r="N318" s="3" t="n"/>
      <c r="O318">
        <f>IFERROR(INT((A318-2-VLOOKUP(D318,'Flock Reference'!$A:$B,2,FALSE))/7), "")</f>
        <v/>
      </c>
    </row>
    <row r="319">
      <c r="G319" s="3">
        <f>IF(E319&gt;0, F319/E319, 0)</f>
        <v/>
      </c>
      <c r="I319" s="3">
        <f>IF(E319&gt;0, H319/E319, 0)</f>
        <v/>
      </c>
      <c r="J319">
        <f>IF(E319&gt;0, E319-F319-H319, 0)</f>
        <v/>
      </c>
      <c r="K319" s="3">
        <f>IF(E319&gt;0, J319/E319, 0)</f>
        <v/>
      </c>
      <c r="M319" s="3">
        <f>IF(E319&gt;0, L319/E319, 0)</f>
        <v/>
      </c>
      <c r="N319" s="3" t="n"/>
      <c r="O319">
        <f>IFERROR(INT((A319-2-VLOOKUP(D319,'Flock Reference'!$A:$B,2,FALSE))/7), "")</f>
        <v/>
      </c>
    </row>
    <row r="320">
      <c r="G320" s="3">
        <f>IF(E320&gt;0, F320/E320, 0)</f>
        <v/>
      </c>
      <c r="I320" s="3">
        <f>IF(E320&gt;0, H320/E320, 0)</f>
        <v/>
      </c>
      <c r="J320">
        <f>IF(E320&gt;0, E320-F320-H320, 0)</f>
        <v/>
      </c>
      <c r="K320" s="3">
        <f>IF(E320&gt;0, J320/E320, 0)</f>
        <v/>
      </c>
      <c r="M320" s="3">
        <f>IF(E320&gt;0, L320/E320, 0)</f>
        <v/>
      </c>
      <c r="N320" s="3" t="n"/>
      <c r="O320">
        <f>IFERROR(INT((A320-2-VLOOKUP(D320,'Flock Reference'!$A:$B,2,FALSE))/7), "")</f>
        <v/>
      </c>
    </row>
    <row r="321">
      <c r="G321" s="3">
        <f>IF(E321&gt;0, F321/E321, 0)</f>
        <v/>
      </c>
      <c r="I321" s="3">
        <f>IF(E321&gt;0, H321/E321, 0)</f>
        <v/>
      </c>
      <c r="J321">
        <f>IF(E321&gt;0, E321-F321-H321, 0)</f>
        <v/>
      </c>
      <c r="K321" s="3">
        <f>IF(E321&gt;0, J321/E321, 0)</f>
        <v/>
      </c>
      <c r="M321" s="3">
        <f>IF(E321&gt;0, L321/E321, 0)</f>
        <v/>
      </c>
      <c r="N321" s="3" t="n"/>
      <c r="O321">
        <f>IFERROR(INT((A321-2-VLOOKUP(D321,'Flock Reference'!$A:$B,2,FALSE))/7), "")</f>
        <v/>
      </c>
    </row>
    <row r="322">
      <c r="G322" s="3">
        <f>IF(E322&gt;0, F322/E322, 0)</f>
        <v/>
      </c>
      <c r="I322" s="3">
        <f>IF(E322&gt;0, H322/E322, 0)</f>
        <v/>
      </c>
      <c r="J322">
        <f>IF(E322&gt;0, E322-F322-H322, 0)</f>
        <v/>
      </c>
      <c r="K322" s="3">
        <f>IF(E322&gt;0, J322/E322, 0)</f>
        <v/>
      </c>
      <c r="M322" s="3">
        <f>IF(E322&gt;0, L322/E322, 0)</f>
        <v/>
      </c>
      <c r="N322" s="3" t="n"/>
      <c r="O322">
        <f>IFERROR(INT((A322-2-VLOOKUP(D322,'Flock Reference'!$A:$B,2,FALSE))/7), "")</f>
        <v/>
      </c>
    </row>
    <row r="323">
      <c r="G323" s="3">
        <f>IF(E323&gt;0, F323/E323, 0)</f>
        <v/>
      </c>
      <c r="I323" s="3">
        <f>IF(E323&gt;0, H323/E323, 0)</f>
        <v/>
      </c>
      <c r="J323">
        <f>IF(E323&gt;0, E323-F323-H323, 0)</f>
        <v/>
      </c>
      <c r="K323" s="3">
        <f>IF(E323&gt;0, J323/E323, 0)</f>
        <v/>
      </c>
      <c r="M323" s="3">
        <f>IF(E323&gt;0, L323/E323, 0)</f>
        <v/>
      </c>
      <c r="N323" s="3" t="n"/>
      <c r="O323">
        <f>IFERROR(INT((A323-2-VLOOKUP(D323,'Flock Reference'!$A:$B,2,FALSE))/7), "")</f>
        <v/>
      </c>
    </row>
    <row r="324">
      <c r="G324" s="3">
        <f>IF(E324&gt;0, F324/E324, 0)</f>
        <v/>
      </c>
      <c r="I324" s="3">
        <f>IF(E324&gt;0, H324/E324, 0)</f>
        <v/>
      </c>
      <c r="J324">
        <f>IF(E324&gt;0, E324-F324-H324, 0)</f>
        <v/>
      </c>
      <c r="K324" s="3">
        <f>IF(E324&gt;0, J324/E324, 0)</f>
        <v/>
      </c>
      <c r="M324" s="3">
        <f>IF(E324&gt;0, L324/E324, 0)</f>
        <v/>
      </c>
      <c r="N324" s="3" t="n"/>
      <c r="O324">
        <f>IFERROR(INT((A324-2-VLOOKUP(D324,'Flock Reference'!$A:$B,2,FALSE))/7), "")</f>
        <v/>
      </c>
    </row>
    <row r="325">
      <c r="G325" s="3">
        <f>IF(E325&gt;0, F325/E325, 0)</f>
        <v/>
      </c>
      <c r="I325" s="3">
        <f>IF(E325&gt;0, H325/E325, 0)</f>
        <v/>
      </c>
      <c r="J325">
        <f>IF(E325&gt;0, E325-F325-H325, 0)</f>
        <v/>
      </c>
      <c r="K325" s="3">
        <f>IF(E325&gt;0, J325/E325, 0)</f>
        <v/>
      </c>
      <c r="M325" s="3">
        <f>IF(E325&gt;0, L325/E325, 0)</f>
        <v/>
      </c>
      <c r="N325" s="3" t="n"/>
      <c r="O325">
        <f>IFERROR(INT((A325-2-VLOOKUP(D325,'Flock Reference'!$A:$B,2,FALSE))/7), "")</f>
        <v/>
      </c>
    </row>
    <row r="326">
      <c r="G326" s="3">
        <f>IF(E326&gt;0, F326/E326, 0)</f>
        <v/>
      </c>
      <c r="I326" s="3">
        <f>IF(E326&gt;0, H326/E326, 0)</f>
        <v/>
      </c>
      <c r="J326">
        <f>IF(E326&gt;0, E326-F326-H326, 0)</f>
        <v/>
      </c>
      <c r="K326" s="3">
        <f>IF(E326&gt;0, J326/E326, 0)</f>
        <v/>
      </c>
      <c r="M326" s="3">
        <f>IF(E326&gt;0, L326/E326, 0)</f>
        <v/>
      </c>
      <c r="N326" s="3" t="n"/>
      <c r="O326">
        <f>IFERROR(INT((A326-2-VLOOKUP(D326,'Flock Reference'!$A:$B,2,FALSE))/7), "")</f>
        <v/>
      </c>
    </row>
    <row r="327">
      <c r="G327" s="3">
        <f>IF(E327&gt;0, F327/E327, 0)</f>
        <v/>
      </c>
      <c r="I327" s="3">
        <f>IF(E327&gt;0, H327/E327, 0)</f>
        <v/>
      </c>
      <c r="J327">
        <f>IF(E327&gt;0, E327-F327-H327, 0)</f>
        <v/>
      </c>
      <c r="K327" s="3">
        <f>IF(E327&gt;0, J327/E327, 0)</f>
        <v/>
      </c>
      <c r="M327" s="3">
        <f>IF(E327&gt;0, L327/E327, 0)</f>
        <v/>
      </c>
      <c r="N327" s="3" t="n"/>
      <c r="O327">
        <f>IFERROR(INT((A327-2-VLOOKUP(D327,'Flock Reference'!$A:$B,2,FALSE))/7), "")</f>
        <v/>
      </c>
    </row>
    <row r="328">
      <c r="G328" s="3">
        <f>IF(E328&gt;0, F328/E328, 0)</f>
        <v/>
      </c>
      <c r="I328" s="3">
        <f>IF(E328&gt;0, H328/E328, 0)</f>
        <v/>
      </c>
      <c r="J328">
        <f>IF(E328&gt;0, E328-F328-H328, 0)</f>
        <v/>
      </c>
      <c r="K328" s="3">
        <f>IF(E328&gt;0, J328/E328, 0)</f>
        <v/>
      </c>
      <c r="M328" s="3">
        <f>IF(E328&gt;0, L328/E328, 0)</f>
        <v/>
      </c>
      <c r="N328" s="3" t="n"/>
      <c r="O328">
        <f>IFERROR(INT((A328-2-VLOOKUP(D328,'Flock Reference'!$A:$B,2,FALSE))/7), "")</f>
        <v/>
      </c>
    </row>
    <row r="329">
      <c r="G329" s="3">
        <f>IF(E329&gt;0, F329/E329, 0)</f>
        <v/>
      </c>
      <c r="I329" s="3">
        <f>IF(E329&gt;0, H329/E329, 0)</f>
        <v/>
      </c>
      <c r="J329">
        <f>IF(E329&gt;0, E329-F329-H329, 0)</f>
        <v/>
      </c>
      <c r="K329" s="3">
        <f>IF(E329&gt;0, J329/E329, 0)</f>
        <v/>
      </c>
      <c r="M329" s="3">
        <f>IF(E329&gt;0, L329/E329, 0)</f>
        <v/>
      </c>
      <c r="N329" s="3" t="n"/>
      <c r="O329">
        <f>IFERROR(INT((A329-2-VLOOKUP(D329,'Flock Reference'!$A:$B,2,FALSE))/7), "")</f>
        <v/>
      </c>
    </row>
    <row r="330">
      <c r="G330" s="3">
        <f>IF(E330&gt;0, F330/E330, 0)</f>
        <v/>
      </c>
      <c r="I330" s="3">
        <f>IF(E330&gt;0, H330/E330, 0)</f>
        <v/>
      </c>
      <c r="J330">
        <f>IF(E330&gt;0, E330-F330-H330, 0)</f>
        <v/>
      </c>
      <c r="K330" s="3">
        <f>IF(E330&gt;0, J330/E330, 0)</f>
        <v/>
      </c>
      <c r="M330" s="3">
        <f>IF(E330&gt;0, L330/E330, 0)</f>
        <v/>
      </c>
      <c r="N330" s="3" t="n"/>
      <c r="O330">
        <f>IFERROR(INT((A330-2-VLOOKUP(D330,'Flock Reference'!$A:$B,2,FALSE))/7), "")</f>
        <v/>
      </c>
    </row>
    <row r="331">
      <c r="G331" s="3">
        <f>IF(E331&gt;0, F331/E331, 0)</f>
        <v/>
      </c>
      <c r="I331" s="3">
        <f>IF(E331&gt;0, H331/E331, 0)</f>
        <v/>
      </c>
      <c r="J331">
        <f>IF(E331&gt;0, E331-F331-H331, 0)</f>
        <v/>
      </c>
      <c r="K331" s="3">
        <f>IF(E331&gt;0, J331/E331, 0)</f>
        <v/>
      </c>
      <c r="M331" s="3">
        <f>IF(E331&gt;0, L331/E331, 0)</f>
        <v/>
      </c>
      <c r="N331" s="3" t="n"/>
      <c r="O331">
        <f>IFERROR(INT((A331-2-VLOOKUP(D331,'Flock Reference'!$A:$B,2,FALSE))/7), "")</f>
        <v/>
      </c>
    </row>
    <row r="332">
      <c r="G332" s="3">
        <f>IF(E332&gt;0, F332/E332, 0)</f>
        <v/>
      </c>
      <c r="I332" s="3">
        <f>IF(E332&gt;0, H332/E332, 0)</f>
        <v/>
      </c>
      <c r="J332">
        <f>IF(E332&gt;0, E332-F332-H332, 0)</f>
        <v/>
      </c>
      <c r="K332" s="3">
        <f>IF(E332&gt;0, J332/E332, 0)</f>
        <v/>
      </c>
      <c r="M332" s="3">
        <f>IF(E332&gt;0, L332/E332, 0)</f>
        <v/>
      </c>
      <c r="N332" s="3" t="n"/>
      <c r="O332">
        <f>IFERROR(INT((A332-2-VLOOKUP(D332,'Flock Reference'!$A:$B,2,FALSE))/7), "")</f>
        <v/>
      </c>
    </row>
    <row r="333">
      <c r="G333" s="3">
        <f>IF(E333&gt;0, F333/E333, 0)</f>
        <v/>
      </c>
      <c r="I333" s="3">
        <f>IF(E333&gt;0, H333/E333, 0)</f>
        <v/>
      </c>
      <c r="J333">
        <f>IF(E333&gt;0, E333-F333-H333, 0)</f>
        <v/>
      </c>
      <c r="K333" s="3">
        <f>IF(E333&gt;0, J333/E333, 0)</f>
        <v/>
      </c>
      <c r="M333" s="3">
        <f>IF(E333&gt;0, L333/E333, 0)</f>
        <v/>
      </c>
      <c r="N333" s="3" t="n"/>
      <c r="O333">
        <f>IFERROR(INT((A333-2-VLOOKUP(D333,'Flock Reference'!$A:$B,2,FALSE))/7), "")</f>
        <v/>
      </c>
    </row>
    <row r="334">
      <c r="G334" s="3">
        <f>IF(E334&gt;0, F334/E334, 0)</f>
        <v/>
      </c>
      <c r="I334" s="3">
        <f>IF(E334&gt;0, H334/E334, 0)</f>
        <v/>
      </c>
      <c r="J334">
        <f>IF(E334&gt;0, E334-F334-H334, 0)</f>
        <v/>
      </c>
      <c r="K334" s="3">
        <f>IF(E334&gt;0, J334/E334, 0)</f>
        <v/>
      </c>
      <c r="M334" s="3">
        <f>IF(E334&gt;0, L334/E334, 0)</f>
        <v/>
      </c>
      <c r="N334" s="3" t="n"/>
      <c r="O334">
        <f>IFERROR(INT((A334-2-VLOOKUP(D334,'Flock Reference'!$A:$B,2,FALSE))/7), "")</f>
        <v/>
      </c>
    </row>
    <row r="335">
      <c r="G335" s="3">
        <f>IF(E335&gt;0, F335/E335, 0)</f>
        <v/>
      </c>
      <c r="I335" s="3">
        <f>IF(E335&gt;0, H335/E335, 0)</f>
        <v/>
      </c>
      <c r="J335">
        <f>IF(E335&gt;0, E335-F335-H335, 0)</f>
        <v/>
      </c>
      <c r="K335" s="3">
        <f>IF(E335&gt;0, J335/E335, 0)</f>
        <v/>
      </c>
      <c r="M335" s="3">
        <f>IF(E335&gt;0, L335/E335, 0)</f>
        <v/>
      </c>
      <c r="N335" s="3" t="n"/>
      <c r="O335">
        <f>IFERROR(INT((A335-2-VLOOKUP(D335,'Flock Reference'!$A:$B,2,FALSE))/7), "")</f>
        <v/>
      </c>
    </row>
    <row r="336">
      <c r="G336" s="3">
        <f>IF(E336&gt;0, F336/E336, 0)</f>
        <v/>
      </c>
      <c r="I336" s="3">
        <f>IF(E336&gt;0, H336/E336, 0)</f>
        <v/>
      </c>
      <c r="J336">
        <f>IF(E336&gt;0, E336-F336-H336, 0)</f>
        <v/>
      </c>
      <c r="K336" s="3">
        <f>IF(E336&gt;0, J336/E336, 0)</f>
        <v/>
      </c>
      <c r="M336" s="3">
        <f>IF(E336&gt;0, L336/E336, 0)</f>
        <v/>
      </c>
      <c r="N336" s="3" t="n"/>
      <c r="O336">
        <f>IFERROR(INT((A336-2-VLOOKUP(D336,'Flock Reference'!$A:$B,2,FALSE))/7), "")</f>
        <v/>
      </c>
    </row>
    <row r="337">
      <c r="G337" s="3">
        <f>IF(E337&gt;0, F337/E337, 0)</f>
        <v/>
      </c>
      <c r="I337" s="3">
        <f>IF(E337&gt;0, H337/E337, 0)</f>
        <v/>
      </c>
      <c r="J337">
        <f>IF(E337&gt;0, E337-F337-H337, 0)</f>
        <v/>
      </c>
      <c r="K337" s="3">
        <f>IF(E337&gt;0, J337/E337, 0)</f>
        <v/>
      </c>
      <c r="M337" s="3">
        <f>IF(E337&gt;0, L337/E337, 0)</f>
        <v/>
      </c>
      <c r="N337" s="3" t="n"/>
      <c r="O337">
        <f>IFERROR(INT((A337-2-VLOOKUP(D337,'Flock Reference'!$A:$B,2,FALSE))/7), "")</f>
        <v/>
      </c>
    </row>
    <row r="338">
      <c r="G338" s="3">
        <f>IF(E338&gt;0, F338/E338, 0)</f>
        <v/>
      </c>
      <c r="I338" s="3">
        <f>IF(E338&gt;0, H338/E338, 0)</f>
        <v/>
      </c>
      <c r="J338">
        <f>IF(E338&gt;0, E338-F338-H338, 0)</f>
        <v/>
      </c>
      <c r="K338" s="3">
        <f>IF(E338&gt;0, J338/E338, 0)</f>
        <v/>
      </c>
      <c r="M338" s="3">
        <f>IF(E338&gt;0, L338/E338, 0)</f>
        <v/>
      </c>
      <c r="N338" s="3" t="n"/>
      <c r="O338">
        <f>IFERROR(INT((A338-2-VLOOKUP(D338,'Flock Reference'!$A:$B,2,FALSE))/7), "")</f>
        <v/>
      </c>
    </row>
    <row r="339">
      <c r="G339" s="3">
        <f>IF(E339&gt;0, F339/E339, 0)</f>
        <v/>
      </c>
      <c r="I339" s="3">
        <f>IF(E339&gt;0, H339/E339, 0)</f>
        <v/>
      </c>
      <c r="J339">
        <f>IF(E339&gt;0, E339-F339-H339, 0)</f>
        <v/>
      </c>
      <c r="K339" s="3">
        <f>IF(E339&gt;0, J339/E339, 0)</f>
        <v/>
      </c>
      <c r="M339" s="3">
        <f>IF(E339&gt;0, L339/E339, 0)</f>
        <v/>
      </c>
      <c r="N339" s="3" t="n"/>
      <c r="O339">
        <f>IFERROR(INT((A339-2-VLOOKUP(D339,'Flock Reference'!$A:$B,2,FALSE))/7), "")</f>
        <v/>
      </c>
    </row>
    <row r="340">
      <c r="G340" s="3">
        <f>IF(E340&gt;0, F340/E340, 0)</f>
        <v/>
      </c>
      <c r="I340" s="3">
        <f>IF(E340&gt;0, H340/E340, 0)</f>
        <v/>
      </c>
      <c r="J340">
        <f>IF(E340&gt;0, E340-F340-H340, 0)</f>
        <v/>
      </c>
      <c r="K340" s="3">
        <f>IF(E340&gt;0, J340/E340, 0)</f>
        <v/>
      </c>
      <c r="M340" s="3">
        <f>IF(E340&gt;0, L340/E340, 0)</f>
        <v/>
      </c>
      <c r="N340" s="3" t="n"/>
      <c r="O340">
        <f>IFERROR(INT((A340-2-VLOOKUP(D340,'Flock Reference'!$A:$B,2,FALSE))/7), "")</f>
        <v/>
      </c>
    </row>
    <row r="341">
      <c r="G341" s="3">
        <f>IF(E341&gt;0, F341/E341, 0)</f>
        <v/>
      </c>
      <c r="I341" s="3">
        <f>IF(E341&gt;0, H341/E341, 0)</f>
        <v/>
      </c>
      <c r="J341">
        <f>IF(E341&gt;0, E341-F341-H341, 0)</f>
        <v/>
      </c>
      <c r="K341" s="3">
        <f>IF(E341&gt;0, J341/E341, 0)</f>
        <v/>
      </c>
      <c r="M341" s="3">
        <f>IF(E341&gt;0, L341/E341, 0)</f>
        <v/>
      </c>
      <c r="N341" s="3" t="n"/>
      <c r="O341">
        <f>IFERROR(INT((A341-2-VLOOKUP(D341,'Flock Reference'!$A:$B,2,FALSE))/7), "")</f>
        <v/>
      </c>
    </row>
    <row r="342">
      <c r="G342" s="3">
        <f>IF(E342&gt;0, F342/E342, 0)</f>
        <v/>
      </c>
      <c r="I342" s="3">
        <f>IF(E342&gt;0, H342/E342, 0)</f>
        <v/>
      </c>
      <c r="J342">
        <f>IF(E342&gt;0, E342-F342-H342, 0)</f>
        <v/>
      </c>
      <c r="K342" s="3">
        <f>IF(E342&gt;0, J342/E342, 0)</f>
        <v/>
      </c>
      <c r="M342" s="3">
        <f>IF(E342&gt;0, L342/E342, 0)</f>
        <v/>
      </c>
      <c r="N342" s="3" t="n"/>
      <c r="O342">
        <f>IFERROR(INT((A342-2-VLOOKUP(D342,'Flock Reference'!$A:$B,2,FALSE))/7), "")</f>
        <v/>
      </c>
    </row>
    <row r="343">
      <c r="G343" s="3">
        <f>IF(E343&gt;0, F343/E343, 0)</f>
        <v/>
      </c>
      <c r="I343" s="3">
        <f>IF(E343&gt;0, H343/E343, 0)</f>
        <v/>
      </c>
      <c r="J343">
        <f>IF(E343&gt;0, E343-F343-H343, 0)</f>
        <v/>
      </c>
      <c r="K343" s="3">
        <f>IF(E343&gt;0, J343/E343, 0)</f>
        <v/>
      </c>
      <c r="M343" s="3">
        <f>IF(E343&gt;0, L343/E343, 0)</f>
        <v/>
      </c>
      <c r="N343" s="3" t="n"/>
      <c r="O343">
        <f>IFERROR(INT((A343-2-VLOOKUP(D343,'Flock Reference'!$A:$B,2,FALSE))/7), "")</f>
        <v/>
      </c>
    </row>
    <row r="344">
      <c r="G344" s="3">
        <f>IF(E344&gt;0, F344/E344, 0)</f>
        <v/>
      </c>
      <c r="I344" s="3">
        <f>IF(E344&gt;0, H344/E344, 0)</f>
        <v/>
      </c>
      <c r="J344">
        <f>IF(E344&gt;0, E344-F344-H344, 0)</f>
        <v/>
      </c>
      <c r="K344" s="3">
        <f>IF(E344&gt;0, J344/E344, 0)</f>
        <v/>
      </c>
      <c r="M344" s="3">
        <f>IF(E344&gt;0, L344/E344, 0)</f>
        <v/>
      </c>
      <c r="N344" s="3" t="n"/>
      <c r="O344">
        <f>IFERROR(INT((A344-2-VLOOKUP(D344,'Flock Reference'!$A:$B,2,FALSE))/7), "")</f>
        <v/>
      </c>
    </row>
    <row r="345">
      <c r="G345" s="3">
        <f>IF(E345&gt;0, F345/E345, 0)</f>
        <v/>
      </c>
      <c r="I345" s="3">
        <f>IF(E345&gt;0, H345/E345, 0)</f>
        <v/>
      </c>
      <c r="J345">
        <f>IF(E345&gt;0, E345-F345-H345, 0)</f>
        <v/>
      </c>
      <c r="K345" s="3">
        <f>IF(E345&gt;0, J345/E345, 0)</f>
        <v/>
      </c>
      <c r="M345" s="3">
        <f>IF(E345&gt;0, L345/E345, 0)</f>
        <v/>
      </c>
      <c r="N345" s="3" t="n"/>
      <c r="O345">
        <f>IFERROR(INT((A345-2-VLOOKUP(D345,'Flock Reference'!$A:$B,2,FALSE))/7), "")</f>
        <v/>
      </c>
    </row>
    <row r="346">
      <c r="G346" s="3">
        <f>IF(E346&gt;0, F346/E346, 0)</f>
        <v/>
      </c>
      <c r="I346" s="3">
        <f>IF(E346&gt;0, H346/E346, 0)</f>
        <v/>
      </c>
      <c r="J346">
        <f>IF(E346&gt;0, E346-F346-H346, 0)</f>
        <v/>
      </c>
      <c r="K346" s="3">
        <f>IF(E346&gt;0, J346/E346, 0)</f>
        <v/>
      </c>
      <c r="M346" s="3">
        <f>IF(E346&gt;0, L346/E346, 0)</f>
        <v/>
      </c>
      <c r="N346" s="3" t="n"/>
      <c r="O346">
        <f>IFERROR(INT((A346-2-VLOOKUP(D346,'Flock Reference'!$A:$B,2,FALSE))/7), "")</f>
        <v/>
      </c>
    </row>
    <row r="347">
      <c r="G347" s="3">
        <f>IF(E347&gt;0, F347/E347, 0)</f>
        <v/>
      </c>
      <c r="I347" s="3">
        <f>IF(E347&gt;0, H347/E347, 0)</f>
        <v/>
      </c>
      <c r="J347">
        <f>IF(E347&gt;0, E347-F347-H347, 0)</f>
        <v/>
      </c>
      <c r="K347" s="3">
        <f>IF(E347&gt;0, J347/E347, 0)</f>
        <v/>
      </c>
      <c r="M347" s="3">
        <f>IF(E347&gt;0, L347/E347, 0)</f>
        <v/>
      </c>
      <c r="N347" s="3" t="n"/>
      <c r="O347">
        <f>IFERROR(INT((A347-2-VLOOKUP(D347,'Flock Reference'!$A:$B,2,FALSE))/7), "")</f>
        <v/>
      </c>
    </row>
    <row r="348">
      <c r="G348" s="3">
        <f>IF(E348&gt;0, F348/E348, 0)</f>
        <v/>
      </c>
      <c r="I348" s="3">
        <f>IF(E348&gt;0, H348/E348, 0)</f>
        <v/>
      </c>
      <c r="J348">
        <f>IF(E348&gt;0, E348-F348-H348, 0)</f>
        <v/>
      </c>
      <c r="K348" s="3">
        <f>IF(E348&gt;0, J348/E348, 0)</f>
        <v/>
      </c>
      <c r="M348" s="3">
        <f>IF(E348&gt;0, L348/E348, 0)</f>
        <v/>
      </c>
      <c r="N348" s="3" t="n"/>
      <c r="O348">
        <f>IFERROR(INT((A348-2-VLOOKUP(D348,'Flock Reference'!$A:$B,2,FALSE))/7), "")</f>
        <v/>
      </c>
    </row>
    <row r="349">
      <c r="G349" s="3">
        <f>IF(E349&gt;0, F349/E349, 0)</f>
        <v/>
      </c>
      <c r="I349" s="3">
        <f>IF(E349&gt;0, H349/E349, 0)</f>
        <v/>
      </c>
      <c r="J349">
        <f>IF(E349&gt;0, E349-F349-H349, 0)</f>
        <v/>
      </c>
      <c r="K349" s="3">
        <f>IF(E349&gt;0, J349/E349, 0)</f>
        <v/>
      </c>
      <c r="M349" s="3">
        <f>IF(E349&gt;0, L349/E349, 0)</f>
        <v/>
      </c>
      <c r="N349" s="3" t="n"/>
      <c r="O349">
        <f>IFERROR(INT((A349-2-VLOOKUP(D349,'Flock Reference'!$A:$B,2,FALSE))/7), "")</f>
        <v/>
      </c>
    </row>
    <row r="350">
      <c r="G350" s="3">
        <f>IF(E350&gt;0, F350/E350, 0)</f>
        <v/>
      </c>
      <c r="I350" s="3">
        <f>IF(E350&gt;0, H350/E350, 0)</f>
        <v/>
      </c>
      <c r="J350">
        <f>IF(E350&gt;0, E350-F350-H350, 0)</f>
        <v/>
      </c>
      <c r="K350" s="3">
        <f>IF(E350&gt;0, J350/E350, 0)</f>
        <v/>
      </c>
      <c r="M350" s="3">
        <f>IF(E350&gt;0, L350/E350, 0)</f>
        <v/>
      </c>
      <c r="N350" s="3" t="n"/>
      <c r="O350">
        <f>IFERROR(INT((A350-2-VLOOKUP(D350,'Flock Reference'!$A:$B,2,FALSE))/7), "")</f>
        <v/>
      </c>
    </row>
    <row r="351">
      <c r="G351" s="3">
        <f>IF(E351&gt;0, F351/E351, 0)</f>
        <v/>
      </c>
      <c r="I351" s="3">
        <f>IF(E351&gt;0, H351/E351, 0)</f>
        <v/>
      </c>
      <c r="J351">
        <f>IF(E351&gt;0, E351-F351-H351, 0)</f>
        <v/>
      </c>
      <c r="K351" s="3">
        <f>IF(E351&gt;0, J351/E351, 0)</f>
        <v/>
      </c>
      <c r="M351" s="3">
        <f>IF(E351&gt;0, L351/E351, 0)</f>
        <v/>
      </c>
      <c r="N351" s="3" t="n"/>
      <c r="O351">
        <f>IFERROR(INT((A351-2-VLOOKUP(D351,'Flock Reference'!$A:$B,2,FALSE))/7), "")</f>
        <v/>
      </c>
    </row>
    <row r="352">
      <c r="G352" s="3">
        <f>IF(E352&gt;0, F352/E352, 0)</f>
        <v/>
      </c>
      <c r="I352" s="3">
        <f>IF(E352&gt;0, H352/E352, 0)</f>
        <v/>
      </c>
      <c r="J352">
        <f>IF(E352&gt;0, E352-F352-H352, 0)</f>
        <v/>
      </c>
      <c r="K352" s="3">
        <f>IF(E352&gt;0, J352/E352, 0)</f>
        <v/>
      </c>
      <c r="M352" s="3">
        <f>IF(E352&gt;0, L352/E352, 0)</f>
        <v/>
      </c>
      <c r="N352" s="3" t="n"/>
      <c r="O352">
        <f>IFERROR(INT((A352-2-VLOOKUP(D352,'Flock Reference'!$A:$B,2,FALSE))/7), "")</f>
        <v/>
      </c>
    </row>
    <row r="353">
      <c r="G353" s="3">
        <f>IF(E353&gt;0, F353/E353, 0)</f>
        <v/>
      </c>
      <c r="I353" s="3">
        <f>IF(E353&gt;0, H353/E353, 0)</f>
        <v/>
      </c>
      <c r="J353">
        <f>IF(E353&gt;0, E353-F353-H353, 0)</f>
        <v/>
      </c>
      <c r="K353" s="3">
        <f>IF(E353&gt;0, J353/E353, 0)</f>
        <v/>
      </c>
      <c r="M353" s="3">
        <f>IF(E353&gt;0, L353/E353, 0)</f>
        <v/>
      </c>
      <c r="N353" s="3" t="n"/>
      <c r="O353">
        <f>IFERROR(INT((A353-2-VLOOKUP(D353,'Flock Reference'!$A:$B,2,FALSE))/7), "")</f>
        <v/>
      </c>
    </row>
    <row r="354">
      <c r="G354" s="3">
        <f>IF(E354&gt;0, F354/E354, 0)</f>
        <v/>
      </c>
      <c r="I354" s="3">
        <f>IF(E354&gt;0, H354/E354, 0)</f>
        <v/>
      </c>
      <c r="J354">
        <f>IF(E354&gt;0, E354-F354-H354, 0)</f>
        <v/>
      </c>
      <c r="K354" s="3">
        <f>IF(E354&gt;0, J354/E354, 0)</f>
        <v/>
      </c>
      <c r="M354" s="3">
        <f>IF(E354&gt;0, L354/E354, 0)</f>
        <v/>
      </c>
      <c r="N354" s="3" t="n"/>
      <c r="O354">
        <f>IFERROR(INT((A354-2-VLOOKUP(D354,'Flock Reference'!$A:$B,2,FALSE))/7), "")</f>
        <v/>
      </c>
    </row>
    <row r="355">
      <c r="G355" s="3">
        <f>IF(E355&gt;0, F355/E355, 0)</f>
        <v/>
      </c>
      <c r="I355" s="3">
        <f>IF(E355&gt;0, H355/E355, 0)</f>
        <v/>
      </c>
      <c r="J355">
        <f>IF(E355&gt;0, E355-F355-H355, 0)</f>
        <v/>
      </c>
      <c r="K355" s="3">
        <f>IF(E355&gt;0, J355/E355, 0)</f>
        <v/>
      </c>
      <c r="M355" s="3">
        <f>IF(E355&gt;0, L355/E355, 0)</f>
        <v/>
      </c>
      <c r="N355" s="3" t="n"/>
      <c r="O355">
        <f>IFERROR(INT((A355-2-VLOOKUP(D355,'Flock Reference'!$A:$B,2,FALSE))/7), "")</f>
        <v/>
      </c>
    </row>
    <row r="356">
      <c r="G356" s="3">
        <f>IF(E356&gt;0, F356/E356, 0)</f>
        <v/>
      </c>
      <c r="I356" s="3">
        <f>IF(E356&gt;0, H356/E356, 0)</f>
        <v/>
      </c>
      <c r="J356">
        <f>IF(E356&gt;0, E356-F356-H356, 0)</f>
        <v/>
      </c>
      <c r="K356" s="3">
        <f>IF(E356&gt;0, J356/E356, 0)</f>
        <v/>
      </c>
      <c r="M356" s="3">
        <f>IF(E356&gt;0, L356/E356, 0)</f>
        <v/>
      </c>
      <c r="N356" s="3" t="n"/>
      <c r="O356">
        <f>IFERROR(INT((A356-2-VLOOKUP(D356,'Flock Reference'!$A:$B,2,FALSE))/7), "")</f>
        <v/>
      </c>
    </row>
    <row r="357">
      <c r="G357" s="3">
        <f>IF(E357&gt;0, F357/E357, 0)</f>
        <v/>
      </c>
      <c r="I357" s="3">
        <f>IF(E357&gt;0, H357/E357, 0)</f>
        <v/>
      </c>
      <c r="J357">
        <f>IF(E357&gt;0, E357-F357-H357, 0)</f>
        <v/>
      </c>
      <c r="K357" s="3">
        <f>IF(E357&gt;0, J357/E357, 0)</f>
        <v/>
      </c>
      <c r="M357" s="3">
        <f>IF(E357&gt;0, L357/E357, 0)</f>
        <v/>
      </c>
      <c r="N357" s="3" t="n"/>
      <c r="O357">
        <f>IFERROR(INT((A357-2-VLOOKUP(D357,'Flock Reference'!$A:$B,2,FALSE))/7), "")</f>
        <v/>
      </c>
    </row>
    <row r="358">
      <c r="G358" s="3">
        <f>IF(E358&gt;0, F358/E358, 0)</f>
        <v/>
      </c>
      <c r="I358" s="3">
        <f>IF(E358&gt;0, H358/E358, 0)</f>
        <v/>
      </c>
      <c r="J358">
        <f>IF(E358&gt;0, E358-F358-H358, 0)</f>
        <v/>
      </c>
      <c r="K358" s="3">
        <f>IF(E358&gt;0, J358/E358, 0)</f>
        <v/>
      </c>
      <c r="M358" s="3">
        <f>IF(E358&gt;0, L358/E358, 0)</f>
        <v/>
      </c>
      <c r="N358" s="3" t="n"/>
      <c r="O358">
        <f>IFERROR(INT((A358-2-VLOOKUP(D358,'Flock Reference'!$A:$B,2,FALSE))/7), "")</f>
        <v/>
      </c>
    </row>
    <row r="359">
      <c r="G359" s="3">
        <f>IF(E359&gt;0, F359/E359, 0)</f>
        <v/>
      </c>
      <c r="I359" s="3">
        <f>IF(E359&gt;0, H359/E359, 0)</f>
        <v/>
      </c>
      <c r="J359">
        <f>IF(E359&gt;0, E359-F359-H359, 0)</f>
        <v/>
      </c>
      <c r="K359" s="3">
        <f>IF(E359&gt;0, J359/E359, 0)</f>
        <v/>
      </c>
      <c r="M359" s="3">
        <f>IF(E359&gt;0, L359/E359, 0)</f>
        <v/>
      </c>
      <c r="N359" s="3" t="n"/>
      <c r="O359">
        <f>IFERROR(INT((A359-2-VLOOKUP(D359,'Flock Reference'!$A:$B,2,FALSE))/7), "")</f>
        <v/>
      </c>
    </row>
    <row r="360">
      <c r="G360" s="3">
        <f>IF(E360&gt;0, F360/E360, 0)</f>
        <v/>
      </c>
      <c r="I360" s="3">
        <f>IF(E360&gt;0, H360/E360, 0)</f>
        <v/>
      </c>
      <c r="J360">
        <f>IF(E360&gt;0, E360-F360-H360, 0)</f>
        <v/>
      </c>
      <c r="K360" s="3">
        <f>IF(E360&gt;0, J360/E360, 0)</f>
        <v/>
      </c>
      <c r="M360" s="3">
        <f>IF(E360&gt;0, L360/E360, 0)</f>
        <v/>
      </c>
      <c r="N360" s="3" t="n"/>
      <c r="O360">
        <f>IFERROR(INT((A360-2-VLOOKUP(D360,'Flock Reference'!$A:$B,2,FALSE))/7), "")</f>
        <v/>
      </c>
    </row>
    <row r="361">
      <c r="G361" s="3">
        <f>IF(E361&gt;0, F361/E361, 0)</f>
        <v/>
      </c>
      <c r="I361" s="3">
        <f>IF(E361&gt;0, H361/E361, 0)</f>
        <v/>
      </c>
      <c r="J361">
        <f>IF(E361&gt;0, E361-F361-H361, 0)</f>
        <v/>
      </c>
      <c r="K361" s="3">
        <f>IF(E361&gt;0, J361/E361, 0)</f>
        <v/>
      </c>
      <c r="M361" s="3">
        <f>IF(E361&gt;0, L361/E361, 0)</f>
        <v/>
      </c>
      <c r="N361" s="3" t="n"/>
      <c r="O361">
        <f>IFERROR(INT((A361-2-VLOOKUP(D361,'Flock Reference'!$A:$B,2,FALSE))/7), "")</f>
        <v/>
      </c>
    </row>
    <row r="362">
      <c r="G362" s="3">
        <f>IF(E362&gt;0, F362/E362, 0)</f>
        <v/>
      </c>
      <c r="I362" s="3">
        <f>IF(E362&gt;0, H362/E362, 0)</f>
        <v/>
      </c>
      <c r="J362">
        <f>IF(E362&gt;0, E362-F362-H362, 0)</f>
        <v/>
      </c>
      <c r="K362" s="3">
        <f>IF(E362&gt;0, J362/E362, 0)</f>
        <v/>
      </c>
      <c r="M362" s="3">
        <f>IF(E362&gt;0, L362/E362, 0)</f>
        <v/>
      </c>
      <c r="N362" s="3" t="n"/>
      <c r="O362">
        <f>IFERROR(INT((A362-2-VLOOKUP(D362,'Flock Reference'!$A:$B,2,FALSE))/7), "")</f>
        <v/>
      </c>
    </row>
    <row r="363">
      <c r="G363" s="3">
        <f>IF(E363&gt;0, F363/E363, 0)</f>
        <v/>
      </c>
      <c r="I363" s="3">
        <f>IF(E363&gt;0, H363/E363, 0)</f>
        <v/>
      </c>
      <c r="J363">
        <f>IF(E363&gt;0, E363-F363-H363, 0)</f>
        <v/>
      </c>
      <c r="K363" s="3">
        <f>IF(E363&gt;0, J363/E363, 0)</f>
        <v/>
      </c>
      <c r="M363" s="3">
        <f>IF(E363&gt;0, L363/E363, 0)</f>
        <v/>
      </c>
      <c r="N363" s="3" t="n"/>
      <c r="O363">
        <f>IFERROR(INT((A363-2-VLOOKUP(D363,'Flock Reference'!$A:$B,2,FALSE))/7), "")</f>
        <v/>
      </c>
    </row>
    <row r="364">
      <c r="G364" s="3">
        <f>IF(E364&gt;0, F364/E364, 0)</f>
        <v/>
      </c>
      <c r="I364" s="3">
        <f>IF(E364&gt;0, H364/E364, 0)</f>
        <v/>
      </c>
      <c r="J364">
        <f>IF(E364&gt;0, E364-F364-H364, 0)</f>
        <v/>
      </c>
      <c r="K364" s="3">
        <f>IF(E364&gt;0, J364/E364, 0)</f>
        <v/>
      </c>
      <c r="M364" s="3">
        <f>IF(E364&gt;0, L364/E364, 0)</f>
        <v/>
      </c>
      <c r="N364" s="3" t="n"/>
      <c r="O364">
        <f>IFERROR(INT((A364-2-VLOOKUP(D364,'Flock Reference'!$A:$B,2,FALSE))/7), "")</f>
        <v/>
      </c>
    </row>
    <row r="365">
      <c r="G365" s="3">
        <f>IF(E365&gt;0, F365/E365, 0)</f>
        <v/>
      </c>
      <c r="I365" s="3">
        <f>IF(E365&gt;0, H365/E365, 0)</f>
        <v/>
      </c>
      <c r="J365">
        <f>IF(E365&gt;0, E365-F365-H365, 0)</f>
        <v/>
      </c>
      <c r="K365" s="3">
        <f>IF(E365&gt;0, J365/E365, 0)</f>
        <v/>
      </c>
      <c r="M365" s="3">
        <f>IF(E365&gt;0, L365/E365, 0)</f>
        <v/>
      </c>
      <c r="N365" s="3" t="n"/>
      <c r="O365">
        <f>IFERROR(INT((A365-2-VLOOKUP(D365,'Flock Reference'!$A:$B,2,FALSE))/7), "")</f>
        <v/>
      </c>
    </row>
    <row r="366">
      <c r="G366" s="3">
        <f>IF(E366&gt;0, F366/E366, 0)</f>
        <v/>
      </c>
      <c r="I366" s="3">
        <f>IF(E366&gt;0, H366/E366, 0)</f>
        <v/>
      </c>
      <c r="J366">
        <f>IF(E366&gt;0, E366-F366-H366, 0)</f>
        <v/>
      </c>
      <c r="K366" s="3">
        <f>IF(E366&gt;0, J366/E366, 0)</f>
        <v/>
      </c>
      <c r="M366" s="3">
        <f>IF(E366&gt;0, L366/E366, 0)</f>
        <v/>
      </c>
      <c r="N366" s="3" t="n"/>
      <c r="O366">
        <f>IFERROR(INT((A366-2-VLOOKUP(D366,'Flock Reference'!$A:$B,2,FALSE))/7), "")</f>
        <v/>
      </c>
    </row>
    <row r="367">
      <c r="G367" s="3">
        <f>IF(E367&gt;0, F367/E367, 0)</f>
        <v/>
      </c>
      <c r="I367" s="3">
        <f>IF(E367&gt;0, H367/E367, 0)</f>
        <v/>
      </c>
      <c r="J367">
        <f>IF(E367&gt;0, E367-F367-H367, 0)</f>
        <v/>
      </c>
      <c r="K367" s="3">
        <f>IF(E367&gt;0, J367/E367, 0)</f>
        <v/>
      </c>
      <c r="M367" s="3">
        <f>IF(E367&gt;0, L367/E367, 0)</f>
        <v/>
      </c>
      <c r="N367" s="3" t="n"/>
      <c r="O367">
        <f>IFERROR(INT((A367-2-VLOOKUP(D367,'Flock Reference'!$A:$B,2,FALSE))/7), "")</f>
        <v/>
      </c>
    </row>
    <row r="368">
      <c r="G368" s="3">
        <f>IF(E368&gt;0, F368/E368, 0)</f>
        <v/>
      </c>
      <c r="I368" s="3">
        <f>IF(E368&gt;0, H368/E368, 0)</f>
        <v/>
      </c>
      <c r="J368">
        <f>IF(E368&gt;0, E368-F368-H368, 0)</f>
        <v/>
      </c>
      <c r="K368" s="3">
        <f>IF(E368&gt;0, J368/E368, 0)</f>
        <v/>
      </c>
      <c r="M368" s="3">
        <f>IF(E368&gt;0, L368/E368, 0)</f>
        <v/>
      </c>
      <c r="N368" s="3" t="n"/>
      <c r="O368">
        <f>IFERROR(INT((A368-2-VLOOKUP(D368,'Flock Reference'!$A:$B,2,FALSE))/7), "")</f>
        <v/>
      </c>
    </row>
    <row r="369">
      <c r="G369" s="3">
        <f>IF(E369&gt;0, F369/E369, 0)</f>
        <v/>
      </c>
      <c r="I369" s="3">
        <f>IF(E369&gt;0, H369/E369, 0)</f>
        <v/>
      </c>
      <c r="J369">
        <f>IF(E369&gt;0, E369-F369-H369, 0)</f>
        <v/>
      </c>
      <c r="K369" s="3">
        <f>IF(E369&gt;0, J369/E369, 0)</f>
        <v/>
      </c>
      <c r="M369" s="3">
        <f>IF(E369&gt;0, L369/E369, 0)</f>
        <v/>
      </c>
      <c r="N369" s="3" t="n"/>
      <c r="O369">
        <f>IFERROR(INT((A369-2-VLOOKUP(D369,'Flock Reference'!$A:$B,2,FALSE))/7), "")</f>
        <v/>
      </c>
    </row>
    <row r="370">
      <c r="G370" s="3">
        <f>IF(E370&gt;0, F370/E370, 0)</f>
        <v/>
      </c>
      <c r="I370" s="3">
        <f>IF(E370&gt;0, H370/E370, 0)</f>
        <v/>
      </c>
      <c r="J370">
        <f>IF(E370&gt;0, E370-F370-H370, 0)</f>
        <v/>
      </c>
      <c r="K370" s="3">
        <f>IF(E370&gt;0, J370/E370, 0)</f>
        <v/>
      </c>
      <c r="M370" s="3">
        <f>IF(E370&gt;0, L370/E370, 0)</f>
        <v/>
      </c>
      <c r="N370" s="3" t="n"/>
      <c r="O370">
        <f>IFERROR(INT((A370-2-VLOOKUP(D370,'Flock Reference'!$A:$B,2,FALSE))/7), "")</f>
        <v/>
      </c>
    </row>
    <row r="371">
      <c r="G371" s="3">
        <f>IF(E371&gt;0, F371/E371, 0)</f>
        <v/>
      </c>
      <c r="I371" s="3">
        <f>IF(E371&gt;0, H371/E371, 0)</f>
        <v/>
      </c>
      <c r="J371">
        <f>IF(E371&gt;0, E371-F371-H371, 0)</f>
        <v/>
      </c>
      <c r="K371" s="3">
        <f>IF(E371&gt;0, J371/E371, 0)</f>
        <v/>
      </c>
      <c r="M371" s="3">
        <f>IF(E371&gt;0, L371/E371, 0)</f>
        <v/>
      </c>
      <c r="N371" s="3" t="n"/>
      <c r="O371">
        <f>IFERROR(INT((A371-2-VLOOKUP(D371,'Flock Reference'!$A:$B,2,FALSE))/7), "")</f>
        <v/>
      </c>
    </row>
    <row r="372">
      <c r="G372" s="3">
        <f>IF(E372&gt;0, F372/E372, 0)</f>
        <v/>
      </c>
      <c r="I372" s="3">
        <f>IF(E372&gt;0, H372/E372, 0)</f>
        <v/>
      </c>
      <c r="J372">
        <f>IF(E372&gt;0, E372-F372-H372, 0)</f>
        <v/>
      </c>
      <c r="K372" s="3">
        <f>IF(E372&gt;0, J372/E372, 0)</f>
        <v/>
      </c>
      <c r="M372" s="3">
        <f>IF(E372&gt;0, L372/E372, 0)</f>
        <v/>
      </c>
      <c r="N372" s="3" t="n"/>
      <c r="O372">
        <f>IFERROR(INT((A372-2-VLOOKUP(D372,'Flock Reference'!$A:$B,2,FALSE))/7), "")</f>
        <v/>
      </c>
    </row>
    <row r="373">
      <c r="G373" s="3">
        <f>IF(E373&gt;0, F373/E373, 0)</f>
        <v/>
      </c>
      <c r="I373" s="3">
        <f>IF(E373&gt;0, H373/E373, 0)</f>
        <v/>
      </c>
      <c r="J373">
        <f>IF(E373&gt;0, E373-F373-H373, 0)</f>
        <v/>
      </c>
      <c r="K373" s="3">
        <f>IF(E373&gt;0, J373/E373, 0)</f>
        <v/>
      </c>
      <c r="M373" s="3">
        <f>IF(E373&gt;0, L373/E373, 0)</f>
        <v/>
      </c>
      <c r="N373" s="3" t="n"/>
      <c r="O373">
        <f>IFERROR(INT((A373-2-VLOOKUP(D373,'Flock Reference'!$A:$B,2,FALSE))/7), "")</f>
        <v/>
      </c>
    </row>
    <row r="374">
      <c r="G374" s="3">
        <f>IF(E374&gt;0, F374/E374, 0)</f>
        <v/>
      </c>
      <c r="I374" s="3">
        <f>IF(E374&gt;0, H374/E374, 0)</f>
        <v/>
      </c>
      <c r="J374">
        <f>IF(E374&gt;0, E374-F374-H374, 0)</f>
        <v/>
      </c>
      <c r="K374" s="3">
        <f>IF(E374&gt;0, J374/E374, 0)</f>
        <v/>
      </c>
      <c r="M374" s="3">
        <f>IF(E374&gt;0, L374/E374, 0)</f>
        <v/>
      </c>
      <c r="N374" s="3" t="n"/>
      <c r="O374">
        <f>IFERROR(INT((A374-2-VLOOKUP(D374,'Flock Reference'!$A:$B,2,FALSE))/7), "")</f>
        <v/>
      </c>
    </row>
    <row r="375">
      <c r="G375" s="3">
        <f>IF(E375&gt;0, F375/E375, 0)</f>
        <v/>
      </c>
      <c r="I375" s="3">
        <f>IF(E375&gt;0, H375/E375, 0)</f>
        <v/>
      </c>
      <c r="J375">
        <f>IF(E375&gt;0, E375-F375-H375, 0)</f>
        <v/>
      </c>
      <c r="K375" s="3">
        <f>IF(E375&gt;0, J375/E375, 0)</f>
        <v/>
      </c>
      <c r="M375" s="3">
        <f>IF(E375&gt;0, L375/E375, 0)</f>
        <v/>
      </c>
      <c r="N375" s="3" t="n"/>
      <c r="O375">
        <f>IFERROR(INT((A375-2-VLOOKUP(D375,'Flock Reference'!$A:$B,2,FALSE))/7), "")</f>
        <v/>
      </c>
    </row>
    <row r="376">
      <c r="G376" s="3">
        <f>IF(E376&gt;0, F376/E376, 0)</f>
        <v/>
      </c>
      <c r="I376" s="3">
        <f>IF(E376&gt;0, H376/E376, 0)</f>
        <v/>
      </c>
      <c r="J376">
        <f>IF(E376&gt;0, E376-F376-H376, 0)</f>
        <v/>
      </c>
      <c r="K376" s="3">
        <f>IF(E376&gt;0, J376/E376, 0)</f>
        <v/>
      </c>
      <c r="M376" s="3">
        <f>IF(E376&gt;0, L376/E376, 0)</f>
        <v/>
      </c>
      <c r="N376" s="3" t="n"/>
      <c r="O376">
        <f>IFERROR(INT((A376-2-VLOOKUP(D376,'Flock Reference'!$A:$B,2,FALSE))/7), "")</f>
        <v/>
      </c>
    </row>
    <row r="377">
      <c r="G377" s="3">
        <f>IF(E377&gt;0, F377/E377, 0)</f>
        <v/>
      </c>
      <c r="I377" s="3">
        <f>IF(E377&gt;0, H377/E377, 0)</f>
        <v/>
      </c>
      <c r="J377">
        <f>IF(E377&gt;0, E377-F377-H377, 0)</f>
        <v/>
      </c>
      <c r="K377" s="3">
        <f>IF(E377&gt;0, J377/E377, 0)</f>
        <v/>
      </c>
      <c r="M377" s="3">
        <f>IF(E377&gt;0, L377/E377, 0)</f>
        <v/>
      </c>
      <c r="N377" s="3" t="n"/>
      <c r="O377">
        <f>IFERROR(INT((A377-2-VLOOKUP(D377,'Flock Reference'!$A:$B,2,FALSE))/7), "")</f>
        <v/>
      </c>
    </row>
    <row r="378">
      <c r="G378" s="3">
        <f>IF(E378&gt;0, F378/E378, 0)</f>
        <v/>
      </c>
      <c r="I378" s="3">
        <f>IF(E378&gt;0, H378/E378, 0)</f>
        <v/>
      </c>
      <c r="J378">
        <f>IF(E378&gt;0, E378-F378-H378, 0)</f>
        <v/>
      </c>
      <c r="K378" s="3">
        <f>IF(E378&gt;0, J378/E378, 0)</f>
        <v/>
      </c>
      <c r="M378" s="3">
        <f>IF(E378&gt;0, L378/E378, 0)</f>
        <v/>
      </c>
      <c r="N378" s="3" t="n"/>
      <c r="O378">
        <f>IFERROR(INT((A378-2-VLOOKUP(D378,'Flock Reference'!$A:$B,2,FALSE))/7), "")</f>
        <v/>
      </c>
    </row>
    <row r="379">
      <c r="G379" s="3">
        <f>IF(E379&gt;0, F379/E379, 0)</f>
        <v/>
      </c>
      <c r="I379" s="3">
        <f>IF(E379&gt;0, H379/E379, 0)</f>
        <v/>
      </c>
      <c r="J379">
        <f>IF(E379&gt;0, E379-F379-H379, 0)</f>
        <v/>
      </c>
      <c r="K379" s="3">
        <f>IF(E379&gt;0, J379/E379, 0)</f>
        <v/>
      </c>
      <c r="M379" s="3">
        <f>IF(E379&gt;0, L379/E379, 0)</f>
        <v/>
      </c>
      <c r="N379" s="3" t="n"/>
      <c r="O379">
        <f>IFERROR(INT((A379-2-VLOOKUP(D379,'Flock Reference'!$A:$B,2,FALSE))/7), "")</f>
        <v/>
      </c>
    </row>
    <row r="380">
      <c r="G380" s="3">
        <f>IF(E380&gt;0, F380/E380, 0)</f>
        <v/>
      </c>
      <c r="I380" s="3">
        <f>IF(E380&gt;0, H380/E380, 0)</f>
        <v/>
      </c>
      <c r="J380">
        <f>IF(E380&gt;0, E380-F380-H380, 0)</f>
        <v/>
      </c>
      <c r="K380" s="3">
        <f>IF(E380&gt;0, J380/E380, 0)</f>
        <v/>
      </c>
      <c r="M380" s="3">
        <f>IF(E380&gt;0, L380/E380, 0)</f>
        <v/>
      </c>
      <c r="N380" s="3" t="n"/>
      <c r="O380">
        <f>IFERROR(INT((A380-2-VLOOKUP(D380,'Flock Reference'!$A:$B,2,FALSE))/7), "")</f>
        <v/>
      </c>
    </row>
    <row r="381">
      <c r="G381" s="3">
        <f>IF(E381&gt;0, F381/E381, 0)</f>
        <v/>
      </c>
      <c r="I381" s="3">
        <f>IF(E381&gt;0, H381/E381, 0)</f>
        <v/>
      </c>
      <c r="J381">
        <f>IF(E381&gt;0, E381-F381-H381, 0)</f>
        <v/>
      </c>
      <c r="K381" s="3">
        <f>IF(E381&gt;0, J381/E381, 0)</f>
        <v/>
      </c>
      <c r="M381" s="3">
        <f>IF(E381&gt;0, L381/E381, 0)</f>
        <v/>
      </c>
      <c r="N381" s="3" t="n"/>
      <c r="O381">
        <f>IFERROR(INT((A381-2-VLOOKUP(D381,'Flock Reference'!$A:$B,2,FALSE))/7), "")</f>
        <v/>
      </c>
    </row>
    <row r="382">
      <c r="G382" s="3">
        <f>IF(E382&gt;0, F382/E382, 0)</f>
        <v/>
      </c>
      <c r="I382" s="3">
        <f>IF(E382&gt;0, H382/E382, 0)</f>
        <v/>
      </c>
      <c r="J382">
        <f>IF(E382&gt;0, E382-F382-H382, 0)</f>
        <v/>
      </c>
      <c r="K382" s="3">
        <f>IF(E382&gt;0, J382/E382, 0)</f>
        <v/>
      </c>
      <c r="M382" s="3">
        <f>IF(E382&gt;0, L382/E382, 0)</f>
        <v/>
      </c>
      <c r="N382" s="3" t="n"/>
      <c r="O382">
        <f>IFERROR(INT((A382-2-VLOOKUP(D382,'Flock Reference'!$A:$B,2,FALSE))/7), "")</f>
        <v/>
      </c>
    </row>
    <row r="383">
      <c r="G383" s="3">
        <f>IF(E383&gt;0, F383/E383, 0)</f>
        <v/>
      </c>
      <c r="I383" s="3">
        <f>IF(E383&gt;0, H383/E383, 0)</f>
        <v/>
      </c>
      <c r="J383">
        <f>IF(E383&gt;0, E383-F383-H383, 0)</f>
        <v/>
      </c>
      <c r="K383" s="3">
        <f>IF(E383&gt;0, J383/E383, 0)</f>
        <v/>
      </c>
      <c r="M383" s="3">
        <f>IF(E383&gt;0, L383/E383, 0)</f>
        <v/>
      </c>
      <c r="N383" s="3" t="n"/>
      <c r="O383">
        <f>IFERROR(INT((A383-2-VLOOKUP(D383,'Flock Reference'!$A:$B,2,FALSE))/7), "")</f>
        <v/>
      </c>
    </row>
    <row r="384">
      <c r="G384" s="3">
        <f>IF(E384&gt;0, F384/E384, 0)</f>
        <v/>
      </c>
      <c r="I384" s="3">
        <f>IF(E384&gt;0, H384/E384, 0)</f>
        <v/>
      </c>
      <c r="J384">
        <f>IF(E384&gt;0, E384-F384-H384, 0)</f>
        <v/>
      </c>
      <c r="K384" s="3">
        <f>IF(E384&gt;0, J384/E384, 0)</f>
        <v/>
      </c>
      <c r="M384" s="3">
        <f>IF(E384&gt;0, L384/E384, 0)</f>
        <v/>
      </c>
      <c r="N384" s="3" t="n"/>
      <c r="O384">
        <f>IFERROR(INT((A384-2-VLOOKUP(D384,'Flock Reference'!$A:$B,2,FALSE))/7), "")</f>
        <v/>
      </c>
    </row>
    <row r="385">
      <c r="G385" s="3">
        <f>IF(E385&gt;0, F385/E385, 0)</f>
        <v/>
      </c>
      <c r="I385" s="3">
        <f>IF(E385&gt;0, H385/E385, 0)</f>
        <v/>
      </c>
      <c r="J385">
        <f>IF(E385&gt;0, E385-F385-H385, 0)</f>
        <v/>
      </c>
      <c r="K385" s="3">
        <f>IF(E385&gt;0, J385/E385, 0)</f>
        <v/>
      </c>
      <c r="M385" s="3">
        <f>IF(E385&gt;0, L385/E385, 0)</f>
        <v/>
      </c>
      <c r="N385" s="3" t="n"/>
      <c r="O385">
        <f>IFERROR(INT((A385-2-VLOOKUP(D385,'Flock Reference'!$A:$B,2,FALSE))/7), "")</f>
        <v/>
      </c>
    </row>
    <row r="386">
      <c r="G386" s="3">
        <f>IF(E386&gt;0, F386/E386, 0)</f>
        <v/>
      </c>
      <c r="I386" s="3">
        <f>IF(E386&gt;0, H386/E386, 0)</f>
        <v/>
      </c>
      <c r="J386">
        <f>IF(E386&gt;0, E386-F386-H386, 0)</f>
        <v/>
      </c>
      <c r="K386" s="3">
        <f>IF(E386&gt;0, J386/E386, 0)</f>
        <v/>
      </c>
      <c r="M386" s="3">
        <f>IF(E386&gt;0, L386/E386, 0)</f>
        <v/>
      </c>
      <c r="N386" s="3" t="n"/>
      <c r="O386">
        <f>IFERROR(INT((A386-2-VLOOKUP(D386,'Flock Reference'!$A:$B,2,FALSE))/7), "")</f>
        <v/>
      </c>
    </row>
    <row r="387">
      <c r="G387" s="3">
        <f>IF(E387&gt;0, F387/E387, 0)</f>
        <v/>
      </c>
      <c r="I387" s="3">
        <f>IF(E387&gt;0, H387/E387, 0)</f>
        <v/>
      </c>
      <c r="J387">
        <f>IF(E387&gt;0, E387-F387-H387, 0)</f>
        <v/>
      </c>
      <c r="K387" s="3">
        <f>IF(E387&gt;0, J387/E387, 0)</f>
        <v/>
      </c>
      <c r="M387" s="3">
        <f>IF(E387&gt;0, L387/E387, 0)</f>
        <v/>
      </c>
      <c r="N387" s="3" t="n"/>
      <c r="O387">
        <f>IFERROR(INT((A387-2-VLOOKUP(D387,'Flock Reference'!$A:$B,2,FALSE))/7), "")</f>
        <v/>
      </c>
    </row>
    <row r="388">
      <c r="G388" s="3">
        <f>IF(E388&gt;0, F388/E388, 0)</f>
        <v/>
      </c>
      <c r="I388" s="3">
        <f>IF(E388&gt;0, H388/E388, 0)</f>
        <v/>
      </c>
      <c r="J388">
        <f>IF(E388&gt;0, E388-F388-H388, 0)</f>
        <v/>
      </c>
      <c r="K388" s="3">
        <f>IF(E388&gt;0, J388/E388, 0)</f>
        <v/>
      </c>
      <c r="M388" s="3">
        <f>IF(E388&gt;0, L388/E388, 0)</f>
        <v/>
      </c>
      <c r="N388" s="3" t="n"/>
      <c r="O388">
        <f>IFERROR(INT((A388-2-VLOOKUP(D388,'Flock Reference'!$A:$B,2,FALSE))/7), "")</f>
        <v/>
      </c>
    </row>
    <row r="389">
      <c r="G389" s="3">
        <f>IF(E389&gt;0, F389/E389, 0)</f>
        <v/>
      </c>
      <c r="I389" s="3">
        <f>IF(E389&gt;0, H389/E389, 0)</f>
        <v/>
      </c>
      <c r="J389">
        <f>IF(E389&gt;0, E389-F389-H389, 0)</f>
        <v/>
      </c>
      <c r="K389" s="3">
        <f>IF(E389&gt;0, J389/E389, 0)</f>
        <v/>
      </c>
      <c r="M389" s="3">
        <f>IF(E389&gt;0, L389/E389, 0)</f>
        <v/>
      </c>
      <c r="N389" s="3" t="n"/>
      <c r="O389">
        <f>IFERROR(INT((A389-2-VLOOKUP(D389,'Flock Reference'!$A:$B,2,FALSE))/7), "")</f>
        <v/>
      </c>
    </row>
    <row r="390">
      <c r="G390" s="3">
        <f>IF(E390&gt;0, F390/E390, 0)</f>
        <v/>
      </c>
      <c r="I390" s="3">
        <f>IF(E390&gt;0, H390/E390, 0)</f>
        <v/>
      </c>
      <c r="J390">
        <f>IF(E390&gt;0, E390-F390-H390, 0)</f>
        <v/>
      </c>
      <c r="K390" s="3">
        <f>IF(E390&gt;0, J390/E390, 0)</f>
        <v/>
      </c>
      <c r="M390" s="3">
        <f>IF(E390&gt;0, L390/E390, 0)</f>
        <v/>
      </c>
      <c r="N390" s="3" t="n"/>
      <c r="O390">
        <f>IFERROR(INT((A390-2-VLOOKUP(D390,'Flock Reference'!$A:$B,2,FALSE))/7), "")</f>
        <v/>
      </c>
    </row>
    <row r="391">
      <c r="G391" s="3">
        <f>IF(E391&gt;0, F391/E391, 0)</f>
        <v/>
      </c>
      <c r="I391" s="3">
        <f>IF(E391&gt;0, H391/E391, 0)</f>
        <v/>
      </c>
      <c r="J391">
        <f>IF(E391&gt;0, E391-F391-H391, 0)</f>
        <v/>
      </c>
      <c r="K391" s="3">
        <f>IF(E391&gt;0, J391/E391, 0)</f>
        <v/>
      </c>
      <c r="M391" s="3">
        <f>IF(E391&gt;0, L391/E391, 0)</f>
        <v/>
      </c>
      <c r="N391" s="3" t="n"/>
      <c r="O391">
        <f>IFERROR(INT((A391-2-VLOOKUP(D391,'Flock Reference'!$A:$B,2,FALSE))/7), "")</f>
        <v/>
      </c>
    </row>
    <row r="392">
      <c r="G392" s="3">
        <f>IF(E392&gt;0, F392/E392, 0)</f>
        <v/>
      </c>
      <c r="I392" s="3">
        <f>IF(E392&gt;0, H392/E392, 0)</f>
        <v/>
      </c>
      <c r="J392">
        <f>IF(E392&gt;0, E392-F392-H392, 0)</f>
        <v/>
      </c>
      <c r="K392" s="3">
        <f>IF(E392&gt;0, J392/E392, 0)</f>
        <v/>
      </c>
      <c r="M392" s="3">
        <f>IF(E392&gt;0, L392/E392, 0)</f>
        <v/>
      </c>
      <c r="N392" s="3" t="n"/>
      <c r="O392">
        <f>IFERROR(INT((A392-2-VLOOKUP(D392,'Flock Reference'!$A:$B,2,FALSE))/7), "")</f>
        <v/>
      </c>
    </row>
    <row r="393">
      <c r="G393" s="3">
        <f>IF(E393&gt;0, F393/E393, 0)</f>
        <v/>
      </c>
      <c r="I393" s="3">
        <f>IF(E393&gt;0, H393/E393, 0)</f>
        <v/>
      </c>
      <c r="J393">
        <f>IF(E393&gt;0, E393-F393-H393, 0)</f>
        <v/>
      </c>
      <c r="K393" s="3">
        <f>IF(E393&gt;0, J393/E393, 0)</f>
        <v/>
      </c>
      <c r="M393" s="3">
        <f>IF(E393&gt;0, L393/E393, 0)</f>
        <v/>
      </c>
      <c r="N393" s="3" t="n"/>
      <c r="O393">
        <f>IFERROR(INT((A393-2-VLOOKUP(D393,'Flock Reference'!$A:$B,2,FALSE))/7), "")</f>
        <v/>
      </c>
    </row>
    <row r="394">
      <c r="G394" s="3">
        <f>IF(E394&gt;0, F394/E394, 0)</f>
        <v/>
      </c>
      <c r="I394" s="3">
        <f>IF(E394&gt;0, H394/E394, 0)</f>
        <v/>
      </c>
      <c r="J394">
        <f>IF(E394&gt;0, E394-F394-H394, 0)</f>
        <v/>
      </c>
      <c r="K394" s="3">
        <f>IF(E394&gt;0, J394/E394, 0)</f>
        <v/>
      </c>
      <c r="M394" s="3">
        <f>IF(E394&gt;0, L394/E394, 0)</f>
        <v/>
      </c>
      <c r="N394" s="3" t="n"/>
      <c r="O394">
        <f>IFERROR(INT((A394-2-VLOOKUP(D394,'Flock Reference'!$A:$B,2,FALSE))/7), "")</f>
        <v/>
      </c>
    </row>
    <row r="395">
      <c r="G395" s="3">
        <f>IF(E395&gt;0, F395/E395, 0)</f>
        <v/>
      </c>
      <c r="I395" s="3">
        <f>IF(E395&gt;0, H395/E395, 0)</f>
        <v/>
      </c>
      <c r="J395">
        <f>IF(E395&gt;0, E395-F395-H395, 0)</f>
        <v/>
      </c>
      <c r="K395" s="3">
        <f>IF(E395&gt;0, J395/E395, 0)</f>
        <v/>
      </c>
      <c r="M395" s="3">
        <f>IF(E395&gt;0, L395/E395, 0)</f>
        <v/>
      </c>
      <c r="N395" s="3" t="n"/>
      <c r="O395">
        <f>IFERROR(INT((A395-2-VLOOKUP(D395,'Flock Reference'!$A:$B,2,FALSE))/7), "")</f>
        <v/>
      </c>
    </row>
    <row r="396">
      <c r="G396" s="3">
        <f>IF(E396&gt;0, F396/E396, 0)</f>
        <v/>
      </c>
      <c r="I396" s="3">
        <f>IF(E396&gt;0, H396/E396, 0)</f>
        <v/>
      </c>
      <c r="J396">
        <f>IF(E396&gt;0, E396-F396-H396, 0)</f>
        <v/>
      </c>
      <c r="K396" s="3">
        <f>IF(E396&gt;0, J396/E396, 0)</f>
        <v/>
      </c>
      <c r="M396" s="3">
        <f>IF(E396&gt;0, L396/E396, 0)</f>
        <v/>
      </c>
      <c r="N396" s="3" t="n"/>
      <c r="O396">
        <f>IFERROR(INT((A396-2-VLOOKUP(D396,'Flock Reference'!$A:$B,2,FALSE))/7), "")</f>
        <v/>
      </c>
    </row>
    <row r="397">
      <c r="G397" s="3">
        <f>IF(E397&gt;0, F397/E397, 0)</f>
        <v/>
      </c>
      <c r="I397" s="3">
        <f>IF(E397&gt;0, H397/E397, 0)</f>
        <v/>
      </c>
      <c r="J397">
        <f>IF(E397&gt;0, E397-F397-H397, 0)</f>
        <v/>
      </c>
      <c r="K397" s="3">
        <f>IF(E397&gt;0, J397/E397, 0)</f>
        <v/>
      </c>
      <c r="M397" s="3">
        <f>IF(E397&gt;0, L397/E397, 0)</f>
        <v/>
      </c>
      <c r="N397" s="3" t="n"/>
      <c r="O397">
        <f>IFERROR(INT((A397-2-VLOOKUP(D397,'Flock Reference'!$A:$B,2,FALSE))/7), "")</f>
        <v/>
      </c>
    </row>
    <row r="398">
      <c r="G398" s="3">
        <f>IF(E398&gt;0, F398/E398, 0)</f>
        <v/>
      </c>
      <c r="I398" s="3">
        <f>IF(E398&gt;0, H398/E398, 0)</f>
        <v/>
      </c>
      <c r="J398">
        <f>IF(E398&gt;0, E398-F398-H398, 0)</f>
        <v/>
      </c>
      <c r="K398" s="3">
        <f>IF(E398&gt;0, J398/E398, 0)</f>
        <v/>
      </c>
      <c r="M398" s="3">
        <f>IF(E398&gt;0, L398/E398, 0)</f>
        <v/>
      </c>
      <c r="N398" s="3" t="n"/>
      <c r="O398">
        <f>IFERROR(INT((A398-2-VLOOKUP(D398,'Flock Reference'!$A:$B,2,FALSE))/7), "")</f>
        <v/>
      </c>
    </row>
    <row r="399">
      <c r="G399" s="3">
        <f>IF(E399&gt;0, F399/E399, 0)</f>
        <v/>
      </c>
      <c r="I399" s="3">
        <f>IF(E399&gt;0, H399/E399, 0)</f>
        <v/>
      </c>
      <c r="J399">
        <f>IF(E399&gt;0, E399-F399-H399, 0)</f>
        <v/>
      </c>
      <c r="K399" s="3">
        <f>IF(E399&gt;0, J399/E399, 0)</f>
        <v/>
      </c>
      <c r="M399" s="3">
        <f>IF(E399&gt;0, L399/E399, 0)</f>
        <v/>
      </c>
      <c r="N399" s="3" t="n"/>
      <c r="O399">
        <f>IFERROR(INT((A399-2-VLOOKUP(D399,'Flock Reference'!$A:$B,2,FALSE))/7), "")</f>
        <v/>
      </c>
    </row>
    <row r="400">
      <c r="G400" s="3">
        <f>IF(E400&gt;0, F400/E400, 0)</f>
        <v/>
      </c>
      <c r="I400" s="3">
        <f>IF(E400&gt;0, H400/E400, 0)</f>
        <v/>
      </c>
      <c r="J400">
        <f>IF(E400&gt;0, E400-F400-H400, 0)</f>
        <v/>
      </c>
      <c r="K400" s="3">
        <f>IF(E400&gt;0, J400/E400, 0)</f>
        <v/>
      </c>
      <c r="M400" s="3">
        <f>IF(E400&gt;0, L400/E400, 0)</f>
        <v/>
      </c>
      <c r="N400" s="3" t="n"/>
      <c r="O400">
        <f>IFERROR(INT((A400-2-VLOOKUP(D400,'Flock Reference'!$A:$B,2,FALSE))/7), "")</f>
        <v/>
      </c>
    </row>
    <row r="401">
      <c r="G401" s="3">
        <f>IF(E401&gt;0, F401/E401, 0)</f>
        <v/>
      </c>
      <c r="I401" s="3">
        <f>IF(E401&gt;0, H401/E401, 0)</f>
        <v/>
      </c>
      <c r="J401">
        <f>IF(E401&gt;0, E401-F401-H401, 0)</f>
        <v/>
      </c>
      <c r="K401" s="3">
        <f>IF(E401&gt;0, J401/E401, 0)</f>
        <v/>
      </c>
      <c r="M401" s="3">
        <f>IF(E401&gt;0, L401/E401, 0)</f>
        <v/>
      </c>
      <c r="N401" s="3" t="n"/>
      <c r="O401">
        <f>IFERROR(INT((A401-2-VLOOKUP(D401,'Flock Reference'!$A:$B,2,FALSE))/7), "")</f>
        <v/>
      </c>
    </row>
    <row r="402">
      <c r="G402" s="3">
        <f>IF(E402&gt;0, F402/E402, 0)</f>
        <v/>
      </c>
      <c r="I402" s="3">
        <f>IF(E402&gt;0, H402/E402, 0)</f>
        <v/>
      </c>
      <c r="J402">
        <f>IF(E402&gt;0, E402-F402-H402, 0)</f>
        <v/>
      </c>
      <c r="K402" s="3">
        <f>IF(E402&gt;0, J402/E402, 0)</f>
        <v/>
      </c>
      <c r="M402" s="3">
        <f>IF(E402&gt;0, L402/E402, 0)</f>
        <v/>
      </c>
      <c r="N402" s="3" t="n"/>
      <c r="O402">
        <f>IFERROR(INT((A402-2-VLOOKUP(D402,'Flock Reference'!$A:$B,2,FALSE))/7), "")</f>
        <v/>
      </c>
    </row>
    <row r="403">
      <c r="G403" s="3">
        <f>IF(E403&gt;0, F403/E403, 0)</f>
        <v/>
      </c>
      <c r="I403" s="3">
        <f>IF(E403&gt;0, H403/E403, 0)</f>
        <v/>
      </c>
      <c r="J403">
        <f>IF(E403&gt;0, E403-F403-H403, 0)</f>
        <v/>
      </c>
      <c r="K403" s="3">
        <f>IF(E403&gt;0, J403/E403, 0)</f>
        <v/>
      </c>
      <c r="M403" s="3">
        <f>IF(E403&gt;0, L403/E403, 0)</f>
        <v/>
      </c>
      <c r="N403" s="3" t="n"/>
      <c r="O403">
        <f>IFERROR(INT((A403-2-VLOOKUP(D403,'Flock Reference'!$A:$B,2,FALSE))/7), "")</f>
        <v/>
      </c>
    </row>
    <row r="404">
      <c r="G404" s="3">
        <f>IF(E404&gt;0, F404/E404, 0)</f>
        <v/>
      </c>
      <c r="I404" s="3">
        <f>IF(E404&gt;0, H404/E404, 0)</f>
        <v/>
      </c>
      <c r="J404">
        <f>IF(E404&gt;0, E404-F404-H404, 0)</f>
        <v/>
      </c>
      <c r="K404" s="3">
        <f>IF(E404&gt;0, J404/E404, 0)</f>
        <v/>
      </c>
      <c r="M404" s="3">
        <f>IF(E404&gt;0, L404/E404, 0)</f>
        <v/>
      </c>
      <c r="N404" s="3" t="n"/>
      <c r="O404">
        <f>IFERROR(INT((A404-2-VLOOKUP(D404,'Flock Reference'!$A:$B,2,FALSE))/7), "")</f>
        <v/>
      </c>
    </row>
    <row r="405">
      <c r="G405" s="3">
        <f>IF(E405&gt;0, F405/E405, 0)</f>
        <v/>
      </c>
      <c r="I405" s="3">
        <f>IF(E405&gt;0, H405/E405, 0)</f>
        <v/>
      </c>
      <c r="J405">
        <f>IF(E405&gt;0, E405-F405-H405, 0)</f>
        <v/>
      </c>
      <c r="K405" s="3">
        <f>IF(E405&gt;0, J405/E405, 0)</f>
        <v/>
      </c>
      <c r="M405" s="3">
        <f>IF(E405&gt;0, L405/E405, 0)</f>
        <v/>
      </c>
      <c r="N405" s="3" t="n"/>
      <c r="O405">
        <f>IFERROR(INT((A405-2-VLOOKUP(D405,'Flock Reference'!$A:$B,2,FALSE))/7), "")</f>
        <v/>
      </c>
    </row>
    <row r="406">
      <c r="G406" s="3">
        <f>IF(E406&gt;0, F406/E406, 0)</f>
        <v/>
      </c>
      <c r="I406" s="3">
        <f>IF(E406&gt;0, H406/E406, 0)</f>
        <v/>
      </c>
      <c r="J406">
        <f>IF(E406&gt;0, E406-F406-H406, 0)</f>
        <v/>
      </c>
      <c r="K406" s="3">
        <f>IF(E406&gt;0, J406/E406, 0)</f>
        <v/>
      </c>
      <c r="M406" s="3">
        <f>IF(E406&gt;0, L406/E406, 0)</f>
        <v/>
      </c>
      <c r="N406" s="3" t="n"/>
      <c r="O406">
        <f>IFERROR(INT((A406-2-VLOOKUP(D406,'Flock Reference'!$A:$B,2,FALSE))/7), "")</f>
        <v/>
      </c>
    </row>
    <row r="407">
      <c r="G407" s="3">
        <f>IF(E407&gt;0, F407/E407, 0)</f>
        <v/>
      </c>
      <c r="I407" s="3">
        <f>IF(E407&gt;0, H407/E407, 0)</f>
        <v/>
      </c>
      <c r="J407">
        <f>IF(E407&gt;0, E407-F407-H407, 0)</f>
        <v/>
      </c>
      <c r="K407" s="3">
        <f>IF(E407&gt;0, J407/E407, 0)</f>
        <v/>
      </c>
      <c r="M407" s="3">
        <f>IF(E407&gt;0, L407/E407, 0)</f>
        <v/>
      </c>
      <c r="N407" s="3" t="n"/>
      <c r="O407">
        <f>IFERROR(INT((A407-2-VLOOKUP(D407,'Flock Reference'!$A:$B,2,FALSE))/7), "")</f>
        <v/>
      </c>
    </row>
    <row r="408">
      <c r="G408" s="3">
        <f>IF(E408&gt;0, F408/E408, 0)</f>
        <v/>
      </c>
      <c r="I408" s="3">
        <f>IF(E408&gt;0, H408/E408, 0)</f>
        <v/>
      </c>
      <c r="J408">
        <f>IF(E408&gt;0, E408-F408-H408, 0)</f>
        <v/>
      </c>
      <c r="K408" s="3">
        <f>IF(E408&gt;0, J408/E408, 0)</f>
        <v/>
      </c>
      <c r="M408" s="3">
        <f>IF(E408&gt;0, L408/E408, 0)</f>
        <v/>
      </c>
      <c r="N408" s="3" t="n"/>
      <c r="O408">
        <f>IFERROR(INT((A408-2-VLOOKUP(D408,'Flock Reference'!$A:$B,2,FALSE))/7), "")</f>
        <v/>
      </c>
    </row>
    <row r="409">
      <c r="G409" s="3">
        <f>IF(E409&gt;0, F409/E409, 0)</f>
        <v/>
      </c>
      <c r="I409" s="3">
        <f>IF(E409&gt;0, H409/E409, 0)</f>
        <v/>
      </c>
      <c r="J409">
        <f>IF(E409&gt;0, E409-F409-H409, 0)</f>
        <v/>
      </c>
      <c r="K409" s="3">
        <f>IF(E409&gt;0, J409/E409, 0)</f>
        <v/>
      </c>
      <c r="M409" s="3">
        <f>IF(E409&gt;0, L409/E409, 0)</f>
        <v/>
      </c>
      <c r="N409" s="3" t="n"/>
      <c r="O409">
        <f>IFERROR(INT((A409-2-VLOOKUP(D409,'Flock Reference'!$A:$B,2,FALSE))/7), "")</f>
        <v/>
      </c>
    </row>
    <row r="410">
      <c r="G410" s="3">
        <f>IF(E410&gt;0, F410/E410, 0)</f>
        <v/>
      </c>
      <c r="I410" s="3">
        <f>IF(E410&gt;0, H410/E410, 0)</f>
        <v/>
      </c>
      <c r="J410">
        <f>IF(E410&gt;0, E410-F410-H410, 0)</f>
        <v/>
      </c>
      <c r="K410" s="3">
        <f>IF(E410&gt;0, J410/E410, 0)</f>
        <v/>
      </c>
      <c r="M410" s="3">
        <f>IF(E410&gt;0, L410/E410, 0)</f>
        <v/>
      </c>
      <c r="N410" s="3" t="n"/>
      <c r="O410">
        <f>IFERROR(INT((A410-2-VLOOKUP(D410,'Flock Reference'!$A:$B,2,FALSE))/7), "")</f>
        <v/>
      </c>
    </row>
    <row r="411">
      <c r="G411" s="3">
        <f>IF(E411&gt;0, F411/E411, 0)</f>
        <v/>
      </c>
      <c r="I411" s="3">
        <f>IF(E411&gt;0, H411/E411, 0)</f>
        <v/>
      </c>
      <c r="J411">
        <f>IF(E411&gt;0, E411-F411-H411, 0)</f>
        <v/>
      </c>
      <c r="K411" s="3">
        <f>IF(E411&gt;0, J411/E411, 0)</f>
        <v/>
      </c>
      <c r="M411" s="3">
        <f>IF(E411&gt;0, L411/E411, 0)</f>
        <v/>
      </c>
      <c r="N411" s="3" t="n"/>
      <c r="O411">
        <f>IFERROR(INT((A411-2-VLOOKUP(D411,'Flock Reference'!$A:$B,2,FALSE))/7), "")</f>
        <v/>
      </c>
    </row>
    <row r="412">
      <c r="G412" s="3">
        <f>IF(E412&gt;0, F412/E412, 0)</f>
        <v/>
      </c>
      <c r="I412" s="3">
        <f>IF(E412&gt;0, H412/E412, 0)</f>
        <v/>
      </c>
      <c r="J412">
        <f>IF(E412&gt;0, E412-F412-H412, 0)</f>
        <v/>
      </c>
      <c r="K412" s="3">
        <f>IF(E412&gt;0, J412/E412, 0)</f>
        <v/>
      </c>
      <c r="M412" s="3">
        <f>IF(E412&gt;0, L412/E412, 0)</f>
        <v/>
      </c>
      <c r="N412" s="3" t="n"/>
      <c r="O412">
        <f>IFERROR(INT((A412-2-VLOOKUP(D412,'Flock Reference'!$A:$B,2,FALSE))/7), "")</f>
        <v/>
      </c>
    </row>
    <row r="413">
      <c r="G413" s="3">
        <f>IF(E413&gt;0, F413/E413, 0)</f>
        <v/>
      </c>
      <c r="I413" s="3">
        <f>IF(E413&gt;0, H413/E413, 0)</f>
        <v/>
      </c>
      <c r="J413">
        <f>IF(E413&gt;0, E413-F413-H413, 0)</f>
        <v/>
      </c>
      <c r="K413" s="3">
        <f>IF(E413&gt;0, J413/E413, 0)</f>
        <v/>
      </c>
      <c r="M413" s="3">
        <f>IF(E413&gt;0, L413/E413, 0)</f>
        <v/>
      </c>
      <c r="N413" s="3" t="n"/>
      <c r="O413">
        <f>IFERROR(INT((A413-2-VLOOKUP(D413,'Flock Reference'!$A:$B,2,FALSE))/7), "")</f>
        <v/>
      </c>
    </row>
    <row r="414">
      <c r="G414" s="3">
        <f>IF(E414&gt;0, F414/E414, 0)</f>
        <v/>
      </c>
      <c r="I414" s="3">
        <f>IF(E414&gt;0, H414/E414, 0)</f>
        <v/>
      </c>
      <c r="J414">
        <f>IF(E414&gt;0, E414-F414-H414, 0)</f>
        <v/>
      </c>
      <c r="K414" s="3">
        <f>IF(E414&gt;0, J414/E414, 0)</f>
        <v/>
      </c>
      <c r="M414" s="3">
        <f>IF(E414&gt;0, L414/E414, 0)</f>
        <v/>
      </c>
      <c r="N414" s="3" t="n"/>
      <c r="O414">
        <f>IFERROR(INT((A414-2-VLOOKUP(D414,'Flock Reference'!$A:$B,2,FALSE))/7), "")</f>
        <v/>
      </c>
    </row>
    <row r="415">
      <c r="G415" s="3">
        <f>IF(E415&gt;0, F415/E415, 0)</f>
        <v/>
      </c>
      <c r="I415" s="3">
        <f>IF(E415&gt;0, H415/E415, 0)</f>
        <v/>
      </c>
      <c r="J415">
        <f>IF(E415&gt;0, E415-F415-H415, 0)</f>
        <v/>
      </c>
      <c r="K415" s="3">
        <f>IF(E415&gt;0, J415/E415, 0)</f>
        <v/>
      </c>
      <c r="M415" s="3">
        <f>IF(E415&gt;0, L415/E415, 0)</f>
        <v/>
      </c>
      <c r="N415" s="3" t="n"/>
      <c r="O415">
        <f>IFERROR(INT((A415-2-VLOOKUP(D415,'Flock Reference'!$A:$B,2,FALSE))/7), "")</f>
        <v/>
      </c>
    </row>
    <row r="416">
      <c r="G416" s="3">
        <f>IF(E416&gt;0, F416/E416, 0)</f>
        <v/>
      </c>
      <c r="I416" s="3">
        <f>IF(E416&gt;0, H416/E416, 0)</f>
        <v/>
      </c>
      <c r="J416">
        <f>IF(E416&gt;0, E416-F416-H416, 0)</f>
        <v/>
      </c>
      <c r="K416" s="3">
        <f>IF(E416&gt;0, J416/E416, 0)</f>
        <v/>
      </c>
      <c r="M416" s="3">
        <f>IF(E416&gt;0, L416/E416, 0)</f>
        <v/>
      </c>
      <c r="N416" s="3" t="n"/>
      <c r="O416">
        <f>IFERROR(INT((A416-2-VLOOKUP(D416,'Flock Reference'!$A:$B,2,FALSE))/7), "")</f>
        <v/>
      </c>
    </row>
    <row r="417">
      <c r="G417" s="3">
        <f>IF(E417&gt;0, F417/E417, 0)</f>
        <v/>
      </c>
      <c r="I417" s="3">
        <f>IF(E417&gt;0, H417/E417, 0)</f>
        <v/>
      </c>
      <c r="J417">
        <f>IF(E417&gt;0, E417-F417-H417, 0)</f>
        <v/>
      </c>
      <c r="K417" s="3">
        <f>IF(E417&gt;0, J417/E417, 0)</f>
        <v/>
      </c>
      <c r="M417" s="3">
        <f>IF(E417&gt;0, L417/E417, 0)</f>
        <v/>
      </c>
      <c r="N417" s="3" t="n"/>
      <c r="O417">
        <f>IFERROR(INT((A417-2-VLOOKUP(D417,'Flock Reference'!$A:$B,2,FALSE))/7), "")</f>
        <v/>
      </c>
    </row>
    <row r="418">
      <c r="G418" s="3">
        <f>IF(E418&gt;0, F418/E418, 0)</f>
        <v/>
      </c>
      <c r="I418" s="3">
        <f>IF(E418&gt;0, H418/E418, 0)</f>
        <v/>
      </c>
      <c r="J418">
        <f>IF(E418&gt;0, E418-F418-H418, 0)</f>
        <v/>
      </c>
      <c r="K418" s="3">
        <f>IF(E418&gt;0, J418/E418, 0)</f>
        <v/>
      </c>
      <c r="M418" s="3">
        <f>IF(E418&gt;0, L418/E418, 0)</f>
        <v/>
      </c>
      <c r="N418" s="3" t="n"/>
      <c r="O418">
        <f>IFERROR(INT((A418-2-VLOOKUP(D418,'Flock Reference'!$A:$B,2,FALSE))/7), "")</f>
        <v/>
      </c>
    </row>
    <row r="419">
      <c r="G419" s="3">
        <f>IF(E419&gt;0, F419/E419, 0)</f>
        <v/>
      </c>
      <c r="I419" s="3">
        <f>IF(E419&gt;0, H419/E419, 0)</f>
        <v/>
      </c>
      <c r="J419">
        <f>IF(E419&gt;0, E419-F419-H419, 0)</f>
        <v/>
      </c>
      <c r="K419" s="3">
        <f>IF(E419&gt;0, J419/E419, 0)</f>
        <v/>
      </c>
      <c r="M419" s="3">
        <f>IF(E419&gt;0, L419/E419, 0)</f>
        <v/>
      </c>
      <c r="N419" s="3" t="n"/>
      <c r="O419">
        <f>IFERROR(INT((A419-2-VLOOKUP(D419,'Flock Reference'!$A:$B,2,FALSE))/7), "")</f>
        <v/>
      </c>
    </row>
    <row r="420">
      <c r="G420" s="3">
        <f>IF(E420&gt;0, F420/E420, 0)</f>
        <v/>
      </c>
      <c r="I420" s="3">
        <f>IF(E420&gt;0, H420/E420, 0)</f>
        <v/>
      </c>
      <c r="J420">
        <f>IF(E420&gt;0, E420-F420-H420, 0)</f>
        <v/>
      </c>
      <c r="K420" s="3">
        <f>IF(E420&gt;0, J420/E420, 0)</f>
        <v/>
      </c>
      <c r="M420" s="3">
        <f>IF(E420&gt;0, L420/E420, 0)</f>
        <v/>
      </c>
      <c r="N420" s="3" t="n"/>
      <c r="O420">
        <f>IFERROR(INT((A420-2-VLOOKUP(D420,'Flock Reference'!$A:$B,2,FALSE))/7), "")</f>
        <v/>
      </c>
    </row>
    <row r="421">
      <c r="G421" s="3">
        <f>IF(E421&gt;0, F421/E421, 0)</f>
        <v/>
      </c>
      <c r="I421" s="3">
        <f>IF(E421&gt;0, H421/E421, 0)</f>
        <v/>
      </c>
      <c r="J421">
        <f>IF(E421&gt;0, E421-F421-H421, 0)</f>
        <v/>
      </c>
      <c r="K421" s="3">
        <f>IF(E421&gt;0, J421/E421, 0)</f>
        <v/>
      </c>
      <c r="M421" s="3">
        <f>IF(E421&gt;0, L421/E421, 0)</f>
        <v/>
      </c>
      <c r="N421" s="3" t="n"/>
      <c r="O421">
        <f>IFERROR(INT((A421-2-VLOOKUP(D421,'Flock Reference'!$A:$B,2,FALSE))/7), "")</f>
        <v/>
      </c>
    </row>
    <row r="422">
      <c r="G422" s="3">
        <f>IF(E422&gt;0, F422/E422, 0)</f>
        <v/>
      </c>
      <c r="I422" s="3">
        <f>IF(E422&gt;0, H422/E422, 0)</f>
        <v/>
      </c>
      <c r="J422">
        <f>IF(E422&gt;0, E422-F422-H422, 0)</f>
        <v/>
      </c>
      <c r="K422" s="3">
        <f>IF(E422&gt;0, J422/E422, 0)</f>
        <v/>
      </c>
      <c r="M422" s="3">
        <f>IF(E422&gt;0, L422/E422, 0)</f>
        <v/>
      </c>
      <c r="N422" s="3" t="n"/>
      <c r="O422">
        <f>IFERROR(INT((A422-2-VLOOKUP(D422,'Flock Reference'!$A:$B,2,FALSE))/7), "")</f>
        <v/>
      </c>
    </row>
    <row r="423">
      <c r="G423" s="3">
        <f>IF(E423&gt;0, F423/E423, 0)</f>
        <v/>
      </c>
      <c r="I423" s="3">
        <f>IF(E423&gt;0, H423/E423, 0)</f>
        <v/>
      </c>
      <c r="J423">
        <f>IF(E423&gt;0, E423-F423-H423, 0)</f>
        <v/>
      </c>
      <c r="K423" s="3">
        <f>IF(E423&gt;0, J423/E423, 0)</f>
        <v/>
      </c>
      <c r="M423" s="3">
        <f>IF(E423&gt;0, L423/E423, 0)</f>
        <v/>
      </c>
      <c r="N423" s="3" t="n"/>
      <c r="O423">
        <f>IFERROR(INT((A423-2-VLOOKUP(D423,'Flock Reference'!$A:$B,2,FALSE))/7), "")</f>
        <v/>
      </c>
    </row>
    <row r="424">
      <c r="G424" s="3">
        <f>IF(E424&gt;0, F424/E424, 0)</f>
        <v/>
      </c>
      <c r="I424" s="3">
        <f>IF(E424&gt;0, H424/E424, 0)</f>
        <v/>
      </c>
      <c r="J424">
        <f>IF(E424&gt;0, E424-F424-H424, 0)</f>
        <v/>
      </c>
      <c r="K424" s="3">
        <f>IF(E424&gt;0, J424/E424, 0)</f>
        <v/>
      </c>
      <c r="M424" s="3">
        <f>IF(E424&gt;0, L424/E424, 0)</f>
        <v/>
      </c>
      <c r="N424" s="3" t="n"/>
      <c r="O424">
        <f>IFERROR(INT((A424-2-VLOOKUP(D424,'Flock Reference'!$A:$B,2,FALSE))/7), "")</f>
        <v/>
      </c>
    </row>
    <row r="425">
      <c r="G425" s="3">
        <f>IF(E425&gt;0, F425/E425, 0)</f>
        <v/>
      </c>
      <c r="I425" s="3">
        <f>IF(E425&gt;0, H425/E425, 0)</f>
        <v/>
      </c>
      <c r="J425">
        <f>IF(E425&gt;0, E425-F425-H425, 0)</f>
        <v/>
      </c>
      <c r="K425" s="3">
        <f>IF(E425&gt;0, J425/E425, 0)</f>
        <v/>
      </c>
      <c r="M425" s="3">
        <f>IF(E425&gt;0, L425/E425, 0)</f>
        <v/>
      </c>
      <c r="N425" s="3" t="n"/>
      <c r="O425">
        <f>IFERROR(INT((A425-2-VLOOKUP(D425,'Flock Reference'!$A:$B,2,FALSE))/7), "")</f>
        <v/>
      </c>
    </row>
    <row r="426">
      <c r="G426" s="3">
        <f>IF(E426&gt;0, F426/E426, 0)</f>
        <v/>
      </c>
      <c r="I426" s="3">
        <f>IF(E426&gt;0, H426/E426, 0)</f>
        <v/>
      </c>
      <c r="J426">
        <f>IF(E426&gt;0, E426-F426-H426, 0)</f>
        <v/>
      </c>
      <c r="K426" s="3">
        <f>IF(E426&gt;0, J426/E426, 0)</f>
        <v/>
      </c>
      <c r="M426" s="3">
        <f>IF(E426&gt;0, L426/E426, 0)</f>
        <v/>
      </c>
      <c r="N426" s="3" t="n"/>
      <c r="O426">
        <f>IFERROR(INT((A426-2-VLOOKUP(D426,'Flock Reference'!$A:$B,2,FALSE))/7), "")</f>
        <v/>
      </c>
    </row>
    <row r="427">
      <c r="G427" s="3">
        <f>IF(E427&gt;0, F427/E427, 0)</f>
        <v/>
      </c>
      <c r="I427" s="3">
        <f>IF(E427&gt;0, H427/E427, 0)</f>
        <v/>
      </c>
      <c r="J427">
        <f>IF(E427&gt;0, E427-F427-H427, 0)</f>
        <v/>
      </c>
      <c r="K427" s="3">
        <f>IF(E427&gt;0, J427/E427, 0)</f>
        <v/>
      </c>
      <c r="M427" s="3">
        <f>IF(E427&gt;0, L427/E427, 0)</f>
        <v/>
      </c>
      <c r="N427" s="3" t="n"/>
      <c r="O427">
        <f>IFERROR(INT((A427-2-VLOOKUP(D427,'Flock Reference'!$A:$B,2,FALSE))/7), "")</f>
        <v/>
      </c>
    </row>
    <row r="428">
      <c r="G428" s="3">
        <f>IF(E428&gt;0, F428/E428, 0)</f>
        <v/>
      </c>
      <c r="I428" s="3">
        <f>IF(E428&gt;0, H428/E428, 0)</f>
        <v/>
      </c>
      <c r="J428">
        <f>IF(E428&gt;0, E428-F428-H428, 0)</f>
        <v/>
      </c>
      <c r="K428" s="3">
        <f>IF(E428&gt;0, J428/E428, 0)</f>
        <v/>
      </c>
      <c r="M428" s="3">
        <f>IF(E428&gt;0, L428/E428, 0)</f>
        <v/>
      </c>
      <c r="N428" s="3" t="n"/>
      <c r="O428">
        <f>IFERROR(INT((A428-2-VLOOKUP(D428,'Flock Reference'!$A:$B,2,FALSE))/7), "")</f>
        <v/>
      </c>
    </row>
    <row r="429">
      <c r="G429" s="3">
        <f>IF(E429&gt;0, F429/E429, 0)</f>
        <v/>
      </c>
      <c r="I429" s="3">
        <f>IF(E429&gt;0, H429/E429, 0)</f>
        <v/>
      </c>
      <c r="J429">
        <f>IF(E429&gt;0, E429-F429-H429, 0)</f>
        <v/>
      </c>
      <c r="K429" s="3">
        <f>IF(E429&gt;0, J429/E429, 0)</f>
        <v/>
      </c>
      <c r="M429" s="3">
        <f>IF(E429&gt;0, L429/E429, 0)</f>
        <v/>
      </c>
      <c r="N429" s="3" t="n"/>
      <c r="O429">
        <f>IFERROR(INT((A429-2-VLOOKUP(D429,'Flock Reference'!$A:$B,2,FALSE))/7), "")</f>
        <v/>
      </c>
    </row>
    <row r="430">
      <c r="G430" s="3">
        <f>IF(E430&gt;0, F430/E430, 0)</f>
        <v/>
      </c>
      <c r="I430" s="3">
        <f>IF(E430&gt;0, H430/E430, 0)</f>
        <v/>
      </c>
      <c r="J430">
        <f>IF(E430&gt;0, E430-F430-H430, 0)</f>
        <v/>
      </c>
      <c r="K430" s="3">
        <f>IF(E430&gt;0, J430/E430, 0)</f>
        <v/>
      </c>
      <c r="M430" s="3">
        <f>IF(E430&gt;0, L430/E430, 0)</f>
        <v/>
      </c>
      <c r="N430" s="3" t="n"/>
      <c r="O430">
        <f>IFERROR(INT((A430-2-VLOOKUP(D430,'Flock Reference'!$A:$B,2,FALSE))/7), "")</f>
        <v/>
      </c>
    </row>
    <row r="431">
      <c r="G431" s="3">
        <f>IF(E431&gt;0, F431/E431, 0)</f>
        <v/>
      </c>
      <c r="I431" s="3">
        <f>IF(E431&gt;0, H431/E431, 0)</f>
        <v/>
      </c>
      <c r="J431">
        <f>IF(E431&gt;0, E431-F431-H431, 0)</f>
        <v/>
      </c>
      <c r="K431" s="3">
        <f>IF(E431&gt;0, J431/E431, 0)</f>
        <v/>
      </c>
      <c r="M431" s="3">
        <f>IF(E431&gt;0, L431/E431, 0)</f>
        <v/>
      </c>
      <c r="N431" s="3" t="n"/>
      <c r="O431">
        <f>IFERROR(INT((A431-2-VLOOKUP(D431,'Flock Reference'!$A:$B,2,FALSE))/7), "")</f>
        <v/>
      </c>
    </row>
    <row r="432">
      <c r="G432" s="3">
        <f>IF(E432&gt;0, F432/E432, 0)</f>
        <v/>
      </c>
      <c r="I432" s="3">
        <f>IF(E432&gt;0, H432/E432, 0)</f>
        <v/>
      </c>
      <c r="J432">
        <f>IF(E432&gt;0, E432-F432-H432, 0)</f>
        <v/>
      </c>
      <c r="K432" s="3">
        <f>IF(E432&gt;0, J432/E432, 0)</f>
        <v/>
      </c>
      <c r="M432" s="3">
        <f>IF(E432&gt;0, L432/E432, 0)</f>
        <v/>
      </c>
      <c r="N432" s="3" t="n"/>
      <c r="O432">
        <f>IFERROR(INT((A432-2-VLOOKUP(D432,'Flock Reference'!$A:$B,2,FALSE))/7), "")</f>
        <v/>
      </c>
    </row>
    <row r="433">
      <c r="G433" s="3">
        <f>IF(E433&gt;0, F433/E433, 0)</f>
        <v/>
      </c>
      <c r="I433" s="3">
        <f>IF(E433&gt;0, H433/E433, 0)</f>
        <v/>
      </c>
      <c r="J433">
        <f>IF(E433&gt;0, E433-F433-H433, 0)</f>
        <v/>
      </c>
      <c r="K433" s="3">
        <f>IF(E433&gt;0, J433/E433, 0)</f>
        <v/>
      </c>
      <c r="M433" s="3">
        <f>IF(E433&gt;0, L433/E433, 0)</f>
        <v/>
      </c>
      <c r="N433" s="3" t="n"/>
      <c r="O433">
        <f>IFERROR(INT((A433-2-VLOOKUP(D433,'Flock Reference'!$A:$B,2,FALSE))/7), "")</f>
        <v/>
      </c>
    </row>
    <row r="434">
      <c r="G434" s="3">
        <f>IF(E434&gt;0, F434/E434, 0)</f>
        <v/>
      </c>
      <c r="I434" s="3">
        <f>IF(E434&gt;0, H434/E434, 0)</f>
        <v/>
      </c>
      <c r="J434">
        <f>IF(E434&gt;0, E434-F434-H434, 0)</f>
        <v/>
      </c>
      <c r="K434" s="3">
        <f>IF(E434&gt;0, J434/E434, 0)</f>
        <v/>
      </c>
      <c r="M434" s="3">
        <f>IF(E434&gt;0, L434/E434, 0)</f>
        <v/>
      </c>
      <c r="N434" s="3" t="n"/>
      <c r="O434">
        <f>IFERROR(INT((A434-2-VLOOKUP(D434,'Flock Reference'!$A:$B,2,FALSE))/7), "")</f>
        <v/>
      </c>
    </row>
    <row r="435">
      <c r="G435" s="3">
        <f>IF(E435&gt;0, F435/E435, 0)</f>
        <v/>
      </c>
      <c r="I435" s="3">
        <f>IF(E435&gt;0, H435/E435, 0)</f>
        <v/>
      </c>
      <c r="J435">
        <f>IF(E435&gt;0, E435-F435-H435, 0)</f>
        <v/>
      </c>
      <c r="K435" s="3">
        <f>IF(E435&gt;0, J435/E435, 0)</f>
        <v/>
      </c>
      <c r="M435" s="3">
        <f>IF(E435&gt;0, L435/E435, 0)</f>
        <v/>
      </c>
      <c r="N435" s="3" t="n"/>
      <c r="O435">
        <f>IFERROR(INT((A435-2-VLOOKUP(D435,'Flock Reference'!$A:$B,2,FALSE))/7), "")</f>
        <v/>
      </c>
    </row>
    <row r="436">
      <c r="G436" s="3">
        <f>IF(E436&gt;0, F436/E436, 0)</f>
        <v/>
      </c>
      <c r="I436" s="3">
        <f>IF(E436&gt;0, H436/E436, 0)</f>
        <v/>
      </c>
      <c r="J436">
        <f>IF(E436&gt;0, E436-F436-H436, 0)</f>
        <v/>
      </c>
      <c r="K436" s="3">
        <f>IF(E436&gt;0, J436/E436, 0)</f>
        <v/>
      </c>
      <c r="M436" s="3">
        <f>IF(E436&gt;0, L436/E436, 0)</f>
        <v/>
      </c>
      <c r="N436" s="3" t="n"/>
      <c r="O436">
        <f>IFERROR(INT((A436-2-VLOOKUP(D436,'Flock Reference'!$A:$B,2,FALSE))/7), "")</f>
        <v/>
      </c>
    </row>
    <row r="437">
      <c r="G437" s="3">
        <f>IF(E437&gt;0, F437/E437, 0)</f>
        <v/>
      </c>
      <c r="I437" s="3">
        <f>IF(E437&gt;0, H437/E437, 0)</f>
        <v/>
      </c>
      <c r="J437">
        <f>IF(E437&gt;0, E437-F437-H437, 0)</f>
        <v/>
      </c>
      <c r="K437" s="3">
        <f>IF(E437&gt;0, J437/E437, 0)</f>
        <v/>
      </c>
      <c r="M437" s="3">
        <f>IF(E437&gt;0, L437/E437, 0)</f>
        <v/>
      </c>
      <c r="N437" s="3" t="n"/>
      <c r="O437">
        <f>IFERROR(INT((A437-2-VLOOKUP(D437,'Flock Reference'!$A:$B,2,FALSE))/7), "")</f>
        <v/>
      </c>
    </row>
    <row r="438">
      <c r="G438" s="3">
        <f>IF(E438&gt;0, F438/E438, 0)</f>
        <v/>
      </c>
      <c r="I438" s="3">
        <f>IF(E438&gt;0, H438/E438, 0)</f>
        <v/>
      </c>
      <c r="J438">
        <f>IF(E438&gt;0, E438-F438-H438, 0)</f>
        <v/>
      </c>
      <c r="K438" s="3">
        <f>IF(E438&gt;0, J438/E438, 0)</f>
        <v/>
      </c>
      <c r="M438" s="3">
        <f>IF(E438&gt;0, L438/E438, 0)</f>
        <v/>
      </c>
      <c r="N438" s="3" t="n"/>
      <c r="O438">
        <f>IFERROR(INT((A438-2-VLOOKUP(D438,'Flock Reference'!$A:$B,2,FALSE))/7), "")</f>
        <v/>
      </c>
    </row>
    <row r="439">
      <c r="G439" s="3">
        <f>IF(E439&gt;0, F439/E439, 0)</f>
        <v/>
      </c>
      <c r="I439" s="3">
        <f>IF(E439&gt;0, H439/E439, 0)</f>
        <v/>
      </c>
      <c r="J439">
        <f>IF(E439&gt;0, E439-F439-H439, 0)</f>
        <v/>
      </c>
      <c r="K439" s="3">
        <f>IF(E439&gt;0, J439/E439, 0)</f>
        <v/>
      </c>
      <c r="M439" s="3">
        <f>IF(E439&gt;0, L439/E439, 0)</f>
        <v/>
      </c>
      <c r="N439" s="3" t="n"/>
      <c r="O439">
        <f>IFERROR(INT((A439-2-VLOOKUP(D439,'Flock Reference'!$A:$B,2,FALSE))/7), "")</f>
        <v/>
      </c>
    </row>
    <row r="440">
      <c r="G440" s="3">
        <f>IF(E440&gt;0, F440/E440, 0)</f>
        <v/>
      </c>
      <c r="I440" s="3">
        <f>IF(E440&gt;0, H440/E440, 0)</f>
        <v/>
      </c>
      <c r="J440">
        <f>IF(E440&gt;0, E440-F440-H440, 0)</f>
        <v/>
      </c>
      <c r="K440" s="3">
        <f>IF(E440&gt;0, J440/E440, 0)</f>
        <v/>
      </c>
      <c r="M440" s="3">
        <f>IF(E440&gt;0, L440/E440, 0)</f>
        <v/>
      </c>
      <c r="N440" s="3" t="n"/>
      <c r="O440">
        <f>IFERROR(INT((A440-2-VLOOKUP(D440,'Flock Reference'!$A:$B,2,FALSE))/7), "")</f>
        <v/>
      </c>
    </row>
    <row r="441">
      <c r="G441" s="3">
        <f>IF(E441&gt;0, F441/E441, 0)</f>
        <v/>
      </c>
      <c r="I441" s="3">
        <f>IF(E441&gt;0, H441/E441, 0)</f>
        <v/>
      </c>
      <c r="J441">
        <f>IF(E441&gt;0, E441-F441-H441, 0)</f>
        <v/>
      </c>
      <c r="K441" s="3">
        <f>IF(E441&gt;0, J441/E441, 0)</f>
        <v/>
      </c>
      <c r="M441" s="3">
        <f>IF(E441&gt;0, L441/E441, 0)</f>
        <v/>
      </c>
      <c r="N441" s="3" t="n"/>
      <c r="O441">
        <f>IFERROR(INT((A441-2-VLOOKUP(D441,'Flock Reference'!$A:$B,2,FALSE))/7), "")</f>
        <v/>
      </c>
    </row>
    <row r="442">
      <c r="G442" s="3">
        <f>IF(E442&gt;0, F442/E442, 0)</f>
        <v/>
      </c>
      <c r="I442" s="3">
        <f>IF(E442&gt;0, H442/E442, 0)</f>
        <v/>
      </c>
      <c r="J442">
        <f>IF(E442&gt;0, E442-F442-H442, 0)</f>
        <v/>
      </c>
      <c r="K442" s="3">
        <f>IF(E442&gt;0, J442/E442, 0)</f>
        <v/>
      </c>
      <c r="M442" s="3">
        <f>IF(E442&gt;0, L442/E442, 0)</f>
        <v/>
      </c>
      <c r="N442" s="3" t="n"/>
      <c r="O442">
        <f>IFERROR(INT((A442-2-VLOOKUP(D442,'Flock Reference'!$A:$B,2,FALSE))/7), "")</f>
        <v/>
      </c>
    </row>
    <row r="443">
      <c r="G443" s="3">
        <f>IF(E443&gt;0, F443/E443, 0)</f>
        <v/>
      </c>
      <c r="I443" s="3">
        <f>IF(E443&gt;0, H443/E443, 0)</f>
        <v/>
      </c>
      <c r="J443">
        <f>IF(E443&gt;0, E443-F443-H443, 0)</f>
        <v/>
      </c>
      <c r="K443" s="3">
        <f>IF(E443&gt;0, J443/E443, 0)</f>
        <v/>
      </c>
      <c r="M443" s="3">
        <f>IF(E443&gt;0, L443/E443, 0)</f>
        <v/>
      </c>
      <c r="N443" s="3" t="n"/>
      <c r="O443">
        <f>IFERROR(INT((A443-2-VLOOKUP(D443,'Flock Reference'!$A:$B,2,FALSE))/7), "")</f>
        <v/>
      </c>
    </row>
    <row r="444">
      <c r="G444" s="3">
        <f>IF(E444&gt;0, F444/E444, 0)</f>
        <v/>
      </c>
      <c r="I444" s="3">
        <f>IF(E444&gt;0, H444/E444, 0)</f>
        <v/>
      </c>
      <c r="J444">
        <f>IF(E444&gt;0, E444-F444-H444, 0)</f>
        <v/>
      </c>
      <c r="K444" s="3">
        <f>IF(E444&gt;0, J444/E444, 0)</f>
        <v/>
      </c>
      <c r="M444" s="3">
        <f>IF(E444&gt;0, L444/E444, 0)</f>
        <v/>
      </c>
      <c r="N444" s="3" t="n"/>
      <c r="O444">
        <f>IFERROR(INT((A444-2-VLOOKUP(D444,'Flock Reference'!$A:$B,2,FALSE))/7), "")</f>
        <v/>
      </c>
    </row>
    <row r="445">
      <c r="G445" s="3">
        <f>IF(E445&gt;0, F445/E445, 0)</f>
        <v/>
      </c>
      <c r="I445" s="3">
        <f>IF(E445&gt;0, H445/E445, 0)</f>
        <v/>
      </c>
      <c r="J445">
        <f>IF(E445&gt;0, E445-F445-H445, 0)</f>
        <v/>
      </c>
      <c r="K445" s="3">
        <f>IF(E445&gt;0, J445/E445, 0)</f>
        <v/>
      </c>
      <c r="M445" s="3">
        <f>IF(E445&gt;0, L445/E445, 0)</f>
        <v/>
      </c>
      <c r="N445" s="3" t="n"/>
      <c r="O445">
        <f>IFERROR(INT((A445-2-VLOOKUP(D445,'Flock Reference'!$A:$B,2,FALSE))/7), "")</f>
        <v/>
      </c>
    </row>
    <row r="446">
      <c r="G446" s="3">
        <f>IF(E446&gt;0, F446/E446, 0)</f>
        <v/>
      </c>
      <c r="I446" s="3">
        <f>IF(E446&gt;0, H446/E446, 0)</f>
        <v/>
      </c>
      <c r="J446">
        <f>IF(E446&gt;0, E446-F446-H446, 0)</f>
        <v/>
      </c>
      <c r="K446" s="3">
        <f>IF(E446&gt;0, J446/E446, 0)</f>
        <v/>
      </c>
      <c r="M446" s="3">
        <f>IF(E446&gt;0, L446/E446, 0)</f>
        <v/>
      </c>
      <c r="N446" s="3" t="n"/>
      <c r="O446">
        <f>IFERROR(INT((A446-2-VLOOKUP(D446,'Flock Reference'!$A:$B,2,FALSE))/7), "")</f>
        <v/>
      </c>
    </row>
    <row r="447">
      <c r="G447" s="3">
        <f>IF(E447&gt;0, F447/E447, 0)</f>
        <v/>
      </c>
      <c r="I447" s="3">
        <f>IF(E447&gt;0, H447/E447, 0)</f>
        <v/>
      </c>
      <c r="J447">
        <f>IF(E447&gt;0, E447-F447-H447, 0)</f>
        <v/>
      </c>
      <c r="K447" s="3">
        <f>IF(E447&gt;0, J447/E447, 0)</f>
        <v/>
      </c>
      <c r="M447" s="3">
        <f>IF(E447&gt;0, L447/E447, 0)</f>
        <v/>
      </c>
      <c r="N447" s="3" t="n"/>
      <c r="O447">
        <f>IFERROR(INT((A447-2-VLOOKUP(D447,'Flock Reference'!$A:$B,2,FALSE))/7), "")</f>
        <v/>
      </c>
    </row>
    <row r="448">
      <c r="G448" s="3">
        <f>IF(E448&gt;0, F448/E448, 0)</f>
        <v/>
      </c>
      <c r="I448" s="3">
        <f>IF(E448&gt;0, H448/E448, 0)</f>
        <v/>
      </c>
      <c r="J448">
        <f>IF(E448&gt;0, E448-F448-H448, 0)</f>
        <v/>
      </c>
      <c r="K448" s="3">
        <f>IF(E448&gt;0, J448/E448, 0)</f>
        <v/>
      </c>
      <c r="M448" s="3">
        <f>IF(E448&gt;0, L448/E448, 0)</f>
        <v/>
      </c>
      <c r="N448" s="3" t="n"/>
      <c r="O448">
        <f>IFERROR(INT((A448-2-VLOOKUP(D448,'Flock Reference'!$A:$B,2,FALSE))/7), "")</f>
        <v/>
      </c>
    </row>
    <row r="449">
      <c r="G449" s="3">
        <f>IF(E449&gt;0, F449/E449, 0)</f>
        <v/>
      </c>
      <c r="I449" s="3">
        <f>IF(E449&gt;0, H449/E449, 0)</f>
        <v/>
      </c>
      <c r="J449">
        <f>IF(E449&gt;0, E449-F449-H449, 0)</f>
        <v/>
      </c>
      <c r="K449" s="3">
        <f>IF(E449&gt;0, J449/E449, 0)</f>
        <v/>
      </c>
      <c r="M449" s="3">
        <f>IF(E449&gt;0, L449/E449, 0)</f>
        <v/>
      </c>
      <c r="N449" s="3" t="n"/>
      <c r="O449">
        <f>IFERROR(INT((A449-2-VLOOKUP(D449,'Flock Reference'!$A:$B,2,FALSE))/7), "")</f>
        <v/>
      </c>
    </row>
    <row r="450">
      <c r="G450" s="3">
        <f>IF(E450&gt;0, F450/E450, 0)</f>
        <v/>
      </c>
      <c r="I450" s="3">
        <f>IF(E450&gt;0, H450/E450, 0)</f>
        <v/>
      </c>
      <c r="J450">
        <f>IF(E450&gt;0, E450-F450-H450, 0)</f>
        <v/>
      </c>
      <c r="K450" s="3">
        <f>IF(E450&gt;0, J450/E450, 0)</f>
        <v/>
      </c>
      <c r="M450" s="3">
        <f>IF(E450&gt;0, L450/E450, 0)</f>
        <v/>
      </c>
      <c r="N450" s="3" t="n"/>
      <c r="O450">
        <f>IFERROR(INT((A450-2-VLOOKUP(D450,'Flock Reference'!$A:$B,2,FALSE))/7), "")</f>
        <v/>
      </c>
    </row>
    <row r="451">
      <c r="G451" s="3">
        <f>IF(E451&gt;0, F451/E451, 0)</f>
        <v/>
      </c>
      <c r="I451" s="3">
        <f>IF(E451&gt;0, H451/E451, 0)</f>
        <v/>
      </c>
      <c r="J451">
        <f>IF(E451&gt;0, E451-F451-H451, 0)</f>
        <v/>
      </c>
      <c r="K451" s="3">
        <f>IF(E451&gt;0, J451/E451, 0)</f>
        <v/>
      </c>
      <c r="M451" s="3">
        <f>IF(E451&gt;0, L451/E451, 0)</f>
        <v/>
      </c>
      <c r="N451" s="3" t="n"/>
      <c r="O451">
        <f>IFERROR(INT((A451-2-VLOOKUP(D451,'Flock Reference'!$A:$B,2,FALSE))/7), "")</f>
        <v/>
      </c>
    </row>
    <row r="452">
      <c r="G452" s="3">
        <f>IF(E452&gt;0, F452/E452, 0)</f>
        <v/>
      </c>
      <c r="I452" s="3">
        <f>IF(E452&gt;0, H452/E452, 0)</f>
        <v/>
      </c>
      <c r="J452">
        <f>IF(E452&gt;0, E452-F452-H452, 0)</f>
        <v/>
      </c>
      <c r="K452" s="3">
        <f>IF(E452&gt;0, J452/E452, 0)</f>
        <v/>
      </c>
      <c r="M452" s="3">
        <f>IF(E452&gt;0, L452/E452, 0)</f>
        <v/>
      </c>
      <c r="N452" s="3" t="n"/>
      <c r="O452">
        <f>IFERROR(INT((A452-2-VLOOKUP(D452,'Flock Reference'!$A:$B,2,FALSE))/7), "")</f>
        <v/>
      </c>
    </row>
    <row r="453">
      <c r="G453" s="3">
        <f>IF(E453&gt;0, F453/E453, 0)</f>
        <v/>
      </c>
      <c r="I453" s="3">
        <f>IF(E453&gt;0, H453/E453, 0)</f>
        <v/>
      </c>
      <c r="J453">
        <f>IF(E453&gt;0, E453-F453-H453, 0)</f>
        <v/>
      </c>
      <c r="K453" s="3">
        <f>IF(E453&gt;0, J453/E453, 0)</f>
        <v/>
      </c>
      <c r="M453" s="3">
        <f>IF(E453&gt;0, L453/E453, 0)</f>
        <v/>
      </c>
      <c r="N453" s="3" t="n"/>
      <c r="O453">
        <f>IFERROR(INT((A453-2-VLOOKUP(D453,'Flock Reference'!$A:$B,2,FALSE))/7), "")</f>
        <v/>
      </c>
    </row>
    <row r="454">
      <c r="G454" s="3">
        <f>IF(E454&gt;0, F454/E454, 0)</f>
        <v/>
      </c>
      <c r="I454" s="3">
        <f>IF(E454&gt;0, H454/E454, 0)</f>
        <v/>
      </c>
      <c r="J454">
        <f>IF(E454&gt;0, E454-F454-H454, 0)</f>
        <v/>
      </c>
      <c r="K454" s="3">
        <f>IF(E454&gt;0, J454/E454, 0)</f>
        <v/>
      </c>
      <c r="M454" s="3">
        <f>IF(E454&gt;0, L454/E454, 0)</f>
        <v/>
      </c>
      <c r="N454" s="3" t="n"/>
      <c r="O454">
        <f>IFERROR(INT((A454-2-VLOOKUP(D454,'Flock Reference'!$A:$B,2,FALSE))/7), "")</f>
        <v/>
      </c>
    </row>
    <row r="455">
      <c r="G455" s="3">
        <f>IF(E455&gt;0, F455/E455, 0)</f>
        <v/>
      </c>
      <c r="I455" s="3">
        <f>IF(E455&gt;0, H455/E455, 0)</f>
        <v/>
      </c>
      <c r="J455">
        <f>IF(E455&gt;0, E455-F455-H455, 0)</f>
        <v/>
      </c>
      <c r="K455" s="3">
        <f>IF(E455&gt;0, J455/E455, 0)</f>
        <v/>
      </c>
      <c r="M455" s="3">
        <f>IF(E455&gt;0, L455/E455, 0)</f>
        <v/>
      </c>
      <c r="N455" s="3" t="n"/>
      <c r="O455">
        <f>IFERROR(INT((A455-2-VLOOKUP(D455,'Flock Reference'!$A:$B,2,FALSE))/7), "")</f>
        <v/>
      </c>
    </row>
    <row r="456">
      <c r="G456" s="3">
        <f>IF(E456&gt;0, F456/E456, 0)</f>
        <v/>
      </c>
      <c r="I456" s="3">
        <f>IF(E456&gt;0, H456/E456, 0)</f>
        <v/>
      </c>
      <c r="J456">
        <f>IF(E456&gt;0, E456-F456-H456, 0)</f>
        <v/>
      </c>
      <c r="K456" s="3">
        <f>IF(E456&gt;0, J456/E456, 0)</f>
        <v/>
      </c>
      <c r="M456" s="3">
        <f>IF(E456&gt;0, L456/E456, 0)</f>
        <v/>
      </c>
      <c r="N456" s="3" t="n"/>
      <c r="O456">
        <f>IFERROR(INT((A456-2-VLOOKUP(D456,'Flock Reference'!$A:$B,2,FALSE))/7), "")</f>
        <v/>
      </c>
    </row>
    <row r="457">
      <c r="G457" s="3">
        <f>IF(E457&gt;0, F457/E457, 0)</f>
        <v/>
      </c>
      <c r="I457" s="3">
        <f>IF(E457&gt;0, H457/E457, 0)</f>
        <v/>
      </c>
      <c r="J457">
        <f>IF(E457&gt;0, E457-F457-H457, 0)</f>
        <v/>
      </c>
      <c r="K457" s="3">
        <f>IF(E457&gt;0, J457/E457, 0)</f>
        <v/>
      </c>
      <c r="M457" s="3">
        <f>IF(E457&gt;0, L457/E457, 0)</f>
        <v/>
      </c>
      <c r="N457" s="3" t="n"/>
      <c r="O457">
        <f>IFERROR(INT((A457-2-VLOOKUP(D457,'Flock Reference'!$A:$B,2,FALSE))/7), "")</f>
        <v/>
      </c>
    </row>
    <row r="458">
      <c r="G458" s="3">
        <f>IF(E458&gt;0, F458/E458, 0)</f>
        <v/>
      </c>
      <c r="I458" s="3">
        <f>IF(E458&gt;0, H458/E458, 0)</f>
        <v/>
      </c>
      <c r="J458">
        <f>IF(E458&gt;0, E458-F458-H458, 0)</f>
        <v/>
      </c>
      <c r="K458" s="3">
        <f>IF(E458&gt;0, J458/E458, 0)</f>
        <v/>
      </c>
      <c r="M458" s="3">
        <f>IF(E458&gt;0, L458/E458, 0)</f>
        <v/>
      </c>
      <c r="N458" s="3" t="n"/>
      <c r="O458">
        <f>IFERROR(INT((A458-2-VLOOKUP(D458,'Flock Reference'!$A:$B,2,FALSE))/7), "")</f>
        <v/>
      </c>
    </row>
    <row r="459">
      <c r="G459" s="3">
        <f>IF(E459&gt;0, F459/E459, 0)</f>
        <v/>
      </c>
      <c r="I459" s="3">
        <f>IF(E459&gt;0, H459/E459, 0)</f>
        <v/>
      </c>
      <c r="J459">
        <f>IF(E459&gt;0, E459-F459-H459, 0)</f>
        <v/>
      </c>
      <c r="K459" s="3">
        <f>IF(E459&gt;0, J459/E459, 0)</f>
        <v/>
      </c>
      <c r="M459" s="3">
        <f>IF(E459&gt;0, L459/E459, 0)</f>
        <v/>
      </c>
      <c r="N459" s="3" t="n"/>
      <c r="O459">
        <f>IFERROR(INT((A459-2-VLOOKUP(D459,'Flock Reference'!$A:$B,2,FALSE))/7), "")</f>
        <v/>
      </c>
    </row>
    <row r="460">
      <c r="G460" s="3">
        <f>IF(E460&gt;0, F460/E460, 0)</f>
        <v/>
      </c>
      <c r="I460" s="3">
        <f>IF(E460&gt;0, H460/E460, 0)</f>
        <v/>
      </c>
      <c r="J460">
        <f>IF(E460&gt;0, E460-F460-H460, 0)</f>
        <v/>
      </c>
      <c r="K460" s="3">
        <f>IF(E460&gt;0, J460/E460, 0)</f>
        <v/>
      </c>
      <c r="M460" s="3">
        <f>IF(E460&gt;0, L460/E460, 0)</f>
        <v/>
      </c>
      <c r="N460" s="3" t="n"/>
      <c r="O460">
        <f>IFERROR(INT((A460-2-VLOOKUP(D460,'Flock Reference'!$A:$B,2,FALSE))/7), "")</f>
        <v/>
      </c>
    </row>
    <row r="461">
      <c r="G461" s="3">
        <f>IF(E461&gt;0, F461/E461, 0)</f>
        <v/>
      </c>
      <c r="I461" s="3">
        <f>IF(E461&gt;0, H461/E461, 0)</f>
        <v/>
      </c>
      <c r="J461">
        <f>IF(E461&gt;0, E461-F461-H461, 0)</f>
        <v/>
      </c>
      <c r="K461" s="3">
        <f>IF(E461&gt;0, J461/E461, 0)</f>
        <v/>
      </c>
      <c r="M461" s="3">
        <f>IF(E461&gt;0, L461/E461, 0)</f>
        <v/>
      </c>
      <c r="N461" s="3" t="n"/>
      <c r="O461">
        <f>IFERROR(INT((A461-2-VLOOKUP(D461,'Flock Reference'!$A:$B,2,FALSE))/7), "")</f>
        <v/>
      </c>
    </row>
    <row r="462">
      <c r="G462" s="3">
        <f>IF(E462&gt;0, F462/E462, 0)</f>
        <v/>
      </c>
      <c r="I462" s="3">
        <f>IF(E462&gt;0, H462/E462, 0)</f>
        <v/>
      </c>
      <c r="J462">
        <f>IF(E462&gt;0, E462-F462-H462, 0)</f>
        <v/>
      </c>
      <c r="K462" s="3">
        <f>IF(E462&gt;0, J462/E462, 0)</f>
        <v/>
      </c>
      <c r="M462" s="3">
        <f>IF(E462&gt;0, L462/E462, 0)</f>
        <v/>
      </c>
      <c r="N462" s="3" t="n"/>
      <c r="O462">
        <f>IFERROR(INT((A462-2-VLOOKUP(D462,'Flock Reference'!$A:$B,2,FALSE))/7), "")</f>
        <v/>
      </c>
    </row>
    <row r="463">
      <c r="G463" s="3">
        <f>IF(E463&gt;0, F463/E463, 0)</f>
        <v/>
      </c>
      <c r="I463" s="3">
        <f>IF(E463&gt;0, H463/E463, 0)</f>
        <v/>
      </c>
      <c r="J463">
        <f>IF(E463&gt;0, E463-F463-H463, 0)</f>
        <v/>
      </c>
      <c r="K463" s="3">
        <f>IF(E463&gt;0, J463/E463, 0)</f>
        <v/>
      </c>
      <c r="M463" s="3">
        <f>IF(E463&gt;0, L463/E463, 0)</f>
        <v/>
      </c>
      <c r="N463" s="3" t="n"/>
      <c r="O463">
        <f>IFERROR(INT((A463-2-VLOOKUP(D463,'Flock Reference'!$A:$B,2,FALSE))/7), "")</f>
        <v/>
      </c>
    </row>
    <row r="464">
      <c r="G464" s="3">
        <f>IF(E464&gt;0, F464/E464, 0)</f>
        <v/>
      </c>
      <c r="I464" s="3">
        <f>IF(E464&gt;0, H464/E464, 0)</f>
        <v/>
      </c>
      <c r="J464">
        <f>IF(E464&gt;0, E464-F464-H464, 0)</f>
        <v/>
      </c>
      <c r="K464" s="3">
        <f>IF(E464&gt;0, J464/E464, 0)</f>
        <v/>
      </c>
      <c r="M464" s="3">
        <f>IF(E464&gt;0, L464/E464, 0)</f>
        <v/>
      </c>
      <c r="N464" s="3" t="n"/>
      <c r="O464">
        <f>IFERROR(INT((A464-2-VLOOKUP(D464,'Flock Reference'!$A:$B,2,FALSE))/7), "")</f>
        <v/>
      </c>
    </row>
    <row r="465">
      <c r="G465" s="3">
        <f>IF(E465&gt;0, F465/E465, 0)</f>
        <v/>
      </c>
      <c r="I465" s="3">
        <f>IF(E465&gt;0, H465/E465, 0)</f>
        <v/>
      </c>
      <c r="J465">
        <f>IF(E465&gt;0, E465-F465-H465, 0)</f>
        <v/>
      </c>
      <c r="K465" s="3">
        <f>IF(E465&gt;0, J465/E465, 0)</f>
        <v/>
      </c>
      <c r="M465" s="3">
        <f>IF(E465&gt;0, L465/E465, 0)</f>
        <v/>
      </c>
      <c r="N465" s="3" t="n"/>
      <c r="O465">
        <f>IFERROR(INT((A465-2-VLOOKUP(D465,'Flock Reference'!$A:$B,2,FALSE))/7), "")</f>
        <v/>
      </c>
    </row>
    <row r="466">
      <c r="G466" s="3">
        <f>IF(E466&gt;0, F466/E466, 0)</f>
        <v/>
      </c>
      <c r="I466" s="3">
        <f>IF(E466&gt;0, H466/E466, 0)</f>
        <v/>
      </c>
      <c r="J466">
        <f>IF(E466&gt;0, E466-F466-H466, 0)</f>
        <v/>
      </c>
      <c r="K466" s="3">
        <f>IF(E466&gt;0, J466/E466, 0)</f>
        <v/>
      </c>
      <c r="M466" s="3">
        <f>IF(E466&gt;0, L466/E466, 0)</f>
        <v/>
      </c>
      <c r="N466" s="3" t="n"/>
      <c r="O466">
        <f>IFERROR(INT((A466-2-VLOOKUP(D466,'Flock Reference'!$A:$B,2,FALSE))/7), "")</f>
        <v/>
      </c>
    </row>
    <row r="467">
      <c r="G467" s="3">
        <f>IF(E467&gt;0, F467/E467, 0)</f>
        <v/>
      </c>
      <c r="I467" s="3">
        <f>IF(E467&gt;0, H467/E467, 0)</f>
        <v/>
      </c>
      <c r="J467">
        <f>IF(E467&gt;0, E467-F467-H467, 0)</f>
        <v/>
      </c>
      <c r="K467" s="3">
        <f>IF(E467&gt;0, J467/E467, 0)</f>
        <v/>
      </c>
      <c r="M467" s="3">
        <f>IF(E467&gt;0, L467/E467, 0)</f>
        <v/>
      </c>
      <c r="N467" s="3" t="n"/>
      <c r="O467">
        <f>IFERROR(INT((A467-2-VLOOKUP(D467,'Flock Reference'!$A:$B,2,FALSE))/7), "")</f>
        <v/>
      </c>
    </row>
    <row r="468">
      <c r="G468" s="3">
        <f>IF(E468&gt;0, F468/E468, 0)</f>
        <v/>
      </c>
      <c r="I468" s="3">
        <f>IF(E468&gt;0, H468/E468, 0)</f>
        <v/>
      </c>
      <c r="J468">
        <f>IF(E468&gt;0, E468-F468-H468, 0)</f>
        <v/>
      </c>
      <c r="K468" s="3">
        <f>IF(E468&gt;0, J468/E468, 0)</f>
        <v/>
      </c>
      <c r="M468" s="3">
        <f>IF(E468&gt;0, L468/E468, 0)</f>
        <v/>
      </c>
      <c r="N468" s="3" t="n"/>
      <c r="O468">
        <f>IFERROR(INT((A468-2-VLOOKUP(D468,'Flock Reference'!$A:$B,2,FALSE))/7), "")</f>
        <v/>
      </c>
    </row>
    <row r="469">
      <c r="G469" s="3">
        <f>IF(E469&gt;0, F469/E469, 0)</f>
        <v/>
      </c>
      <c r="I469" s="3">
        <f>IF(E469&gt;0, H469/E469, 0)</f>
        <v/>
      </c>
      <c r="J469">
        <f>IF(E469&gt;0, E469-F469-H469, 0)</f>
        <v/>
      </c>
      <c r="K469" s="3">
        <f>IF(E469&gt;0, J469/E469, 0)</f>
        <v/>
      </c>
      <c r="M469" s="3">
        <f>IF(E469&gt;0, L469/E469, 0)</f>
        <v/>
      </c>
      <c r="N469" s="3" t="n"/>
      <c r="O469">
        <f>IFERROR(INT((A469-2-VLOOKUP(D469,'Flock Reference'!$A:$B,2,FALSE))/7), "")</f>
        <v/>
      </c>
    </row>
    <row r="470">
      <c r="G470" s="3">
        <f>IF(E470&gt;0, F470/E470, 0)</f>
        <v/>
      </c>
      <c r="I470" s="3">
        <f>IF(E470&gt;0, H470/E470, 0)</f>
        <v/>
      </c>
      <c r="J470">
        <f>IF(E470&gt;0, E470-F470-H470, 0)</f>
        <v/>
      </c>
      <c r="K470" s="3">
        <f>IF(E470&gt;0, J470/E470, 0)</f>
        <v/>
      </c>
      <c r="M470" s="3">
        <f>IF(E470&gt;0, L470/E470, 0)</f>
        <v/>
      </c>
      <c r="N470" s="3" t="n"/>
      <c r="O470">
        <f>IFERROR(INT((A470-2-VLOOKUP(D470,'Flock Reference'!$A:$B,2,FALSE))/7), "")</f>
        <v/>
      </c>
    </row>
    <row r="471">
      <c r="G471" s="3">
        <f>IF(E471&gt;0, F471/E471, 0)</f>
        <v/>
      </c>
      <c r="I471" s="3">
        <f>IF(E471&gt;0, H471/E471, 0)</f>
        <v/>
      </c>
      <c r="J471">
        <f>IF(E471&gt;0, E471-F471-H471, 0)</f>
        <v/>
      </c>
      <c r="K471" s="3">
        <f>IF(E471&gt;0, J471/E471, 0)</f>
        <v/>
      </c>
      <c r="M471" s="3">
        <f>IF(E471&gt;0, L471/E471, 0)</f>
        <v/>
      </c>
      <c r="N471" s="3" t="n"/>
      <c r="O471">
        <f>IFERROR(INT((A471-2-VLOOKUP(D471,'Flock Reference'!$A:$B,2,FALSE))/7), "")</f>
        <v/>
      </c>
    </row>
    <row r="472">
      <c r="G472" s="3">
        <f>IF(E472&gt;0, F472/E472, 0)</f>
        <v/>
      </c>
      <c r="I472" s="3">
        <f>IF(E472&gt;0, H472/E472, 0)</f>
        <v/>
      </c>
      <c r="J472">
        <f>IF(E472&gt;0, E472-F472-H472, 0)</f>
        <v/>
      </c>
      <c r="K472" s="3">
        <f>IF(E472&gt;0, J472/E472, 0)</f>
        <v/>
      </c>
      <c r="M472" s="3">
        <f>IF(E472&gt;0, L472/E472, 0)</f>
        <v/>
      </c>
      <c r="N472" s="3" t="n"/>
      <c r="O472">
        <f>IFERROR(INT((A472-2-VLOOKUP(D472,'Flock Reference'!$A:$B,2,FALSE))/7), "")</f>
        <v/>
      </c>
    </row>
    <row r="473">
      <c r="G473" s="3">
        <f>IF(E473&gt;0, F473/E473, 0)</f>
        <v/>
      </c>
      <c r="I473" s="3">
        <f>IF(E473&gt;0, H473/E473, 0)</f>
        <v/>
      </c>
      <c r="J473">
        <f>IF(E473&gt;0, E473-F473-H473, 0)</f>
        <v/>
      </c>
      <c r="K473" s="3">
        <f>IF(E473&gt;0, J473/E473, 0)</f>
        <v/>
      </c>
      <c r="M473" s="3">
        <f>IF(E473&gt;0, L473/E473, 0)</f>
        <v/>
      </c>
      <c r="N473" s="3" t="n"/>
      <c r="O473">
        <f>IFERROR(INT((A473-2-VLOOKUP(D473,'Flock Reference'!$A:$B,2,FALSE))/7), "")</f>
        <v/>
      </c>
    </row>
    <row r="474">
      <c r="G474" s="3">
        <f>IF(E474&gt;0, F474/E474, 0)</f>
        <v/>
      </c>
      <c r="I474" s="3">
        <f>IF(E474&gt;0, H474/E474, 0)</f>
        <v/>
      </c>
      <c r="J474">
        <f>IF(E474&gt;0, E474-F474-H474, 0)</f>
        <v/>
      </c>
      <c r="K474" s="3">
        <f>IF(E474&gt;0, J474/E474, 0)</f>
        <v/>
      </c>
      <c r="M474" s="3">
        <f>IF(E474&gt;0, L474/E474, 0)</f>
        <v/>
      </c>
      <c r="N474" s="3" t="n"/>
      <c r="O474">
        <f>IFERROR(INT((A474-2-VLOOKUP(D474,'Flock Reference'!$A:$B,2,FALSE))/7), "")</f>
        <v/>
      </c>
    </row>
    <row r="475">
      <c r="G475" s="3">
        <f>IF(E475&gt;0, F475/E475, 0)</f>
        <v/>
      </c>
      <c r="I475" s="3">
        <f>IF(E475&gt;0, H475/E475, 0)</f>
        <v/>
      </c>
      <c r="J475">
        <f>IF(E475&gt;0, E475-F475-H475, 0)</f>
        <v/>
      </c>
      <c r="K475" s="3">
        <f>IF(E475&gt;0, J475/E475, 0)</f>
        <v/>
      </c>
      <c r="M475" s="3">
        <f>IF(E475&gt;0, L475/E475, 0)</f>
        <v/>
      </c>
      <c r="N475" s="3" t="n"/>
      <c r="O475">
        <f>IFERROR(INT((A475-2-VLOOKUP(D475,'Flock Reference'!$A:$B,2,FALSE))/7), "")</f>
        <v/>
      </c>
    </row>
    <row r="476">
      <c r="G476" s="3">
        <f>IF(E476&gt;0, F476/E476, 0)</f>
        <v/>
      </c>
      <c r="I476" s="3">
        <f>IF(E476&gt;0, H476/E476, 0)</f>
        <v/>
      </c>
      <c r="J476">
        <f>IF(E476&gt;0, E476-F476-H476, 0)</f>
        <v/>
      </c>
      <c r="K476" s="3">
        <f>IF(E476&gt;0, J476/E476, 0)</f>
        <v/>
      </c>
      <c r="M476" s="3">
        <f>IF(E476&gt;0, L476/E476, 0)</f>
        <v/>
      </c>
      <c r="N476" s="3" t="n"/>
      <c r="O476">
        <f>IFERROR(INT((A476-2-VLOOKUP(D476,'Flock Reference'!$A:$B,2,FALSE))/7), "")</f>
        <v/>
      </c>
    </row>
    <row r="477">
      <c r="G477" s="3">
        <f>IF(E477&gt;0, F477/E477, 0)</f>
        <v/>
      </c>
      <c r="I477" s="3">
        <f>IF(E477&gt;0, H477/E477, 0)</f>
        <v/>
      </c>
      <c r="J477">
        <f>IF(E477&gt;0, E477-F477-H477, 0)</f>
        <v/>
      </c>
      <c r="K477" s="3">
        <f>IF(E477&gt;0, J477/E477, 0)</f>
        <v/>
      </c>
      <c r="M477" s="3">
        <f>IF(E477&gt;0, L477/E477, 0)</f>
        <v/>
      </c>
      <c r="N477" s="3" t="n"/>
      <c r="O477">
        <f>IFERROR(INT((A477-2-VLOOKUP(D477,'Flock Reference'!$A:$B,2,FALSE))/7), "")</f>
        <v/>
      </c>
    </row>
    <row r="478">
      <c r="G478" s="3">
        <f>IF(E478&gt;0, F478/E478, 0)</f>
        <v/>
      </c>
      <c r="I478" s="3">
        <f>IF(E478&gt;0, H478/E478, 0)</f>
        <v/>
      </c>
      <c r="J478">
        <f>IF(E478&gt;0, E478-F478-H478, 0)</f>
        <v/>
      </c>
      <c r="K478" s="3">
        <f>IF(E478&gt;0, J478/E478, 0)</f>
        <v/>
      </c>
      <c r="M478" s="3">
        <f>IF(E478&gt;0, L478/E478, 0)</f>
        <v/>
      </c>
      <c r="N478" s="3" t="n"/>
      <c r="O478">
        <f>IFERROR(INT((A478-2-VLOOKUP(D478,'Flock Reference'!$A:$B,2,FALSE))/7), "")</f>
        <v/>
      </c>
    </row>
    <row r="479">
      <c r="G479" s="3">
        <f>IF(E479&gt;0, F479/E479, 0)</f>
        <v/>
      </c>
      <c r="I479" s="3">
        <f>IF(E479&gt;0, H479/E479, 0)</f>
        <v/>
      </c>
      <c r="J479">
        <f>IF(E479&gt;0, E479-F479-H479, 0)</f>
        <v/>
      </c>
      <c r="K479" s="3">
        <f>IF(E479&gt;0, J479/E479, 0)</f>
        <v/>
      </c>
      <c r="M479" s="3">
        <f>IF(E479&gt;0, L479/E479, 0)</f>
        <v/>
      </c>
      <c r="N479" s="3" t="n"/>
      <c r="O479">
        <f>IFERROR(INT((A479-2-VLOOKUP(D479,'Flock Reference'!$A:$B,2,FALSE))/7), "")</f>
        <v/>
      </c>
    </row>
    <row r="480">
      <c r="G480" s="3">
        <f>IF(E480&gt;0, F480/E480, 0)</f>
        <v/>
      </c>
      <c r="I480" s="3">
        <f>IF(E480&gt;0, H480/E480, 0)</f>
        <v/>
      </c>
      <c r="J480">
        <f>IF(E480&gt;0, E480-F480-H480, 0)</f>
        <v/>
      </c>
      <c r="K480" s="3">
        <f>IF(E480&gt;0, J480/E480, 0)</f>
        <v/>
      </c>
      <c r="M480" s="3">
        <f>IF(E480&gt;0, L480/E480, 0)</f>
        <v/>
      </c>
      <c r="N480" s="3" t="n"/>
      <c r="O480">
        <f>IFERROR(INT((A480-2-VLOOKUP(D480,'Flock Reference'!$A:$B,2,FALSE))/7), "")</f>
        <v/>
      </c>
    </row>
    <row r="481">
      <c r="G481" s="3">
        <f>IF(E481&gt;0, F481/E481, 0)</f>
        <v/>
      </c>
      <c r="I481" s="3">
        <f>IF(E481&gt;0, H481/E481, 0)</f>
        <v/>
      </c>
      <c r="J481">
        <f>IF(E481&gt;0, E481-F481-H481, 0)</f>
        <v/>
      </c>
      <c r="K481" s="3">
        <f>IF(E481&gt;0, J481/E481, 0)</f>
        <v/>
      </c>
      <c r="M481" s="3">
        <f>IF(E481&gt;0, L481/E481, 0)</f>
        <v/>
      </c>
      <c r="N481" s="3" t="n"/>
      <c r="O481">
        <f>IFERROR(INT((A481-2-VLOOKUP(D481,'Flock Reference'!$A:$B,2,FALSE))/7), "")</f>
        <v/>
      </c>
    </row>
    <row r="482">
      <c r="G482" s="3">
        <f>IF(E482&gt;0, F482/E482, 0)</f>
        <v/>
      </c>
      <c r="I482" s="3">
        <f>IF(E482&gt;0, H482/E482, 0)</f>
        <v/>
      </c>
      <c r="J482">
        <f>IF(E482&gt;0, E482-F482-H482, 0)</f>
        <v/>
      </c>
      <c r="K482" s="3">
        <f>IF(E482&gt;0, J482/E482, 0)</f>
        <v/>
      </c>
      <c r="M482" s="3">
        <f>IF(E482&gt;0, L482/E482, 0)</f>
        <v/>
      </c>
      <c r="N482" s="3" t="n"/>
      <c r="O482">
        <f>IFERROR(INT((A482-2-VLOOKUP(D482,'Flock Reference'!$A:$B,2,FALSE))/7), "")</f>
        <v/>
      </c>
    </row>
    <row r="483">
      <c r="G483" s="3">
        <f>IF(E483&gt;0, F483/E483, 0)</f>
        <v/>
      </c>
      <c r="I483" s="3">
        <f>IF(E483&gt;0, H483/E483, 0)</f>
        <v/>
      </c>
      <c r="J483">
        <f>IF(E483&gt;0, E483-F483-H483, 0)</f>
        <v/>
      </c>
      <c r="K483" s="3">
        <f>IF(E483&gt;0, J483/E483, 0)</f>
        <v/>
      </c>
      <c r="M483" s="3">
        <f>IF(E483&gt;0, L483/E483, 0)</f>
        <v/>
      </c>
      <c r="N483" s="3" t="n"/>
      <c r="O483">
        <f>IFERROR(INT((A483-2-VLOOKUP(D483,'Flock Reference'!$A:$B,2,FALSE))/7), "")</f>
        <v/>
      </c>
    </row>
    <row r="484">
      <c r="G484" s="3">
        <f>IF(E484&gt;0, F484/E484, 0)</f>
        <v/>
      </c>
      <c r="I484" s="3">
        <f>IF(E484&gt;0, H484/E484, 0)</f>
        <v/>
      </c>
      <c r="J484">
        <f>IF(E484&gt;0, E484-F484-H484, 0)</f>
        <v/>
      </c>
      <c r="K484" s="3">
        <f>IF(E484&gt;0, J484/E484, 0)</f>
        <v/>
      </c>
      <c r="M484" s="3">
        <f>IF(E484&gt;0, L484/E484, 0)</f>
        <v/>
      </c>
      <c r="N484" s="3" t="n"/>
      <c r="O484">
        <f>IFERROR(INT((A484-2-VLOOKUP(D484,'Flock Reference'!$A:$B,2,FALSE))/7), "")</f>
        <v/>
      </c>
    </row>
    <row r="485">
      <c r="G485" s="3">
        <f>IF(E485&gt;0, F485/E485, 0)</f>
        <v/>
      </c>
      <c r="I485" s="3">
        <f>IF(E485&gt;0, H485/E485, 0)</f>
        <v/>
      </c>
      <c r="J485">
        <f>IF(E485&gt;0, E485-F485-H485, 0)</f>
        <v/>
      </c>
      <c r="K485" s="3">
        <f>IF(E485&gt;0, J485/E485, 0)</f>
        <v/>
      </c>
      <c r="M485" s="3">
        <f>IF(E485&gt;0, L485/E485, 0)</f>
        <v/>
      </c>
      <c r="N485" s="3" t="n"/>
      <c r="O485">
        <f>IFERROR(INT((A485-2-VLOOKUP(D485,'Flock Reference'!$A:$B,2,FALSE))/7), "")</f>
        <v/>
      </c>
    </row>
    <row r="486">
      <c r="G486" s="3">
        <f>IF(E486&gt;0, F486/E486, 0)</f>
        <v/>
      </c>
      <c r="I486" s="3">
        <f>IF(E486&gt;0, H486/E486, 0)</f>
        <v/>
      </c>
      <c r="J486">
        <f>IF(E486&gt;0, E486-F486-H486, 0)</f>
        <v/>
      </c>
      <c r="K486" s="3">
        <f>IF(E486&gt;0, J486/E486, 0)</f>
        <v/>
      </c>
      <c r="M486" s="3">
        <f>IF(E486&gt;0, L486/E486, 0)</f>
        <v/>
      </c>
      <c r="N486" s="3" t="n"/>
      <c r="O486">
        <f>IFERROR(INT((A486-2-VLOOKUP(D486,'Flock Reference'!$A:$B,2,FALSE))/7), "")</f>
        <v/>
      </c>
    </row>
    <row r="487">
      <c r="G487" s="3">
        <f>IF(E487&gt;0, F487/E487, 0)</f>
        <v/>
      </c>
      <c r="I487" s="3">
        <f>IF(E487&gt;0, H487/E487, 0)</f>
        <v/>
      </c>
      <c r="J487">
        <f>IF(E487&gt;0, E487-F487-H487, 0)</f>
        <v/>
      </c>
      <c r="K487" s="3">
        <f>IF(E487&gt;0, J487/E487, 0)</f>
        <v/>
      </c>
      <c r="M487" s="3">
        <f>IF(E487&gt;0, L487/E487, 0)</f>
        <v/>
      </c>
      <c r="N487" s="3" t="n"/>
      <c r="O487">
        <f>IFERROR(INT((A487-2-VLOOKUP(D487,'Flock Reference'!$A:$B,2,FALSE))/7), "")</f>
        <v/>
      </c>
    </row>
    <row r="488">
      <c r="G488" s="3">
        <f>IF(E488&gt;0, F488/E488, 0)</f>
        <v/>
      </c>
      <c r="I488" s="3">
        <f>IF(E488&gt;0, H488/E488, 0)</f>
        <v/>
      </c>
      <c r="J488">
        <f>IF(E488&gt;0, E488-F488-H488, 0)</f>
        <v/>
      </c>
      <c r="K488" s="3">
        <f>IF(E488&gt;0, J488/E488, 0)</f>
        <v/>
      </c>
      <c r="M488" s="3">
        <f>IF(E488&gt;0, L488/E488, 0)</f>
        <v/>
      </c>
      <c r="N488" s="3" t="n"/>
      <c r="O488">
        <f>IFERROR(INT((A488-2-VLOOKUP(D488,'Flock Reference'!$A:$B,2,FALSE))/7), "")</f>
        <v/>
      </c>
    </row>
    <row r="489">
      <c r="G489" s="3">
        <f>IF(E489&gt;0, F489/E489, 0)</f>
        <v/>
      </c>
      <c r="I489" s="3">
        <f>IF(E489&gt;0, H489/E489, 0)</f>
        <v/>
      </c>
      <c r="J489">
        <f>IF(E489&gt;0, E489-F489-H489, 0)</f>
        <v/>
      </c>
      <c r="K489" s="3">
        <f>IF(E489&gt;0, J489/E489, 0)</f>
        <v/>
      </c>
      <c r="M489" s="3">
        <f>IF(E489&gt;0, L489/E489, 0)</f>
        <v/>
      </c>
      <c r="N489" s="3" t="n"/>
      <c r="O489">
        <f>IFERROR(INT((A489-2-VLOOKUP(D489,'Flock Reference'!$A:$B,2,FALSE))/7), "")</f>
        <v/>
      </c>
    </row>
    <row r="490">
      <c r="G490" s="3">
        <f>IF(E490&gt;0, F490/E490, 0)</f>
        <v/>
      </c>
      <c r="I490" s="3">
        <f>IF(E490&gt;0, H490/E490, 0)</f>
        <v/>
      </c>
      <c r="J490">
        <f>IF(E490&gt;0, E490-F490-H490, 0)</f>
        <v/>
      </c>
      <c r="K490" s="3">
        <f>IF(E490&gt;0, J490/E490, 0)</f>
        <v/>
      </c>
      <c r="M490" s="3">
        <f>IF(E490&gt;0, L490/E490, 0)</f>
        <v/>
      </c>
      <c r="N490" s="3" t="n"/>
      <c r="O490">
        <f>IFERROR(INT((A490-2-VLOOKUP(D490,'Flock Reference'!$A:$B,2,FALSE))/7), "")</f>
        <v/>
      </c>
    </row>
    <row r="491">
      <c r="G491" s="3">
        <f>IF(E491&gt;0, F491/E491, 0)</f>
        <v/>
      </c>
      <c r="I491" s="3">
        <f>IF(E491&gt;0, H491/E491, 0)</f>
        <v/>
      </c>
      <c r="J491">
        <f>IF(E491&gt;0, E491-F491-H491, 0)</f>
        <v/>
      </c>
      <c r="K491" s="3">
        <f>IF(E491&gt;0, J491/E491, 0)</f>
        <v/>
      </c>
      <c r="M491" s="3">
        <f>IF(E491&gt;0, L491/E491, 0)</f>
        <v/>
      </c>
      <c r="N491" s="3" t="n"/>
      <c r="O491">
        <f>IFERROR(INT((A491-2-VLOOKUP(D491,'Flock Reference'!$A:$B,2,FALSE))/7), "")</f>
        <v/>
      </c>
    </row>
    <row r="492">
      <c r="G492" s="3">
        <f>IF(E492&gt;0, F492/E492, 0)</f>
        <v/>
      </c>
      <c r="I492" s="3">
        <f>IF(E492&gt;0, H492/E492, 0)</f>
        <v/>
      </c>
      <c r="J492">
        <f>IF(E492&gt;0, E492-F492-H492, 0)</f>
        <v/>
      </c>
      <c r="K492" s="3">
        <f>IF(E492&gt;0, J492/E492, 0)</f>
        <v/>
      </c>
      <c r="M492" s="3">
        <f>IF(E492&gt;0, L492/E492, 0)</f>
        <v/>
      </c>
      <c r="N492" s="3" t="n"/>
      <c r="O492">
        <f>IFERROR(INT((A492-2-VLOOKUP(D492,'Flock Reference'!$A:$B,2,FALSE))/7), "")</f>
        <v/>
      </c>
    </row>
    <row r="493">
      <c r="G493" s="3">
        <f>IF(E493&gt;0, F493/E493, 0)</f>
        <v/>
      </c>
      <c r="I493" s="3">
        <f>IF(E493&gt;0, H493/E493, 0)</f>
        <v/>
      </c>
      <c r="J493">
        <f>IF(E493&gt;0, E493-F493-H493, 0)</f>
        <v/>
      </c>
      <c r="K493" s="3">
        <f>IF(E493&gt;0, J493/E493, 0)</f>
        <v/>
      </c>
      <c r="M493" s="3">
        <f>IF(E493&gt;0, L493/E493, 0)</f>
        <v/>
      </c>
      <c r="N493" s="3" t="n"/>
      <c r="O493">
        <f>IFERROR(INT((A493-2-VLOOKUP(D493,'Flock Reference'!$A:$B,2,FALSE))/7), "")</f>
        <v/>
      </c>
    </row>
    <row r="494">
      <c r="G494" s="3">
        <f>IF(E494&gt;0, F494/E494, 0)</f>
        <v/>
      </c>
      <c r="I494" s="3">
        <f>IF(E494&gt;0, H494/E494, 0)</f>
        <v/>
      </c>
      <c r="J494">
        <f>IF(E494&gt;0, E494-F494-H494, 0)</f>
        <v/>
      </c>
      <c r="K494" s="3">
        <f>IF(E494&gt;0, J494/E494, 0)</f>
        <v/>
      </c>
      <c r="M494" s="3">
        <f>IF(E494&gt;0, L494/E494, 0)</f>
        <v/>
      </c>
      <c r="N494" s="3" t="n"/>
      <c r="O494">
        <f>IFERROR(INT((A494-2-VLOOKUP(D494,'Flock Reference'!$A:$B,2,FALSE))/7), "")</f>
        <v/>
      </c>
    </row>
    <row r="495">
      <c r="G495" s="3">
        <f>IF(E495&gt;0, F495/E495, 0)</f>
        <v/>
      </c>
      <c r="I495" s="3">
        <f>IF(E495&gt;0, H495/E495, 0)</f>
        <v/>
      </c>
      <c r="J495">
        <f>IF(E495&gt;0, E495-F495-H495, 0)</f>
        <v/>
      </c>
      <c r="K495" s="3">
        <f>IF(E495&gt;0, J495/E495, 0)</f>
        <v/>
      </c>
      <c r="M495" s="3">
        <f>IF(E495&gt;0, L495/E495, 0)</f>
        <v/>
      </c>
      <c r="N495" s="3" t="n"/>
      <c r="O495">
        <f>IFERROR(INT((A495-2-VLOOKUP(D495,'Flock Reference'!$A:$B,2,FALSE))/7), "")</f>
        <v/>
      </c>
    </row>
    <row r="496">
      <c r="G496" s="3">
        <f>IF(E496&gt;0, F496/E496, 0)</f>
        <v/>
      </c>
      <c r="I496" s="3">
        <f>IF(E496&gt;0, H496/E496, 0)</f>
        <v/>
      </c>
      <c r="J496">
        <f>IF(E496&gt;0, E496-F496-H496, 0)</f>
        <v/>
      </c>
      <c r="K496" s="3">
        <f>IF(E496&gt;0, J496/E496, 0)</f>
        <v/>
      </c>
      <c r="M496" s="3">
        <f>IF(E496&gt;0, L496/E496, 0)</f>
        <v/>
      </c>
      <c r="N496" s="3" t="n"/>
      <c r="O496">
        <f>IFERROR(INT((A496-2-VLOOKUP(D496,'Flock Reference'!$A:$B,2,FALSE))/7), "")</f>
        <v/>
      </c>
    </row>
    <row r="497">
      <c r="G497" s="3">
        <f>IF(E497&gt;0, F497/E497, 0)</f>
        <v/>
      </c>
      <c r="I497" s="3">
        <f>IF(E497&gt;0, H497/E497, 0)</f>
        <v/>
      </c>
      <c r="J497">
        <f>IF(E497&gt;0, E497-F497-H497, 0)</f>
        <v/>
      </c>
      <c r="K497" s="3">
        <f>IF(E497&gt;0, J497/E497, 0)</f>
        <v/>
      </c>
      <c r="M497" s="3">
        <f>IF(E497&gt;0, L497/E497, 0)</f>
        <v/>
      </c>
      <c r="N497" s="3" t="n"/>
      <c r="O497">
        <f>IFERROR(INT((A497-2-VLOOKUP(D497,'Flock Reference'!$A:$B,2,FALSE))/7), "")</f>
        <v/>
      </c>
    </row>
    <row r="498">
      <c r="G498" s="3">
        <f>IF(E498&gt;0, F498/E498, 0)</f>
        <v/>
      </c>
      <c r="I498" s="3">
        <f>IF(E498&gt;0, H498/E498, 0)</f>
        <v/>
      </c>
      <c r="J498">
        <f>IF(E498&gt;0, E498-F498-H498, 0)</f>
        <v/>
      </c>
      <c r="K498" s="3">
        <f>IF(E498&gt;0, J498/E498, 0)</f>
        <v/>
      </c>
      <c r="M498" s="3">
        <f>IF(E498&gt;0, L498/E498, 0)</f>
        <v/>
      </c>
      <c r="N498" s="3" t="n"/>
      <c r="O498">
        <f>IFERROR(INT((A498-2-VLOOKUP(D498,'Flock Reference'!$A:$B,2,FALSE))/7), "")</f>
        <v/>
      </c>
    </row>
    <row r="499">
      <c r="G499" s="3">
        <f>IF(E499&gt;0, F499/E499, 0)</f>
        <v/>
      </c>
      <c r="I499" s="3">
        <f>IF(E499&gt;0, H499/E499, 0)</f>
        <v/>
      </c>
      <c r="J499">
        <f>IF(E499&gt;0, E499-F499-H499, 0)</f>
        <v/>
      </c>
      <c r="K499" s="3">
        <f>IF(E499&gt;0, J499/E499, 0)</f>
        <v/>
      </c>
      <c r="M499" s="3">
        <f>IF(E499&gt;0, L499/E499, 0)</f>
        <v/>
      </c>
      <c r="N499" s="3" t="n"/>
      <c r="O499">
        <f>IFERROR(INT((A499-2-VLOOKUP(D499,'Flock Reference'!$A:$B,2,FALSE))/7), "")</f>
        <v/>
      </c>
    </row>
    <row r="500">
      <c r="G500" s="3">
        <f>IF(E500&gt;0, F500/E500, 0)</f>
        <v/>
      </c>
      <c r="I500" s="3">
        <f>IF(E500&gt;0, H500/E500, 0)</f>
        <v/>
      </c>
      <c r="J500">
        <f>IF(E500&gt;0, E500-F500-H500, 0)</f>
        <v/>
      </c>
      <c r="K500" s="3">
        <f>IF(E500&gt;0, J500/E500, 0)</f>
        <v/>
      </c>
      <c r="M500" s="3">
        <f>IF(E500&gt;0, L500/E500, 0)</f>
        <v/>
      </c>
      <c r="N500" s="3" t="n"/>
      <c r="O500">
        <f>IFERROR(INT((A500-2-VLOOKUP(D500,'Flock Reference'!$A:$B,2,FALSE))/7), "")</f>
        <v/>
      </c>
    </row>
    <row r="501">
      <c r="G501" s="3">
        <f>IF(E501&gt;0, F501/E501, 0)</f>
        <v/>
      </c>
      <c r="I501" s="3">
        <f>IF(E501&gt;0, H501/E501, 0)</f>
        <v/>
      </c>
      <c r="J501">
        <f>IF(E501&gt;0, E501-F501-H501, 0)</f>
        <v/>
      </c>
      <c r="K501" s="3">
        <f>IF(E501&gt;0, J501/E501, 0)</f>
        <v/>
      </c>
      <c r="M501" s="3">
        <f>IF(E501&gt;0, L501/E501, 0)</f>
        <v/>
      </c>
      <c r="N501" s="3" t="n"/>
      <c r="O501">
        <f>IFERROR(INT((A501-2-VLOOKUP(D501,'Flock Reference'!$A:$B,2,FALSE))/7), 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Select Flock:</t>
        </is>
      </c>
      <c r="B1" s="5" t="inlineStr">
        <is>
          <t>Example_Flock_01</t>
        </is>
      </c>
    </row>
    <row r="2">
      <c r="A2" s="4" t="inlineStr">
        <is>
          <t>Start Age:</t>
        </is>
      </c>
      <c r="B2" t="n">
        <v>0</v>
      </c>
    </row>
    <row r="3">
      <c r="A3" s="4" t="inlineStr">
        <is>
          <t>End Age:</t>
        </is>
      </c>
      <c r="B3" t="n">
        <v>100</v>
      </c>
    </row>
    <row r="6">
      <c r="A6" s="1" t="inlineStr">
        <is>
          <t>Age (Weeks)</t>
        </is>
      </c>
      <c r="B6" s="1" t="inlineStr">
        <is>
          <t>Egg Set</t>
        </is>
      </c>
      <c r="C6" s="1" t="inlineStr">
        <is>
          <t>Clear</t>
        </is>
      </c>
      <c r="D6" s="1" t="inlineStr">
        <is>
          <t>Rotten</t>
        </is>
      </c>
      <c r="E6" s="1" t="inlineStr">
        <is>
          <t>Hatched</t>
        </is>
      </c>
      <c r="F6" s="1" t="inlineStr">
        <is>
          <t>Fertile</t>
        </is>
      </c>
      <c r="G6" s="1" t="inlineStr">
        <is>
          <t>Fertile %</t>
        </is>
      </c>
      <c r="H6" s="1" t="inlineStr">
        <is>
          <t>Clear %</t>
        </is>
      </c>
      <c r="I6" s="1" t="inlineStr">
        <is>
          <t>Rotten %</t>
        </is>
      </c>
      <c r="J6" s="1" t="inlineStr">
        <is>
          <t>Hatchability %</t>
        </is>
      </c>
    </row>
    <row r="7">
      <c r="A7">
        <f>SORT(UNIQUE(FILTER(HatchData[Flock Age (Weeks)], (HatchData[Flock ID]=B1)*(HatchData[Flock Age (Weeks)]&gt;=B2)*(HatchData[Flock Age (Weeks)]&lt;=B3), "No Data")))</f>
        <v/>
      </c>
      <c r="B7">
        <f>SUMIFS(HatchData[Egg Set], HatchData[Flock ID], $B$1, HatchData[Flock Age (Weeks)], A7#)</f>
        <v/>
      </c>
      <c r="C7">
        <f>SUMIFS(HatchData[Clear Egg], HatchData[Flock ID], $B$1, HatchData[Flock Age (Weeks)], A7#)</f>
        <v/>
      </c>
      <c r="D7">
        <f>SUMIFS(HatchData[Rotten Egg], HatchData[Flock ID], $B$1, HatchData[Flock Age (Weeks)], A7#)</f>
        <v/>
      </c>
      <c r="E7">
        <f>SUMIFS(HatchData[Total Hatched], HatchData[Flock ID], $B$1, HatchData[Flock Age (Weeks)], A7#)</f>
        <v/>
      </c>
      <c r="F7">
        <f>B7#-C7#-D7#</f>
        <v/>
      </c>
      <c r="G7" s="3">
        <f>IF(B7#&gt;0, F7#/B7#, 0)</f>
        <v/>
      </c>
      <c r="H7" s="3">
        <f>IF(B7#&gt;0, C7#/B7#, 0)</f>
        <v/>
      </c>
      <c r="I7" s="3">
        <f>IF(B7#&gt;0, D7#/B7#, 0)</f>
        <v/>
      </c>
      <c r="J7" s="3">
        <f>IF(B7#&gt;0, E7#/B7#, 0)</f>
        <v/>
      </c>
    </row>
    <row r="8">
      <c r="G8" s="3" t="n"/>
      <c r="H8" s="3" t="n"/>
      <c r="I8" s="3" t="n"/>
      <c r="J8" s="3" t="n"/>
    </row>
    <row r="9">
      <c r="G9" s="3" t="n"/>
      <c r="H9" s="3" t="n"/>
      <c r="I9" s="3" t="n"/>
      <c r="J9" s="3" t="n"/>
    </row>
    <row r="10">
      <c r="G10" s="3" t="n"/>
      <c r="H10" s="3" t="n"/>
      <c r="I10" s="3" t="n"/>
      <c r="J10" s="3" t="n"/>
    </row>
    <row r="11">
      <c r="G11" s="3" t="n"/>
      <c r="H11" s="3" t="n"/>
      <c r="I11" s="3" t="n"/>
      <c r="J11" s="3" t="n"/>
    </row>
    <row r="12">
      <c r="G12" s="3" t="n"/>
      <c r="H12" s="3" t="n"/>
      <c r="I12" s="3" t="n"/>
      <c r="J12" s="3" t="n"/>
    </row>
    <row r="13">
      <c r="G13" s="3" t="n"/>
      <c r="H13" s="3" t="n"/>
      <c r="I13" s="3" t="n"/>
      <c r="J13" s="3" t="n"/>
    </row>
    <row r="14">
      <c r="G14" s="3" t="n"/>
      <c r="H14" s="3" t="n"/>
      <c r="I14" s="3" t="n"/>
      <c r="J14" s="3" t="n"/>
    </row>
    <row r="15">
      <c r="G15" s="3" t="n"/>
      <c r="H15" s="3" t="n"/>
      <c r="I15" s="3" t="n"/>
      <c r="J15" s="3" t="n"/>
    </row>
    <row r="16">
      <c r="G16" s="3" t="n"/>
      <c r="H16" s="3" t="n"/>
      <c r="I16" s="3" t="n"/>
      <c r="J16" s="3" t="n"/>
    </row>
    <row r="17">
      <c r="G17" s="3" t="n"/>
      <c r="H17" s="3" t="n"/>
      <c r="I17" s="3" t="n"/>
      <c r="J17" s="3" t="n"/>
    </row>
    <row r="18">
      <c r="G18" s="3" t="n"/>
      <c r="H18" s="3" t="n"/>
      <c r="I18" s="3" t="n"/>
      <c r="J18" s="3" t="n"/>
    </row>
    <row r="19">
      <c r="G19" s="3" t="n"/>
      <c r="H19" s="3" t="n"/>
      <c r="I19" s="3" t="n"/>
      <c r="J19" s="3" t="n"/>
    </row>
    <row r="20">
      <c r="G20" s="3" t="n"/>
      <c r="H20" s="3" t="n"/>
      <c r="I20" s="3" t="n"/>
      <c r="J20" s="3" t="n"/>
    </row>
    <row r="21">
      <c r="G21" s="3" t="n"/>
      <c r="H21" s="3" t="n"/>
      <c r="I21" s="3" t="n"/>
      <c r="J21" s="3" t="n"/>
    </row>
    <row r="22">
      <c r="G22" s="3" t="n"/>
      <c r="H22" s="3" t="n"/>
      <c r="I22" s="3" t="n"/>
      <c r="J22" s="3" t="n"/>
    </row>
    <row r="23">
      <c r="G23" s="3" t="n"/>
      <c r="H23" s="3" t="n"/>
      <c r="I23" s="3" t="n"/>
      <c r="J23" s="3" t="n"/>
    </row>
    <row r="24">
      <c r="G24" s="3" t="n"/>
      <c r="H24" s="3" t="n"/>
      <c r="I24" s="3" t="n"/>
      <c r="J24" s="3" t="n"/>
    </row>
    <row r="25">
      <c r="G25" s="3" t="n"/>
      <c r="H25" s="3" t="n"/>
      <c r="I25" s="3" t="n"/>
      <c r="J25" s="3" t="n"/>
    </row>
    <row r="26">
      <c r="G26" s="3" t="n"/>
      <c r="H26" s="3" t="n"/>
      <c r="I26" s="3" t="n"/>
      <c r="J26" s="3" t="n"/>
    </row>
    <row r="27">
      <c r="G27" s="3" t="n"/>
      <c r="H27" s="3" t="n"/>
      <c r="I27" s="3" t="n"/>
      <c r="J27" s="3" t="n"/>
    </row>
    <row r="28">
      <c r="G28" s="3" t="n"/>
      <c r="H28" s="3" t="n"/>
      <c r="I28" s="3" t="n"/>
      <c r="J28" s="3" t="n"/>
    </row>
    <row r="29">
      <c r="G29" s="3" t="n"/>
      <c r="H29" s="3" t="n"/>
      <c r="I29" s="3" t="n"/>
      <c r="J29" s="3" t="n"/>
    </row>
    <row r="30">
      <c r="G30" s="3" t="n"/>
      <c r="H30" s="3" t="n"/>
      <c r="I30" s="3" t="n"/>
      <c r="J30" s="3" t="n"/>
    </row>
    <row r="31">
      <c r="G31" s="3" t="n"/>
      <c r="H31" s="3" t="n"/>
      <c r="I31" s="3" t="n"/>
      <c r="J31" s="3" t="n"/>
    </row>
    <row r="32">
      <c r="G32" s="3" t="n"/>
      <c r="H32" s="3" t="n"/>
      <c r="I32" s="3" t="n"/>
      <c r="J32" s="3" t="n"/>
    </row>
    <row r="33">
      <c r="G33" s="3" t="n"/>
      <c r="H33" s="3" t="n"/>
      <c r="I33" s="3" t="n"/>
      <c r="J33" s="3" t="n"/>
    </row>
    <row r="34">
      <c r="G34" s="3" t="n"/>
      <c r="H34" s="3" t="n"/>
      <c r="I34" s="3" t="n"/>
      <c r="J34" s="3" t="n"/>
    </row>
    <row r="35">
      <c r="G35" s="3" t="n"/>
      <c r="H35" s="3" t="n"/>
      <c r="I35" s="3" t="n"/>
      <c r="J35" s="3" t="n"/>
    </row>
    <row r="36">
      <c r="G36" s="3" t="n"/>
      <c r="H36" s="3" t="n"/>
      <c r="I36" s="3" t="n"/>
      <c r="J36" s="3" t="n"/>
    </row>
    <row r="37">
      <c r="G37" s="3" t="n"/>
      <c r="H37" s="3" t="n"/>
      <c r="I37" s="3" t="n"/>
      <c r="J37" s="3" t="n"/>
    </row>
    <row r="38">
      <c r="G38" s="3" t="n"/>
      <c r="H38" s="3" t="n"/>
      <c r="I38" s="3" t="n"/>
      <c r="J38" s="3" t="n"/>
    </row>
    <row r="39">
      <c r="G39" s="3" t="n"/>
      <c r="H39" s="3" t="n"/>
      <c r="I39" s="3" t="n"/>
      <c r="J39" s="3" t="n"/>
    </row>
    <row r="40">
      <c r="G40" s="3" t="n"/>
      <c r="H40" s="3" t="n"/>
      <c r="I40" s="3" t="n"/>
      <c r="J40" s="3" t="n"/>
    </row>
    <row r="41">
      <c r="G41" s="3" t="n"/>
      <c r="H41" s="3" t="n"/>
      <c r="I41" s="3" t="n"/>
      <c r="J41" s="3" t="n"/>
    </row>
    <row r="42">
      <c r="G42" s="3" t="n"/>
      <c r="H42" s="3" t="n"/>
      <c r="I42" s="3" t="n"/>
      <c r="J42" s="3" t="n"/>
    </row>
    <row r="43">
      <c r="G43" s="3" t="n"/>
      <c r="H43" s="3" t="n"/>
      <c r="I43" s="3" t="n"/>
      <c r="J43" s="3" t="n"/>
    </row>
    <row r="44">
      <c r="G44" s="3" t="n"/>
      <c r="H44" s="3" t="n"/>
      <c r="I44" s="3" t="n"/>
      <c r="J44" s="3" t="n"/>
    </row>
    <row r="45">
      <c r="G45" s="3" t="n"/>
      <c r="H45" s="3" t="n"/>
      <c r="I45" s="3" t="n"/>
      <c r="J45" s="3" t="n"/>
    </row>
    <row r="46">
      <c r="G46" s="3" t="n"/>
      <c r="H46" s="3" t="n"/>
      <c r="I46" s="3" t="n"/>
      <c r="J46" s="3" t="n"/>
    </row>
    <row r="47">
      <c r="G47" s="3" t="n"/>
      <c r="H47" s="3" t="n"/>
      <c r="I47" s="3" t="n"/>
      <c r="J47" s="3" t="n"/>
    </row>
    <row r="48">
      <c r="G48" s="3" t="n"/>
      <c r="H48" s="3" t="n"/>
      <c r="I48" s="3" t="n"/>
      <c r="J48" s="3" t="n"/>
    </row>
    <row r="49">
      <c r="G49" s="3" t="n"/>
      <c r="H49" s="3" t="n"/>
      <c r="I49" s="3" t="n"/>
      <c r="J49" s="3" t="n"/>
    </row>
    <row r="50">
      <c r="G50" s="3" t="n"/>
      <c r="H50" s="3" t="n"/>
      <c r="I50" s="3" t="n"/>
      <c r="J50" s="3" t="n"/>
    </row>
    <row r="51">
      <c r="G51" s="3" t="n"/>
      <c r="H51" s="3" t="n"/>
      <c r="I51" s="3" t="n"/>
      <c r="J51" s="3" t="n"/>
    </row>
    <row r="52">
      <c r="G52" s="3" t="n"/>
      <c r="H52" s="3" t="n"/>
      <c r="I52" s="3" t="n"/>
      <c r="J52" s="3" t="n"/>
    </row>
    <row r="53">
      <c r="G53" s="3" t="n"/>
      <c r="H53" s="3" t="n"/>
      <c r="I53" s="3" t="n"/>
      <c r="J53" s="3" t="n"/>
    </row>
    <row r="54">
      <c r="G54" s="3" t="n"/>
      <c r="H54" s="3" t="n"/>
      <c r="I54" s="3" t="n"/>
      <c r="J54" s="3" t="n"/>
    </row>
    <row r="55">
      <c r="G55" s="3" t="n"/>
      <c r="H55" s="3" t="n"/>
      <c r="I55" s="3" t="n"/>
      <c r="J55" s="3" t="n"/>
    </row>
    <row r="56">
      <c r="G56" s="3" t="n"/>
      <c r="H56" s="3" t="n"/>
      <c r="I56" s="3" t="n"/>
      <c r="J56" s="3" t="n"/>
    </row>
    <row r="57">
      <c r="G57" s="3" t="n"/>
      <c r="H57" s="3" t="n"/>
      <c r="I57" s="3" t="n"/>
      <c r="J57" s="3" t="n"/>
    </row>
    <row r="58">
      <c r="G58" s="3" t="n"/>
      <c r="H58" s="3" t="n"/>
      <c r="I58" s="3" t="n"/>
      <c r="J58" s="3" t="n"/>
    </row>
    <row r="59">
      <c r="G59" s="3" t="n"/>
      <c r="H59" s="3" t="n"/>
      <c r="I59" s="3" t="n"/>
      <c r="J59" s="3" t="n"/>
    </row>
    <row r="60">
      <c r="G60" s="3" t="n"/>
      <c r="H60" s="3" t="n"/>
      <c r="I60" s="3" t="n"/>
      <c r="J60" s="3" t="n"/>
    </row>
    <row r="61">
      <c r="G61" s="3" t="n"/>
      <c r="H61" s="3" t="n"/>
      <c r="I61" s="3" t="n"/>
      <c r="J61" s="3" t="n"/>
    </row>
    <row r="62">
      <c r="G62" s="3" t="n"/>
      <c r="H62" s="3" t="n"/>
      <c r="I62" s="3" t="n"/>
      <c r="J62" s="3" t="n"/>
    </row>
    <row r="63">
      <c r="G63" s="3" t="n"/>
      <c r="H63" s="3" t="n"/>
      <c r="I63" s="3" t="n"/>
      <c r="J63" s="3" t="n"/>
    </row>
    <row r="64">
      <c r="G64" s="3" t="n"/>
      <c r="H64" s="3" t="n"/>
      <c r="I64" s="3" t="n"/>
      <c r="J64" s="3" t="n"/>
    </row>
    <row r="65">
      <c r="G65" s="3" t="n"/>
      <c r="H65" s="3" t="n"/>
      <c r="I65" s="3" t="n"/>
      <c r="J65" s="3" t="n"/>
    </row>
    <row r="66">
      <c r="G66" s="3" t="n"/>
      <c r="H66" s="3" t="n"/>
      <c r="I66" s="3" t="n"/>
      <c r="J66" s="3" t="n"/>
    </row>
    <row r="67">
      <c r="G67" s="3" t="n"/>
      <c r="H67" s="3" t="n"/>
      <c r="I67" s="3" t="n"/>
      <c r="J67" s="3" t="n"/>
    </row>
    <row r="68">
      <c r="G68" s="3" t="n"/>
      <c r="H68" s="3" t="n"/>
      <c r="I68" s="3" t="n"/>
      <c r="J68" s="3" t="n"/>
    </row>
    <row r="69">
      <c r="G69" s="3" t="n"/>
      <c r="H69" s="3" t="n"/>
      <c r="I69" s="3" t="n"/>
      <c r="J69" s="3" t="n"/>
    </row>
    <row r="70">
      <c r="G70" s="3" t="n"/>
      <c r="H70" s="3" t="n"/>
      <c r="I70" s="3" t="n"/>
      <c r="J70" s="3" t="n"/>
    </row>
    <row r="71">
      <c r="G71" s="3" t="n"/>
      <c r="H71" s="3" t="n"/>
      <c r="I71" s="3" t="n"/>
      <c r="J71" s="3" t="n"/>
    </row>
    <row r="72">
      <c r="G72" s="3" t="n"/>
      <c r="H72" s="3" t="n"/>
      <c r="I72" s="3" t="n"/>
      <c r="J72" s="3" t="n"/>
    </row>
    <row r="73">
      <c r="G73" s="3" t="n"/>
      <c r="H73" s="3" t="n"/>
      <c r="I73" s="3" t="n"/>
      <c r="J73" s="3" t="n"/>
    </row>
    <row r="74">
      <c r="G74" s="3" t="n"/>
      <c r="H74" s="3" t="n"/>
      <c r="I74" s="3" t="n"/>
      <c r="J74" s="3" t="n"/>
    </row>
    <row r="75">
      <c r="G75" s="3" t="n"/>
      <c r="H75" s="3" t="n"/>
      <c r="I75" s="3" t="n"/>
      <c r="J75" s="3" t="n"/>
    </row>
    <row r="76">
      <c r="G76" s="3" t="n"/>
      <c r="H76" s="3" t="n"/>
      <c r="I76" s="3" t="n"/>
      <c r="J76" s="3" t="n"/>
    </row>
    <row r="77">
      <c r="G77" s="3" t="n"/>
      <c r="H77" s="3" t="n"/>
      <c r="I77" s="3" t="n"/>
      <c r="J77" s="3" t="n"/>
    </row>
    <row r="78">
      <c r="G78" s="3" t="n"/>
      <c r="H78" s="3" t="n"/>
      <c r="I78" s="3" t="n"/>
      <c r="J78" s="3" t="n"/>
    </row>
    <row r="79">
      <c r="G79" s="3" t="n"/>
      <c r="H79" s="3" t="n"/>
      <c r="I79" s="3" t="n"/>
      <c r="J79" s="3" t="n"/>
    </row>
    <row r="80">
      <c r="G80" s="3" t="n"/>
      <c r="H80" s="3" t="n"/>
      <c r="I80" s="3" t="n"/>
      <c r="J80" s="3" t="n"/>
    </row>
    <row r="81">
      <c r="G81" s="3" t="n"/>
      <c r="H81" s="3" t="n"/>
      <c r="I81" s="3" t="n"/>
      <c r="J81" s="3" t="n"/>
    </row>
    <row r="82">
      <c r="G82" s="3" t="n"/>
      <c r="H82" s="3" t="n"/>
      <c r="I82" s="3" t="n"/>
      <c r="J82" s="3" t="n"/>
    </row>
    <row r="83">
      <c r="G83" s="3" t="n"/>
      <c r="H83" s="3" t="n"/>
      <c r="I83" s="3" t="n"/>
      <c r="J83" s="3" t="n"/>
    </row>
    <row r="84">
      <c r="G84" s="3" t="n"/>
      <c r="H84" s="3" t="n"/>
      <c r="I84" s="3" t="n"/>
      <c r="J84" s="3" t="n"/>
    </row>
    <row r="85">
      <c r="G85" s="3" t="n"/>
      <c r="H85" s="3" t="n"/>
      <c r="I85" s="3" t="n"/>
      <c r="J85" s="3" t="n"/>
    </row>
    <row r="86">
      <c r="G86" s="3" t="n"/>
      <c r="H86" s="3" t="n"/>
      <c r="I86" s="3" t="n"/>
      <c r="J86" s="3" t="n"/>
    </row>
    <row r="87">
      <c r="G87" s="3" t="n"/>
      <c r="H87" s="3" t="n"/>
      <c r="I87" s="3" t="n"/>
      <c r="J87" s="3" t="n"/>
    </row>
    <row r="88">
      <c r="G88" s="3" t="n"/>
      <c r="H88" s="3" t="n"/>
      <c r="I88" s="3" t="n"/>
      <c r="J88" s="3" t="n"/>
    </row>
    <row r="89">
      <c r="G89" s="3" t="n"/>
      <c r="H89" s="3" t="n"/>
      <c r="I89" s="3" t="n"/>
      <c r="J89" s="3" t="n"/>
    </row>
    <row r="90">
      <c r="G90" s="3" t="n"/>
      <c r="H90" s="3" t="n"/>
      <c r="I90" s="3" t="n"/>
      <c r="J90" s="3" t="n"/>
    </row>
    <row r="91">
      <c r="G91" s="3" t="n"/>
      <c r="H91" s="3" t="n"/>
      <c r="I91" s="3" t="n"/>
      <c r="J91" s="3" t="n"/>
    </row>
    <row r="92">
      <c r="G92" s="3" t="n"/>
      <c r="H92" s="3" t="n"/>
      <c r="I92" s="3" t="n"/>
      <c r="J92" s="3" t="n"/>
    </row>
    <row r="93">
      <c r="G93" s="3" t="n"/>
      <c r="H93" s="3" t="n"/>
      <c r="I93" s="3" t="n"/>
      <c r="J93" s="3" t="n"/>
    </row>
    <row r="94">
      <c r="G94" s="3" t="n"/>
      <c r="H94" s="3" t="n"/>
      <c r="I94" s="3" t="n"/>
      <c r="J94" s="3" t="n"/>
    </row>
    <row r="95">
      <c r="G95" s="3" t="n"/>
      <c r="H95" s="3" t="n"/>
      <c r="I95" s="3" t="n"/>
      <c r="J95" s="3" t="n"/>
    </row>
    <row r="96">
      <c r="G96" s="3" t="n"/>
      <c r="H96" s="3" t="n"/>
      <c r="I96" s="3" t="n"/>
      <c r="J96" s="3" t="n"/>
    </row>
    <row r="97">
      <c r="G97" s="3" t="n"/>
      <c r="H97" s="3" t="n"/>
      <c r="I97" s="3" t="n"/>
      <c r="J97" s="3" t="n"/>
    </row>
    <row r="98">
      <c r="G98" s="3" t="n"/>
      <c r="H98" s="3" t="n"/>
      <c r="I98" s="3" t="n"/>
      <c r="J98" s="3" t="n"/>
    </row>
    <row r="99">
      <c r="G99" s="3" t="n"/>
      <c r="H99" s="3" t="n"/>
      <c r="I99" s="3" t="n"/>
      <c r="J99" s="3" t="n"/>
    </row>
    <row r="100">
      <c r="G100" s="3" t="n"/>
      <c r="H100" s="3" t="n"/>
      <c r="I100" s="3" t="n"/>
      <c r="J100" s="3" t="n"/>
    </row>
    <row r="101">
      <c r="G101" s="3" t="n"/>
      <c r="H101" s="3" t="n"/>
      <c r="I101" s="3" t="n"/>
      <c r="J101" s="3" t="n"/>
    </row>
    <row r="102">
      <c r="G102" s="3" t="n"/>
      <c r="H102" s="3" t="n"/>
      <c r="I102" s="3" t="n"/>
      <c r="J102" s="3" t="n"/>
    </row>
    <row r="103">
      <c r="G103" s="3" t="n"/>
      <c r="H103" s="3" t="n"/>
      <c r="I103" s="3" t="n"/>
      <c r="J103" s="3" t="n"/>
    </row>
    <row r="104">
      <c r="G104" s="3" t="n"/>
      <c r="H104" s="3" t="n"/>
      <c r="I104" s="3" t="n"/>
      <c r="J104" s="3" t="n"/>
    </row>
    <row r="105">
      <c r="G105" s="3" t="n"/>
      <c r="H105" s="3" t="n"/>
      <c r="I105" s="3" t="n"/>
      <c r="J105" s="3" t="n"/>
    </row>
    <row r="106">
      <c r="G106" s="3" t="n"/>
      <c r="H106" s="3" t="n"/>
      <c r="I106" s="3" t="n"/>
      <c r="J106" s="3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2026-02-06T08:11:45Z</dcterms:created>
  <dcterms:modified xsi:type="dcterms:W3CDTF">2026-02-06T08:11:45Z</dcterms:modified>
</cp:coreProperties>
</file>