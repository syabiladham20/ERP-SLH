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ck Referenc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Hatchability Analysis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'Data'!K1</f>
            </strRef>
          </tx>
          <spPr>
            <a:ln>
              <a:prstDash val="solid"/>
            </a:ln>
          </spPr>
          <cat>
            <numRef>
              <f>'Data'!$O$2:$O$101</f>
            </numRef>
          </cat>
          <val>
            <numRef>
              <f>'Data'!$K$2:$K$101</f>
            </numRef>
          </val>
        </ser>
        <ser>
          <idx val="1"/>
          <order val="1"/>
          <tx>
            <strRef>
              <f>'Data'!G1</f>
            </strRef>
          </tx>
          <spPr>
            <a:ln>
              <a:prstDash val="solid"/>
            </a:ln>
          </spPr>
          <cat>
            <numRef>
              <f>'Data'!$O$2:$O$101</f>
            </numRef>
          </cat>
          <val>
            <numRef>
              <f>'Data'!$G$2:$G$101</f>
            </numRef>
          </val>
        </ser>
        <ser>
          <idx val="2"/>
          <order val="2"/>
          <tx>
            <strRef>
              <f>'Data'!I1</f>
            </strRef>
          </tx>
          <spPr>
            <a:ln>
              <a:prstDash val="solid"/>
            </a:ln>
          </spPr>
          <cat>
            <numRef>
              <f>'Data'!$O$2:$O$101</f>
            </numRef>
          </cat>
          <val>
            <numRef>
              <f>'Data'!$I$2:$I$101</f>
            </numRef>
          </val>
        </ser>
        <gapWidth val="150"/>
        <overlap val="100"/>
        <axId val="10"/>
        <axId val="100"/>
      </barChart>
      <lineChart>
        <grouping val="standard"/>
        <ser>
          <idx val="3"/>
          <order val="3"/>
          <tx>
            <strRef>
              <f>'Data'!M1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'Data'!$M$2:$M$101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Flock Age (Weeks)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Egg Composition (%)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Hatchability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Flock ID</t>
        </is>
      </c>
      <c r="B1" s="1" t="inlineStr">
        <is>
          <t>Intake Date</t>
        </is>
      </c>
    </row>
    <row r="2">
      <c r="A2" t="inlineStr">
        <is>
          <t>Example_Flock_01</t>
        </is>
      </c>
      <c r="B2" t="inlineStr">
        <is>
          <t>2023-01-01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</cols>
  <sheetData>
    <row r="1">
      <c r="A1" s="2" t="inlineStr">
        <is>
          <t>Setting Date</t>
        </is>
      </c>
      <c r="B1" s="2" t="inlineStr">
        <is>
          <t>Candling Date</t>
        </is>
      </c>
      <c r="C1" s="2" t="inlineStr">
        <is>
          <t>Hatching Date</t>
        </is>
      </c>
      <c r="D1" s="2" t="inlineStr">
        <is>
          <t>Flock ID</t>
        </is>
      </c>
      <c r="E1" s="2" t="inlineStr">
        <is>
          <t>Egg Set</t>
        </is>
      </c>
      <c r="F1" s="2" t="inlineStr">
        <is>
          <t>Clear Egg</t>
        </is>
      </c>
      <c r="G1" s="2" t="inlineStr">
        <is>
          <t>Clear Egg %</t>
        </is>
      </c>
      <c r="H1" s="2" t="inlineStr">
        <is>
          <t>Rotten Egg</t>
        </is>
      </c>
      <c r="I1" s="2" t="inlineStr">
        <is>
          <t>Rotten Egg %</t>
        </is>
      </c>
      <c r="J1" s="2" t="inlineStr">
        <is>
          <t>Hatchable Egg</t>
        </is>
      </c>
      <c r="K1" s="2" t="inlineStr">
        <is>
          <t>Hatchable Egg %</t>
        </is>
      </c>
      <c r="L1" s="2" t="inlineStr">
        <is>
          <t>Total Hatched</t>
        </is>
      </c>
      <c r="M1" s="2" t="inlineStr">
        <is>
          <t>Hatchability %</t>
        </is>
      </c>
      <c r="N1" s="2" t="inlineStr">
        <is>
          <t>Male Ratio %</t>
        </is>
      </c>
      <c r="O1" s="2" t="inlineStr">
        <is>
          <t>Flock Age (Weeks)</t>
        </is>
      </c>
    </row>
    <row r="2">
      <c r="G2" s="3">
        <f>IF(E2&gt;0, F2/E2, 0)</f>
        <v/>
      </c>
      <c r="I2" s="3">
        <f>IF(E2&gt;0, H2/E2, 0)</f>
        <v/>
      </c>
      <c r="J2">
        <f>IF(E2&gt;0, E2-F2-H2, 0)</f>
        <v/>
      </c>
      <c r="K2" s="3">
        <f>IF(E2&gt;0, J2/E2, 0)</f>
        <v/>
      </c>
      <c r="M2" s="3">
        <f>IF(E2&gt;0, L2/E2, 0)</f>
        <v/>
      </c>
      <c r="N2" s="3" t="n"/>
      <c r="O2">
        <f>IFERROR(INT((A2-1-VLOOKUP(D2,'Flock Reference'!$A:$B,2,FALSE))/7), "")</f>
        <v/>
      </c>
    </row>
    <row r="3">
      <c r="G3" s="3">
        <f>IF(E3&gt;0, F3/E3, 0)</f>
        <v/>
      </c>
      <c r="I3" s="3">
        <f>IF(E3&gt;0, H3/E3, 0)</f>
        <v/>
      </c>
      <c r="J3">
        <f>IF(E3&gt;0, E3-F3-H3, 0)</f>
        <v/>
      </c>
      <c r="K3" s="3">
        <f>IF(E3&gt;0, J3/E3, 0)</f>
        <v/>
      </c>
      <c r="M3" s="3">
        <f>IF(E3&gt;0, L3/E3, 0)</f>
        <v/>
      </c>
      <c r="N3" s="3" t="n"/>
      <c r="O3">
        <f>IFERROR(INT((A3-1-VLOOKUP(D3,'Flock Reference'!$A:$B,2,FALSE))/7), "")</f>
        <v/>
      </c>
    </row>
    <row r="4">
      <c r="G4" s="3">
        <f>IF(E4&gt;0, F4/E4, 0)</f>
        <v/>
      </c>
      <c r="I4" s="3">
        <f>IF(E4&gt;0, H4/E4, 0)</f>
        <v/>
      </c>
      <c r="J4">
        <f>IF(E4&gt;0, E4-F4-H4, 0)</f>
        <v/>
      </c>
      <c r="K4" s="3">
        <f>IF(E4&gt;0, J4/E4, 0)</f>
        <v/>
      </c>
      <c r="M4" s="3">
        <f>IF(E4&gt;0, L4/E4, 0)</f>
        <v/>
      </c>
      <c r="N4" s="3" t="n"/>
      <c r="O4">
        <f>IFERROR(INT((A4-1-VLOOKUP(D4,'Flock Reference'!$A:$B,2,FALSE))/7), "")</f>
        <v/>
      </c>
    </row>
    <row r="5">
      <c r="G5" s="3">
        <f>IF(E5&gt;0, F5/E5, 0)</f>
        <v/>
      </c>
      <c r="I5" s="3">
        <f>IF(E5&gt;0, H5/E5, 0)</f>
        <v/>
      </c>
      <c r="J5">
        <f>IF(E5&gt;0, E5-F5-H5, 0)</f>
        <v/>
      </c>
      <c r="K5" s="3">
        <f>IF(E5&gt;0, J5/E5, 0)</f>
        <v/>
      </c>
      <c r="M5" s="3">
        <f>IF(E5&gt;0, L5/E5, 0)</f>
        <v/>
      </c>
      <c r="N5" s="3" t="n"/>
      <c r="O5">
        <f>IFERROR(INT((A5-1-VLOOKUP(D5,'Flock Reference'!$A:$B,2,FALSE))/7), "")</f>
        <v/>
      </c>
    </row>
    <row r="6">
      <c r="G6" s="3">
        <f>IF(E6&gt;0, F6/E6, 0)</f>
        <v/>
      </c>
      <c r="I6" s="3">
        <f>IF(E6&gt;0, H6/E6, 0)</f>
        <v/>
      </c>
      <c r="J6">
        <f>IF(E6&gt;0, E6-F6-H6, 0)</f>
        <v/>
      </c>
      <c r="K6" s="3">
        <f>IF(E6&gt;0, J6/E6, 0)</f>
        <v/>
      </c>
      <c r="M6" s="3">
        <f>IF(E6&gt;0, L6/E6, 0)</f>
        <v/>
      </c>
      <c r="N6" s="3" t="n"/>
      <c r="O6">
        <f>IFERROR(INT((A6-1-VLOOKUP(D6,'Flock Reference'!$A:$B,2,FALSE))/7), "")</f>
        <v/>
      </c>
    </row>
    <row r="7">
      <c r="G7" s="3">
        <f>IF(E7&gt;0, F7/E7, 0)</f>
        <v/>
      </c>
      <c r="I7" s="3">
        <f>IF(E7&gt;0, H7/E7, 0)</f>
        <v/>
      </c>
      <c r="J7">
        <f>IF(E7&gt;0, E7-F7-H7, 0)</f>
        <v/>
      </c>
      <c r="K7" s="3">
        <f>IF(E7&gt;0, J7/E7, 0)</f>
        <v/>
      </c>
      <c r="M7" s="3">
        <f>IF(E7&gt;0, L7/E7, 0)</f>
        <v/>
      </c>
      <c r="N7" s="3" t="n"/>
      <c r="O7">
        <f>IFERROR(INT((A7-1-VLOOKUP(D7,'Flock Reference'!$A:$B,2,FALSE))/7), "")</f>
        <v/>
      </c>
    </row>
    <row r="8">
      <c r="G8" s="3">
        <f>IF(E8&gt;0, F8/E8, 0)</f>
        <v/>
      </c>
      <c r="I8" s="3">
        <f>IF(E8&gt;0, H8/E8, 0)</f>
        <v/>
      </c>
      <c r="J8">
        <f>IF(E8&gt;0, E8-F8-H8, 0)</f>
        <v/>
      </c>
      <c r="K8" s="3">
        <f>IF(E8&gt;0, J8/E8, 0)</f>
        <v/>
      </c>
      <c r="M8" s="3">
        <f>IF(E8&gt;0, L8/E8, 0)</f>
        <v/>
      </c>
      <c r="N8" s="3" t="n"/>
      <c r="O8">
        <f>IFERROR(INT((A8-1-VLOOKUP(D8,'Flock Reference'!$A:$B,2,FALSE))/7), "")</f>
        <v/>
      </c>
    </row>
    <row r="9">
      <c r="G9" s="3">
        <f>IF(E9&gt;0, F9/E9, 0)</f>
        <v/>
      </c>
      <c r="I9" s="3">
        <f>IF(E9&gt;0, H9/E9, 0)</f>
        <v/>
      </c>
      <c r="J9">
        <f>IF(E9&gt;0, E9-F9-H9, 0)</f>
        <v/>
      </c>
      <c r="K9" s="3">
        <f>IF(E9&gt;0, J9/E9, 0)</f>
        <v/>
      </c>
      <c r="M9" s="3">
        <f>IF(E9&gt;0, L9/E9, 0)</f>
        <v/>
      </c>
      <c r="N9" s="3" t="n"/>
      <c r="O9">
        <f>IFERROR(INT((A9-1-VLOOKUP(D9,'Flock Reference'!$A:$B,2,FALSE))/7), "")</f>
        <v/>
      </c>
    </row>
    <row r="10">
      <c r="G10" s="3">
        <f>IF(E10&gt;0, F10/E10, 0)</f>
        <v/>
      </c>
      <c r="I10" s="3">
        <f>IF(E10&gt;0, H10/E10, 0)</f>
        <v/>
      </c>
      <c r="J10">
        <f>IF(E10&gt;0, E10-F10-H10, 0)</f>
        <v/>
      </c>
      <c r="K10" s="3">
        <f>IF(E10&gt;0, J10/E10, 0)</f>
        <v/>
      </c>
      <c r="M10" s="3">
        <f>IF(E10&gt;0, L10/E10, 0)</f>
        <v/>
      </c>
      <c r="N10" s="3" t="n"/>
      <c r="O10">
        <f>IFERROR(INT((A10-1-VLOOKUP(D10,'Flock Reference'!$A:$B,2,FALSE))/7), "")</f>
        <v/>
      </c>
    </row>
    <row r="11">
      <c r="G11" s="3">
        <f>IF(E11&gt;0, F11/E11, 0)</f>
        <v/>
      </c>
      <c r="I11" s="3">
        <f>IF(E11&gt;0, H11/E11, 0)</f>
        <v/>
      </c>
      <c r="J11">
        <f>IF(E11&gt;0, E11-F11-H11, 0)</f>
        <v/>
      </c>
      <c r="K11" s="3">
        <f>IF(E11&gt;0, J11/E11, 0)</f>
        <v/>
      </c>
      <c r="M11" s="3">
        <f>IF(E11&gt;0, L11/E11, 0)</f>
        <v/>
      </c>
      <c r="N11" s="3" t="n"/>
      <c r="O11">
        <f>IFERROR(INT((A11-1-VLOOKUP(D11,'Flock Reference'!$A:$B,2,FALSE))/7), "")</f>
        <v/>
      </c>
    </row>
    <row r="12">
      <c r="G12" s="3">
        <f>IF(E12&gt;0, F12/E12, 0)</f>
        <v/>
      </c>
      <c r="I12" s="3">
        <f>IF(E12&gt;0, H12/E12, 0)</f>
        <v/>
      </c>
      <c r="J12">
        <f>IF(E12&gt;0, E12-F12-H12, 0)</f>
        <v/>
      </c>
      <c r="K12" s="3">
        <f>IF(E12&gt;0, J12/E12, 0)</f>
        <v/>
      </c>
      <c r="M12" s="3">
        <f>IF(E12&gt;0, L12/E12, 0)</f>
        <v/>
      </c>
      <c r="N12" s="3" t="n"/>
      <c r="O12">
        <f>IFERROR(INT((A12-1-VLOOKUP(D12,'Flock Reference'!$A:$B,2,FALSE))/7), "")</f>
        <v/>
      </c>
    </row>
    <row r="13">
      <c r="G13" s="3">
        <f>IF(E13&gt;0, F13/E13, 0)</f>
        <v/>
      </c>
      <c r="I13" s="3">
        <f>IF(E13&gt;0, H13/E13, 0)</f>
        <v/>
      </c>
      <c r="J13">
        <f>IF(E13&gt;0, E13-F13-H13, 0)</f>
        <v/>
      </c>
      <c r="K13" s="3">
        <f>IF(E13&gt;0, J13/E13, 0)</f>
        <v/>
      </c>
      <c r="M13" s="3">
        <f>IF(E13&gt;0, L13/E13, 0)</f>
        <v/>
      </c>
      <c r="N13" s="3" t="n"/>
      <c r="O13">
        <f>IFERROR(INT((A13-1-VLOOKUP(D13,'Flock Reference'!$A:$B,2,FALSE))/7), "")</f>
        <v/>
      </c>
    </row>
    <row r="14">
      <c r="G14" s="3">
        <f>IF(E14&gt;0, F14/E14, 0)</f>
        <v/>
      </c>
      <c r="I14" s="3">
        <f>IF(E14&gt;0, H14/E14, 0)</f>
        <v/>
      </c>
      <c r="J14">
        <f>IF(E14&gt;0, E14-F14-H14, 0)</f>
        <v/>
      </c>
      <c r="K14" s="3">
        <f>IF(E14&gt;0, J14/E14, 0)</f>
        <v/>
      </c>
      <c r="M14" s="3">
        <f>IF(E14&gt;0, L14/E14, 0)</f>
        <v/>
      </c>
      <c r="N14" s="3" t="n"/>
      <c r="O14">
        <f>IFERROR(INT((A14-1-VLOOKUP(D14,'Flock Reference'!$A:$B,2,FALSE))/7), "")</f>
        <v/>
      </c>
    </row>
    <row r="15">
      <c r="G15" s="3">
        <f>IF(E15&gt;0, F15/E15, 0)</f>
        <v/>
      </c>
      <c r="I15" s="3">
        <f>IF(E15&gt;0, H15/E15, 0)</f>
        <v/>
      </c>
      <c r="J15">
        <f>IF(E15&gt;0, E15-F15-H15, 0)</f>
        <v/>
      </c>
      <c r="K15" s="3">
        <f>IF(E15&gt;0, J15/E15, 0)</f>
        <v/>
      </c>
      <c r="M15" s="3">
        <f>IF(E15&gt;0, L15/E15, 0)</f>
        <v/>
      </c>
      <c r="N15" s="3" t="n"/>
      <c r="O15">
        <f>IFERROR(INT((A15-1-VLOOKUP(D15,'Flock Reference'!$A:$B,2,FALSE))/7), "")</f>
        <v/>
      </c>
    </row>
    <row r="16">
      <c r="G16" s="3">
        <f>IF(E16&gt;0, F16/E16, 0)</f>
        <v/>
      </c>
      <c r="I16" s="3">
        <f>IF(E16&gt;0, H16/E16, 0)</f>
        <v/>
      </c>
      <c r="J16">
        <f>IF(E16&gt;0, E16-F16-H16, 0)</f>
        <v/>
      </c>
      <c r="K16" s="3">
        <f>IF(E16&gt;0, J16/E16, 0)</f>
        <v/>
      </c>
      <c r="M16" s="3">
        <f>IF(E16&gt;0, L16/E16, 0)</f>
        <v/>
      </c>
      <c r="N16" s="3" t="n"/>
      <c r="O16">
        <f>IFERROR(INT((A16-1-VLOOKUP(D16,'Flock Reference'!$A:$B,2,FALSE))/7), "")</f>
        <v/>
      </c>
    </row>
    <row r="17">
      <c r="G17" s="3">
        <f>IF(E17&gt;0, F17/E17, 0)</f>
        <v/>
      </c>
      <c r="I17" s="3">
        <f>IF(E17&gt;0, H17/E17, 0)</f>
        <v/>
      </c>
      <c r="J17">
        <f>IF(E17&gt;0, E17-F17-H17, 0)</f>
        <v/>
      </c>
      <c r="K17" s="3">
        <f>IF(E17&gt;0, J17/E17, 0)</f>
        <v/>
      </c>
      <c r="M17" s="3">
        <f>IF(E17&gt;0, L17/E17, 0)</f>
        <v/>
      </c>
      <c r="N17" s="3" t="n"/>
      <c r="O17">
        <f>IFERROR(INT((A17-1-VLOOKUP(D17,'Flock Reference'!$A:$B,2,FALSE))/7), "")</f>
        <v/>
      </c>
    </row>
    <row r="18">
      <c r="G18" s="3">
        <f>IF(E18&gt;0, F18/E18, 0)</f>
        <v/>
      </c>
      <c r="I18" s="3">
        <f>IF(E18&gt;0, H18/E18, 0)</f>
        <v/>
      </c>
      <c r="J18">
        <f>IF(E18&gt;0, E18-F18-H18, 0)</f>
        <v/>
      </c>
      <c r="K18" s="3">
        <f>IF(E18&gt;0, J18/E18, 0)</f>
        <v/>
      </c>
      <c r="M18" s="3">
        <f>IF(E18&gt;0, L18/E18, 0)</f>
        <v/>
      </c>
      <c r="N18" s="3" t="n"/>
      <c r="O18">
        <f>IFERROR(INT((A18-1-VLOOKUP(D18,'Flock Reference'!$A:$B,2,FALSE))/7), "")</f>
        <v/>
      </c>
    </row>
    <row r="19">
      <c r="G19" s="3">
        <f>IF(E19&gt;0, F19/E19, 0)</f>
        <v/>
      </c>
      <c r="I19" s="3">
        <f>IF(E19&gt;0, H19/E19, 0)</f>
        <v/>
      </c>
      <c r="J19">
        <f>IF(E19&gt;0, E19-F19-H19, 0)</f>
        <v/>
      </c>
      <c r="K19" s="3">
        <f>IF(E19&gt;0, J19/E19, 0)</f>
        <v/>
      </c>
      <c r="M19" s="3">
        <f>IF(E19&gt;0, L19/E19, 0)</f>
        <v/>
      </c>
      <c r="N19" s="3" t="n"/>
      <c r="O19">
        <f>IFERROR(INT((A19-1-VLOOKUP(D19,'Flock Reference'!$A:$B,2,FALSE))/7), "")</f>
        <v/>
      </c>
    </row>
    <row r="20">
      <c r="G20" s="3">
        <f>IF(E20&gt;0, F20/E20, 0)</f>
        <v/>
      </c>
      <c r="I20" s="3">
        <f>IF(E20&gt;0, H20/E20, 0)</f>
        <v/>
      </c>
      <c r="J20">
        <f>IF(E20&gt;0, E20-F20-H20, 0)</f>
        <v/>
      </c>
      <c r="K20" s="3">
        <f>IF(E20&gt;0, J20/E20, 0)</f>
        <v/>
      </c>
      <c r="M20" s="3">
        <f>IF(E20&gt;0, L20/E20, 0)</f>
        <v/>
      </c>
      <c r="N20" s="3" t="n"/>
      <c r="O20">
        <f>IFERROR(INT((A20-1-VLOOKUP(D20,'Flock Reference'!$A:$B,2,FALSE))/7), "")</f>
        <v/>
      </c>
    </row>
    <row r="21">
      <c r="G21" s="3">
        <f>IF(E21&gt;0, F21/E21, 0)</f>
        <v/>
      </c>
      <c r="I21" s="3">
        <f>IF(E21&gt;0, H21/E21, 0)</f>
        <v/>
      </c>
      <c r="J21">
        <f>IF(E21&gt;0, E21-F21-H21, 0)</f>
        <v/>
      </c>
      <c r="K21" s="3">
        <f>IF(E21&gt;0, J21/E21, 0)</f>
        <v/>
      </c>
      <c r="M21" s="3">
        <f>IF(E21&gt;0, L21/E21, 0)</f>
        <v/>
      </c>
      <c r="N21" s="3" t="n"/>
      <c r="O21">
        <f>IFERROR(INT((A21-1-VLOOKUP(D21,'Flock Reference'!$A:$B,2,FALSE))/7), "")</f>
        <v/>
      </c>
    </row>
    <row r="22">
      <c r="G22" s="3">
        <f>IF(E22&gt;0, F22/E22, 0)</f>
        <v/>
      </c>
      <c r="I22" s="3">
        <f>IF(E22&gt;0, H22/E22, 0)</f>
        <v/>
      </c>
      <c r="J22">
        <f>IF(E22&gt;0, E22-F22-H22, 0)</f>
        <v/>
      </c>
      <c r="K22" s="3">
        <f>IF(E22&gt;0, J22/E22, 0)</f>
        <v/>
      </c>
      <c r="M22" s="3">
        <f>IF(E22&gt;0, L22/E22, 0)</f>
        <v/>
      </c>
      <c r="N22" s="3" t="n"/>
      <c r="O22">
        <f>IFERROR(INT((A22-1-VLOOKUP(D22,'Flock Reference'!$A:$B,2,FALSE))/7), "")</f>
        <v/>
      </c>
    </row>
    <row r="23">
      <c r="G23" s="3">
        <f>IF(E23&gt;0, F23/E23, 0)</f>
        <v/>
      </c>
      <c r="I23" s="3">
        <f>IF(E23&gt;0, H23/E23, 0)</f>
        <v/>
      </c>
      <c r="J23">
        <f>IF(E23&gt;0, E23-F23-H23, 0)</f>
        <v/>
      </c>
      <c r="K23" s="3">
        <f>IF(E23&gt;0, J23/E23, 0)</f>
        <v/>
      </c>
      <c r="M23" s="3">
        <f>IF(E23&gt;0, L23/E23, 0)</f>
        <v/>
      </c>
      <c r="N23" s="3" t="n"/>
      <c r="O23">
        <f>IFERROR(INT((A23-1-VLOOKUP(D23,'Flock Reference'!$A:$B,2,FALSE))/7), "")</f>
        <v/>
      </c>
    </row>
    <row r="24">
      <c r="G24" s="3">
        <f>IF(E24&gt;0, F24/E24, 0)</f>
        <v/>
      </c>
      <c r="I24" s="3">
        <f>IF(E24&gt;0, H24/E24, 0)</f>
        <v/>
      </c>
      <c r="J24">
        <f>IF(E24&gt;0, E24-F24-H24, 0)</f>
        <v/>
      </c>
      <c r="K24" s="3">
        <f>IF(E24&gt;0, J24/E24, 0)</f>
        <v/>
      </c>
      <c r="M24" s="3">
        <f>IF(E24&gt;0, L24/E24, 0)</f>
        <v/>
      </c>
      <c r="N24" s="3" t="n"/>
      <c r="O24">
        <f>IFERROR(INT((A24-1-VLOOKUP(D24,'Flock Reference'!$A:$B,2,FALSE))/7), "")</f>
        <v/>
      </c>
    </row>
    <row r="25">
      <c r="G25" s="3">
        <f>IF(E25&gt;0, F25/E25, 0)</f>
        <v/>
      </c>
      <c r="I25" s="3">
        <f>IF(E25&gt;0, H25/E25, 0)</f>
        <v/>
      </c>
      <c r="J25">
        <f>IF(E25&gt;0, E25-F25-H25, 0)</f>
        <v/>
      </c>
      <c r="K25" s="3">
        <f>IF(E25&gt;0, J25/E25, 0)</f>
        <v/>
      </c>
      <c r="M25" s="3">
        <f>IF(E25&gt;0, L25/E25, 0)</f>
        <v/>
      </c>
      <c r="N25" s="3" t="n"/>
      <c r="O25">
        <f>IFERROR(INT((A25-1-VLOOKUP(D25,'Flock Reference'!$A:$B,2,FALSE))/7), "")</f>
        <v/>
      </c>
    </row>
    <row r="26">
      <c r="G26" s="3">
        <f>IF(E26&gt;0, F26/E26, 0)</f>
        <v/>
      </c>
      <c r="I26" s="3">
        <f>IF(E26&gt;0, H26/E26, 0)</f>
        <v/>
      </c>
      <c r="J26">
        <f>IF(E26&gt;0, E26-F26-H26, 0)</f>
        <v/>
      </c>
      <c r="K26" s="3">
        <f>IF(E26&gt;0, J26/E26, 0)</f>
        <v/>
      </c>
      <c r="M26" s="3">
        <f>IF(E26&gt;0, L26/E26, 0)</f>
        <v/>
      </c>
      <c r="N26" s="3" t="n"/>
      <c r="O26">
        <f>IFERROR(INT((A26-1-VLOOKUP(D26,'Flock Reference'!$A:$B,2,FALSE))/7), "")</f>
        <v/>
      </c>
    </row>
    <row r="27">
      <c r="G27" s="3">
        <f>IF(E27&gt;0, F27/E27, 0)</f>
        <v/>
      </c>
      <c r="I27" s="3">
        <f>IF(E27&gt;0, H27/E27, 0)</f>
        <v/>
      </c>
      <c r="J27">
        <f>IF(E27&gt;0, E27-F27-H27, 0)</f>
        <v/>
      </c>
      <c r="K27" s="3">
        <f>IF(E27&gt;0, J27/E27, 0)</f>
        <v/>
      </c>
      <c r="M27" s="3">
        <f>IF(E27&gt;0, L27/E27, 0)</f>
        <v/>
      </c>
      <c r="N27" s="3" t="n"/>
      <c r="O27">
        <f>IFERROR(INT((A27-1-VLOOKUP(D27,'Flock Reference'!$A:$B,2,FALSE))/7), "")</f>
        <v/>
      </c>
    </row>
    <row r="28">
      <c r="G28" s="3">
        <f>IF(E28&gt;0, F28/E28, 0)</f>
        <v/>
      </c>
      <c r="I28" s="3">
        <f>IF(E28&gt;0, H28/E28, 0)</f>
        <v/>
      </c>
      <c r="J28">
        <f>IF(E28&gt;0, E28-F28-H28, 0)</f>
        <v/>
      </c>
      <c r="K28" s="3">
        <f>IF(E28&gt;0, J28/E28, 0)</f>
        <v/>
      </c>
      <c r="M28" s="3">
        <f>IF(E28&gt;0, L28/E28, 0)</f>
        <v/>
      </c>
      <c r="N28" s="3" t="n"/>
      <c r="O28">
        <f>IFERROR(INT((A28-1-VLOOKUP(D28,'Flock Reference'!$A:$B,2,FALSE))/7), "")</f>
        <v/>
      </c>
    </row>
    <row r="29">
      <c r="G29" s="3">
        <f>IF(E29&gt;0, F29/E29, 0)</f>
        <v/>
      </c>
      <c r="I29" s="3">
        <f>IF(E29&gt;0, H29/E29, 0)</f>
        <v/>
      </c>
      <c r="J29">
        <f>IF(E29&gt;0, E29-F29-H29, 0)</f>
        <v/>
      </c>
      <c r="K29" s="3">
        <f>IF(E29&gt;0, J29/E29, 0)</f>
        <v/>
      </c>
      <c r="M29" s="3">
        <f>IF(E29&gt;0, L29/E29, 0)</f>
        <v/>
      </c>
      <c r="N29" s="3" t="n"/>
      <c r="O29">
        <f>IFERROR(INT((A29-1-VLOOKUP(D29,'Flock Reference'!$A:$B,2,FALSE))/7), "")</f>
        <v/>
      </c>
    </row>
    <row r="30">
      <c r="G30" s="3">
        <f>IF(E30&gt;0, F30/E30, 0)</f>
        <v/>
      </c>
      <c r="I30" s="3">
        <f>IF(E30&gt;0, H30/E30, 0)</f>
        <v/>
      </c>
      <c r="J30">
        <f>IF(E30&gt;0, E30-F30-H30, 0)</f>
        <v/>
      </c>
      <c r="K30" s="3">
        <f>IF(E30&gt;0, J30/E30, 0)</f>
        <v/>
      </c>
      <c r="M30" s="3">
        <f>IF(E30&gt;0, L30/E30, 0)</f>
        <v/>
      </c>
      <c r="N30" s="3" t="n"/>
      <c r="O30">
        <f>IFERROR(INT((A30-1-VLOOKUP(D30,'Flock Reference'!$A:$B,2,FALSE))/7), "")</f>
        <v/>
      </c>
    </row>
    <row r="31">
      <c r="G31" s="3">
        <f>IF(E31&gt;0, F31/E31, 0)</f>
        <v/>
      </c>
      <c r="I31" s="3">
        <f>IF(E31&gt;0, H31/E31, 0)</f>
        <v/>
      </c>
      <c r="J31">
        <f>IF(E31&gt;0, E31-F31-H31, 0)</f>
        <v/>
      </c>
      <c r="K31" s="3">
        <f>IF(E31&gt;0, J31/E31, 0)</f>
        <v/>
      </c>
      <c r="M31" s="3">
        <f>IF(E31&gt;0, L31/E31, 0)</f>
        <v/>
      </c>
      <c r="N31" s="3" t="n"/>
      <c r="O31">
        <f>IFERROR(INT((A31-1-VLOOKUP(D31,'Flock Reference'!$A:$B,2,FALSE))/7), "")</f>
        <v/>
      </c>
    </row>
    <row r="32">
      <c r="G32" s="3">
        <f>IF(E32&gt;0, F32/E32, 0)</f>
        <v/>
      </c>
      <c r="I32" s="3">
        <f>IF(E32&gt;0, H32/E32, 0)</f>
        <v/>
      </c>
      <c r="J32">
        <f>IF(E32&gt;0, E32-F32-H32, 0)</f>
        <v/>
      </c>
      <c r="K32" s="3">
        <f>IF(E32&gt;0, J32/E32, 0)</f>
        <v/>
      </c>
      <c r="M32" s="3">
        <f>IF(E32&gt;0, L32/E32, 0)</f>
        <v/>
      </c>
      <c r="N32" s="3" t="n"/>
      <c r="O32">
        <f>IFERROR(INT((A32-1-VLOOKUP(D32,'Flock Reference'!$A:$B,2,FALSE))/7), "")</f>
        <v/>
      </c>
    </row>
    <row r="33">
      <c r="G33" s="3">
        <f>IF(E33&gt;0, F33/E33, 0)</f>
        <v/>
      </c>
      <c r="I33" s="3">
        <f>IF(E33&gt;0, H33/E33, 0)</f>
        <v/>
      </c>
      <c r="J33">
        <f>IF(E33&gt;0, E33-F33-H33, 0)</f>
        <v/>
      </c>
      <c r="K33" s="3">
        <f>IF(E33&gt;0, J33/E33, 0)</f>
        <v/>
      </c>
      <c r="M33" s="3">
        <f>IF(E33&gt;0, L33/E33, 0)</f>
        <v/>
      </c>
      <c r="N33" s="3" t="n"/>
      <c r="O33">
        <f>IFERROR(INT((A33-1-VLOOKUP(D33,'Flock Reference'!$A:$B,2,FALSE))/7), "")</f>
        <v/>
      </c>
    </row>
    <row r="34">
      <c r="G34" s="3">
        <f>IF(E34&gt;0, F34/E34, 0)</f>
        <v/>
      </c>
      <c r="I34" s="3">
        <f>IF(E34&gt;0, H34/E34, 0)</f>
        <v/>
      </c>
      <c r="J34">
        <f>IF(E34&gt;0, E34-F34-H34, 0)</f>
        <v/>
      </c>
      <c r="K34" s="3">
        <f>IF(E34&gt;0, J34/E34, 0)</f>
        <v/>
      </c>
      <c r="M34" s="3">
        <f>IF(E34&gt;0, L34/E34, 0)</f>
        <v/>
      </c>
      <c r="N34" s="3" t="n"/>
      <c r="O34">
        <f>IFERROR(INT((A34-1-VLOOKUP(D34,'Flock Reference'!$A:$B,2,FALSE))/7), "")</f>
        <v/>
      </c>
    </row>
    <row r="35">
      <c r="G35" s="3">
        <f>IF(E35&gt;0, F35/E35, 0)</f>
        <v/>
      </c>
      <c r="I35" s="3">
        <f>IF(E35&gt;0, H35/E35, 0)</f>
        <v/>
      </c>
      <c r="J35">
        <f>IF(E35&gt;0, E35-F35-H35, 0)</f>
        <v/>
      </c>
      <c r="K35" s="3">
        <f>IF(E35&gt;0, J35/E35, 0)</f>
        <v/>
      </c>
      <c r="M35" s="3">
        <f>IF(E35&gt;0, L35/E35, 0)</f>
        <v/>
      </c>
      <c r="N35" s="3" t="n"/>
      <c r="O35">
        <f>IFERROR(INT((A35-1-VLOOKUP(D35,'Flock Reference'!$A:$B,2,FALSE))/7), "")</f>
        <v/>
      </c>
    </row>
    <row r="36">
      <c r="G36" s="3">
        <f>IF(E36&gt;0, F36/E36, 0)</f>
        <v/>
      </c>
      <c r="I36" s="3">
        <f>IF(E36&gt;0, H36/E36, 0)</f>
        <v/>
      </c>
      <c r="J36">
        <f>IF(E36&gt;0, E36-F36-H36, 0)</f>
        <v/>
      </c>
      <c r="K36" s="3">
        <f>IF(E36&gt;0, J36/E36, 0)</f>
        <v/>
      </c>
      <c r="M36" s="3">
        <f>IF(E36&gt;0, L36/E36, 0)</f>
        <v/>
      </c>
      <c r="N36" s="3" t="n"/>
      <c r="O36">
        <f>IFERROR(INT((A36-1-VLOOKUP(D36,'Flock Reference'!$A:$B,2,FALSE))/7), "")</f>
        <v/>
      </c>
    </row>
    <row r="37">
      <c r="G37" s="3">
        <f>IF(E37&gt;0, F37/E37, 0)</f>
        <v/>
      </c>
      <c r="I37" s="3">
        <f>IF(E37&gt;0, H37/E37, 0)</f>
        <v/>
      </c>
      <c r="J37">
        <f>IF(E37&gt;0, E37-F37-H37, 0)</f>
        <v/>
      </c>
      <c r="K37" s="3">
        <f>IF(E37&gt;0, J37/E37, 0)</f>
        <v/>
      </c>
      <c r="M37" s="3">
        <f>IF(E37&gt;0, L37/E37, 0)</f>
        <v/>
      </c>
      <c r="N37" s="3" t="n"/>
      <c r="O37">
        <f>IFERROR(INT((A37-1-VLOOKUP(D37,'Flock Reference'!$A:$B,2,FALSE))/7), "")</f>
        <v/>
      </c>
    </row>
    <row r="38">
      <c r="G38" s="3">
        <f>IF(E38&gt;0, F38/E38, 0)</f>
        <v/>
      </c>
      <c r="I38" s="3">
        <f>IF(E38&gt;0, H38/E38, 0)</f>
        <v/>
      </c>
      <c r="J38">
        <f>IF(E38&gt;0, E38-F38-H38, 0)</f>
        <v/>
      </c>
      <c r="K38" s="3">
        <f>IF(E38&gt;0, J38/E38, 0)</f>
        <v/>
      </c>
      <c r="M38" s="3">
        <f>IF(E38&gt;0, L38/E38, 0)</f>
        <v/>
      </c>
      <c r="N38" s="3" t="n"/>
      <c r="O38">
        <f>IFERROR(INT((A38-1-VLOOKUP(D38,'Flock Reference'!$A:$B,2,FALSE))/7), "")</f>
        <v/>
      </c>
    </row>
    <row r="39">
      <c r="G39" s="3">
        <f>IF(E39&gt;0, F39/E39, 0)</f>
        <v/>
      </c>
      <c r="I39" s="3">
        <f>IF(E39&gt;0, H39/E39, 0)</f>
        <v/>
      </c>
      <c r="J39">
        <f>IF(E39&gt;0, E39-F39-H39, 0)</f>
        <v/>
      </c>
      <c r="K39" s="3">
        <f>IF(E39&gt;0, J39/E39, 0)</f>
        <v/>
      </c>
      <c r="M39" s="3">
        <f>IF(E39&gt;0, L39/E39, 0)</f>
        <v/>
      </c>
      <c r="N39" s="3" t="n"/>
      <c r="O39">
        <f>IFERROR(INT((A39-1-VLOOKUP(D39,'Flock Reference'!$A:$B,2,FALSE))/7), "")</f>
        <v/>
      </c>
    </row>
    <row r="40">
      <c r="G40" s="3">
        <f>IF(E40&gt;0, F40/E40, 0)</f>
        <v/>
      </c>
      <c r="I40" s="3">
        <f>IF(E40&gt;0, H40/E40, 0)</f>
        <v/>
      </c>
      <c r="J40">
        <f>IF(E40&gt;0, E40-F40-H40, 0)</f>
        <v/>
      </c>
      <c r="K40" s="3">
        <f>IF(E40&gt;0, J40/E40, 0)</f>
        <v/>
      </c>
      <c r="M40" s="3">
        <f>IF(E40&gt;0, L40/E40, 0)</f>
        <v/>
      </c>
      <c r="N40" s="3" t="n"/>
      <c r="O40">
        <f>IFERROR(INT((A40-1-VLOOKUP(D40,'Flock Reference'!$A:$B,2,FALSE))/7), "")</f>
        <v/>
      </c>
    </row>
    <row r="41">
      <c r="G41" s="3">
        <f>IF(E41&gt;0, F41/E41, 0)</f>
        <v/>
      </c>
      <c r="I41" s="3">
        <f>IF(E41&gt;0, H41/E41, 0)</f>
        <v/>
      </c>
      <c r="J41">
        <f>IF(E41&gt;0, E41-F41-H41, 0)</f>
        <v/>
      </c>
      <c r="K41" s="3">
        <f>IF(E41&gt;0, J41/E41, 0)</f>
        <v/>
      </c>
      <c r="M41" s="3">
        <f>IF(E41&gt;0, L41/E41, 0)</f>
        <v/>
      </c>
      <c r="N41" s="3" t="n"/>
      <c r="O41">
        <f>IFERROR(INT((A41-1-VLOOKUP(D41,'Flock Reference'!$A:$B,2,FALSE))/7), "")</f>
        <v/>
      </c>
    </row>
    <row r="42">
      <c r="G42" s="3">
        <f>IF(E42&gt;0, F42/E42, 0)</f>
        <v/>
      </c>
      <c r="I42" s="3">
        <f>IF(E42&gt;0, H42/E42, 0)</f>
        <v/>
      </c>
      <c r="J42">
        <f>IF(E42&gt;0, E42-F42-H42, 0)</f>
        <v/>
      </c>
      <c r="K42" s="3">
        <f>IF(E42&gt;0, J42/E42, 0)</f>
        <v/>
      </c>
      <c r="M42" s="3">
        <f>IF(E42&gt;0, L42/E42, 0)</f>
        <v/>
      </c>
      <c r="N42" s="3" t="n"/>
      <c r="O42">
        <f>IFERROR(INT((A42-1-VLOOKUP(D42,'Flock Reference'!$A:$B,2,FALSE))/7), "")</f>
        <v/>
      </c>
    </row>
    <row r="43">
      <c r="G43" s="3">
        <f>IF(E43&gt;0, F43/E43, 0)</f>
        <v/>
      </c>
      <c r="I43" s="3">
        <f>IF(E43&gt;0, H43/E43, 0)</f>
        <v/>
      </c>
      <c r="J43">
        <f>IF(E43&gt;0, E43-F43-H43, 0)</f>
        <v/>
      </c>
      <c r="K43" s="3">
        <f>IF(E43&gt;0, J43/E43, 0)</f>
        <v/>
      </c>
      <c r="M43" s="3">
        <f>IF(E43&gt;0, L43/E43, 0)</f>
        <v/>
      </c>
      <c r="N43" s="3" t="n"/>
      <c r="O43">
        <f>IFERROR(INT((A43-1-VLOOKUP(D43,'Flock Reference'!$A:$B,2,FALSE))/7), "")</f>
        <v/>
      </c>
    </row>
    <row r="44">
      <c r="G44" s="3">
        <f>IF(E44&gt;0, F44/E44, 0)</f>
        <v/>
      </c>
      <c r="I44" s="3">
        <f>IF(E44&gt;0, H44/E44, 0)</f>
        <v/>
      </c>
      <c r="J44">
        <f>IF(E44&gt;0, E44-F44-H44, 0)</f>
        <v/>
      </c>
      <c r="K44" s="3">
        <f>IF(E44&gt;0, J44/E44, 0)</f>
        <v/>
      </c>
      <c r="M44" s="3">
        <f>IF(E44&gt;0, L44/E44, 0)</f>
        <v/>
      </c>
      <c r="N44" s="3" t="n"/>
      <c r="O44">
        <f>IFERROR(INT((A44-1-VLOOKUP(D44,'Flock Reference'!$A:$B,2,FALSE))/7), "")</f>
        <v/>
      </c>
    </row>
    <row r="45">
      <c r="G45" s="3">
        <f>IF(E45&gt;0, F45/E45, 0)</f>
        <v/>
      </c>
      <c r="I45" s="3">
        <f>IF(E45&gt;0, H45/E45, 0)</f>
        <v/>
      </c>
      <c r="J45">
        <f>IF(E45&gt;0, E45-F45-H45, 0)</f>
        <v/>
      </c>
      <c r="K45" s="3">
        <f>IF(E45&gt;0, J45/E45, 0)</f>
        <v/>
      </c>
      <c r="M45" s="3">
        <f>IF(E45&gt;0, L45/E45, 0)</f>
        <v/>
      </c>
      <c r="N45" s="3" t="n"/>
      <c r="O45">
        <f>IFERROR(INT((A45-1-VLOOKUP(D45,'Flock Reference'!$A:$B,2,FALSE))/7), "")</f>
        <v/>
      </c>
    </row>
    <row r="46">
      <c r="G46" s="3">
        <f>IF(E46&gt;0, F46/E46, 0)</f>
        <v/>
      </c>
      <c r="I46" s="3">
        <f>IF(E46&gt;0, H46/E46, 0)</f>
        <v/>
      </c>
      <c r="J46">
        <f>IF(E46&gt;0, E46-F46-H46, 0)</f>
        <v/>
      </c>
      <c r="K46" s="3">
        <f>IF(E46&gt;0, J46/E46, 0)</f>
        <v/>
      </c>
      <c r="M46" s="3">
        <f>IF(E46&gt;0, L46/E46, 0)</f>
        <v/>
      </c>
      <c r="N46" s="3" t="n"/>
      <c r="O46">
        <f>IFERROR(INT((A46-1-VLOOKUP(D46,'Flock Reference'!$A:$B,2,FALSE))/7), "")</f>
        <v/>
      </c>
    </row>
    <row r="47">
      <c r="G47" s="3">
        <f>IF(E47&gt;0, F47/E47, 0)</f>
        <v/>
      </c>
      <c r="I47" s="3">
        <f>IF(E47&gt;0, H47/E47, 0)</f>
        <v/>
      </c>
      <c r="J47">
        <f>IF(E47&gt;0, E47-F47-H47, 0)</f>
        <v/>
      </c>
      <c r="K47" s="3">
        <f>IF(E47&gt;0, J47/E47, 0)</f>
        <v/>
      </c>
      <c r="M47" s="3">
        <f>IF(E47&gt;0, L47/E47, 0)</f>
        <v/>
      </c>
      <c r="N47" s="3" t="n"/>
      <c r="O47">
        <f>IFERROR(INT((A47-1-VLOOKUP(D47,'Flock Reference'!$A:$B,2,FALSE))/7), "")</f>
        <v/>
      </c>
    </row>
    <row r="48">
      <c r="G48" s="3">
        <f>IF(E48&gt;0, F48/E48, 0)</f>
        <v/>
      </c>
      <c r="I48" s="3">
        <f>IF(E48&gt;0, H48/E48, 0)</f>
        <v/>
      </c>
      <c r="J48">
        <f>IF(E48&gt;0, E48-F48-H48, 0)</f>
        <v/>
      </c>
      <c r="K48" s="3">
        <f>IF(E48&gt;0, J48/E48, 0)</f>
        <v/>
      </c>
      <c r="M48" s="3">
        <f>IF(E48&gt;0, L48/E48, 0)</f>
        <v/>
      </c>
      <c r="N48" s="3" t="n"/>
      <c r="O48">
        <f>IFERROR(INT((A48-1-VLOOKUP(D48,'Flock Reference'!$A:$B,2,FALSE))/7), "")</f>
        <v/>
      </c>
    </row>
    <row r="49">
      <c r="G49" s="3">
        <f>IF(E49&gt;0, F49/E49, 0)</f>
        <v/>
      </c>
      <c r="I49" s="3">
        <f>IF(E49&gt;0, H49/E49, 0)</f>
        <v/>
      </c>
      <c r="J49">
        <f>IF(E49&gt;0, E49-F49-H49, 0)</f>
        <v/>
      </c>
      <c r="K49" s="3">
        <f>IF(E49&gt;0, J49/E49, 0)</f>
        <v/>
      </c>
      <c r="M49" s="3">
        <f>IF(E49&gt;0, L49/E49, 0)</f>
        <v/>
      </c>
      <c r="N49" s="3" t="n"/>
      <c r="O49">
        <f>IFERROR(INT((A49-1-VLOOKUP(D49,'Flock Reference'!$A:$B,2,FALSE))/7), "")</f>
        <v/>
      </c>
    </row>
    <row r="50">
      <c r="G50" s="3">
        <f>IF(E50&gt;0, F50/E50, 0)</f>
        <v/>
      </c>
      <c r="I50" s="3">
        <f>IF(E50&gt;0, H50/E50, 0)</f>
        <v/>
      </c>
      <c r="J50">
        <f>IF(E50&gt;0, E50-F50-H50, 0)</f>
        <v/>
      </c>
      <c r="K50" s="3">
        <f>IF(E50&gt;0, J50/E50, 0)</f>
        <v/>
      </c>
      <c r="M50" s="3">
        <f>IF(E50&gt;0, L50/E50, 0)</f>
        <v/>
      </c>
      <c r="N50" s="3" t="n"/>
      <c r="O50">
        <f>IFERROR(INT((A50-1-VLOOKUP(D50,'Flock Reference'!$A:$B,2,FALSE))/7), "")</f>
        <v/>
      </c>
    </row>
    <row r="51">
      <c r="G51" s="3">
        <f>IF(E51&gt;0, F51/E51, 0)</f>
        <v/>
      </c>
      <c r="I51" s="3">
        <f>IF(E51&gt;0, H51/E51, 0)</f>
        <v/>
      </c>
      <c r="J51">
        <f>IF(E51&gt;0, E51-F51-H51, 0)</f>
        <v/>
      </c>
      <c r="K51" s="3">
        <f>IF(E51&gt;0, J51/E51, 0)</f>
        <v/>
      </c>
      <c r="M51" s="3">
        <f>IF(E51&gt;0, L51/E51, 0)</f>
        <v/>
      </c>
      <c r="N51" s="3" t="n"/>
      <c r="O51">
        <f>IFERROR(INT((A51-1-VLOOKUP(D51,'Flock Reference'!$A:$B,2,FALSE))/7), "")</f>
        <v/>
      </c>
    </row>
    <row r="52">
      <c r="G52" s="3">
        <f>IF(E52&gt;0, F52/E52, 0)</f>
        <v/>
      </c>
      <c r="I52" s="3">
        <f>IF(E52&gt;0, H52/E52, 0)</f>
        <v/>
      </c>
      <c r="J52">
        <f>IF(E52&gt;0, E52-F52-H52, 0)</f>
        <v/>
      </c>
      <c r="K52" s="3">
        <f>IF(E52&gt;0, J52/E52, 0)</f>
        <v/>
      </c>
      <c r="M52" s="3">
        <f>IF(E52&gt;0, L52/E52, 0)</f>
        <v/>
      </c>
      <c r="N52" s="3" t="n"/>
      <c r="O52">
        <f>IFERROR(INT((A52-1-VLOOKUP(D52,'Flock Reference'!$A:$B,2,FALSE))/7), "")</f>
        <v/>
      </c>
    </row>
    <row r="53">
      <c r="G53" s="3">
        <f>IF(E53&gt;0, F53/E53, 0)</f>
        <v/>
      </c>
      <c r="I53" s="3">
        <f>IF(E53&gt;0, H53/E53, 0)</f>
        <v/>
      </c>
      <c r="J53">
        <f>IF(E53&gt;0, E53-F53-H53, 0)</f>
        <v/>
      </c>
      <c r="K53" s="3">
        <f>IF(E53&gt;0, J53/E53, 0)</f>
        <v/>
      </c>
      <c r="M53" s="3">
        <f>IF(E53&gt;0, L53/E53, 0)</f>
        <v/>
      </c>
      <c r="N53" s="3" t="n"/>
      <c r="O53">
        <f>IFERROR(INT((A53-1-VLOOKUP(D53,'Flock Reference'!$A:$B,2,FALSE))/7), "")</f>
        <v/>
      </c>
    </row>
    <row r="54">
      <c r="G54" s="3">
        <f>IF(E54&gt;0, F54/E54, 0)</f>
        <v/>
      </c>
      <c r="I54" s="3">
        <f>IF(E54&gt;0, H54/E54, 0)</f>
        <v/>
      </c>
      <c r="J54">
        <f>IF(E54&gt;0, E54-F54-H54, 0)</f>
        <v/>
      </c>
      <c r="K54" s="3">
        <f>IF(E54&gt;0, J54/E54, 0)</f>
        <v/>
      </c>
      <c r="M54" s="3">
        <f>IF(E54&gt;0, L54/E54, 0)</f>
        <v/>
      </c>
      <c r="N54" s="3" t="n"/>
      <c r="O54">
        <f>IFERROR(INT((A54-1-VLOOKUP(D54,'Flock Reference'!$A:$B,2,FALSE))/7), "")</f>
        <v/>
      </c>
    </row>
    <row r="55">
      <c r="G55" s="3">
        <f>IF(E55&gt;0, F55/E55, 0)</f>
        <v/>
      </c>
      <c r="I55" s="3">
        <f>IF(E55&gt;0, H55/E55, 0)</f>
        <v/>
      </c>
      <c r="J55">
        <f>IF(E55&gt;0, E55-F55-H55, 0)</f>
        <v/>
      </c>
      <c r="K55" s="3">
        <f>IF(E55&gt;0, J55/E55, 0)</f>
        <v/>
      </c>
      <c r="M55" s="3">
        <f>IF(E55&gt;0, L55/E55, 0)</f>
        <v/>
      </c>
      <c r="N55" s="3" t="n"/>
      <c r="O55">
        <f>IFERROR(INT((A55-1-VLOOKUP(D55,'Flock Reference'!$A:$B,2,FALSE))/7), "")</f>
        <v/>
      </c>
    </row>
    <row r="56">
      <c r="G56" s="3">
        <f>IF(E56&gt;0, F56/E56, 0)</f>
        <v/>
      </c>
      <c r="I56" s="3">
        <f>IF(E56&gt;0, H56/E56, 0)</f>
        <v/>
      </c>
      <c r="J56">
        <f>IF(E56&gt;0, E56-F56-H56, 0)</f>
        <v/>
      </c>
      <c r="K56" s="3">
        <f>IF(E56&gt;0, J56/E56, 0)</f>
        <v/>
      </c>
      <c r="M56" s="3">
        <f>IF(E56&gt;0, L56/E56, 0)</f>
        <v/>
      </c>
      <c r="N56" s="3" t="n"/>
      <c r="O56">
        <f>IFERROR(INT((A56-1-VLOOKUP(D56,'Flock Reference'!$A:$B,2,FALSE))/7), "")</f>
        <v/>
      </c>
    </row>
    <row r="57">
      <c r="G57" s="3">
        <f>IF(E57&gt;0, F57/E57, 0)</f>
        <v/>
      </c>
      <c r="I57" s="3">
        <f>IF(E57&gt;0, H57/E57, 0)</f>
        <v/>
      </c>
      <c r="J57">
        <f>IF(E57&gt;0, E57-F57-H57, 0)</f>
        <v/>
      </c>
      <c r="K57" s="3">
        <f>IF(E57&gt;0, J57/E57, 0)</f>
        <v/>
      </c>
      <c r="M57" s="3">
        <f>IF(E57&gt;0, L57/E57, 0)</f>
        <v/>
      </c>
      <c r="N57" s="3" t="n"/>
      <c r="O57">
        <f>IFERROR(INT((A57-1-VLOOKUP(D57,'Flock Reference'!$A:$B,2,FALSE))/7), "")</f>
        <v/>
      </c>
    </row>
    <row r="58">
      <c r="G58" s="3">
        <f>IF(E58&gt;0, F58/E58, 0)</f>
        <v/>
      </c>
      <c r="I58" s="3">
        <f>IF(E58&gt;0, H58/E58, 0)</f>
        <v/>
      </c>
      <c r="J58">
        <f>IF(E58&gt;0, E58-F58-H58, 0)</f>
        <v/>
      </c>
      <c r="K58" s="3">
        <f>IF(E58&gt;0, J58/E58, 0)</f>
        <v/>
      </c>
      <c r="M58" s="3">
        <f>IF(E58&gt;0, L58/E58, 0)</f>
        <v/>
      </c>
      <c r="N58" s="3" t="n"/>
      <c r="O58">
        <f>IFERROR(INT((A58-1-VLOOKUP(D58,'Flock Reference'!$A:$B,2,FALSE))/7), "")</f>
        <v/>
      </c>
    </row>
    <row r="59">
      <c r="G59" s="3">
        <f>IF(E59&gt;0, F59/E59, 0)</f>
        <v/>
      </c>
      <c r="I59" s="3">
        <f>IF(E59&gt;0, H59/E59, 0)</f>
        <v/>
      </c>
      <c r="J59">
        <f>IF(E59&gt;0, E59-F59-H59, 0)</f>
        <v/>
      </c>
      <c r="K59" s="3">
        <f>IF(E59&gt;0, J59/E59, 0)</f>
        <v/>
      </c>
      <c r="M59" s="3">
        <f>IF(E59&gt;0, L59/E59, 0)</f>
        <v/>
      </c>
      <c r="N59" s="3" t="n"/>
      <c r="O59">
        <f>IFERROR(INT((A59-1-VLOOKUP(D59,'Flock Reference'!$A:$B,2,FALSE))/7), "")</f>
        <v/>
      </c>
    </row>
    <row r="60">
      <c r="G60" s="3">
        <f>IF(E60&gt;0, F60/E60, 0)</f>
        <v/>
      </c>
      <c r="I60" s="3">
        <f>IF(E60&gt;0, H60/E60, 0)</f>
        <v/>
      </c>
      <c r="J60">
        <f>IF(E60&gt;0, E60-F60-H60, 0)</f>
        <v/>
      </c>
      <c r="K60" s="3">
        <f>IF(E60&gt;0, J60/E60, 0)</f>
        <v/>
      </c>
      <c r="M60" s="3">
        <f>IF(E60&gt;0, L60/E60, 0)</f>
        <v/>
      </c>
      <c r="N60" s="3" t="n"/>
      <c r="O60">
        <f>IFERROR(INT((A60-1-VLOOKUP(D60,'Flock Reference'!$A:$B,2,FALSE))/7), "")</f>
        <v/>
      </c>
    </row>
    <row r="61">
      <c r="G61" s="3">
        <f>IF(E61&gt;0, F61/E61, 0)</f>
        <v/>
      </c>
      <c r="I61" s="3">
        <f>IF(E61&gt;0, H61/E61, 0)</f>
        <v/>
      </c>
      <c r="J61">
        <f>IF(E61&gt;0, E61-F61-H61, 0)</f>
        <v/>
      </c>
      <c r="K61" s="3">
        <f>IF(E61&gt;0, J61/E61, 0)</f>
        <v/>
      </c>
      <c r="M61" s="3">
        <f>IF(E61&gt;0, L61/E61, 0)</f>
        <v/>
      </c>
      <c r="N61" s="3" t="n"/>
      <c r="O61">
        <f>IFERROR(INT((A61-1-VLOOKUP(D61,'Flock Reference'!$A:$B,2,FALSE))/7), "")</f>
        <v/>
      </c>
    </row>
    <row r="62">
      <c r="G62" s="3">
        <f>IF(E62&gt;0, F62/E62, 0)</f>
        <v/>
      </c>
      <c r="I62" s="3">
        <f>IF(E62&gt;0, H62/E62, 0)</f>
        <v/>
      </c>
      <c r="J62">
        <f>IF(E62&gt;0, E62-F62-H62, 0)</f>
        <v/>
      </c>
      <c r="K62" s="3">
        <f>IF(E62&gt;0, J62/E62, 0)</f>
        <v/>
      </c>
      <c r="M62" s="3">
        <f>IF(E62&gt;0, L62/E62, 0)</f>
        <v/>
      </c>
      <c r="N62" s="3" t="n"/>
      <c r="O62">
        <f>IFERROR(INT((A62-1-VLOOKUP(D62,'Flock Reference'!$A:$B,2,FALSE))/7), "")</f>
        <v/>
      </c>
    </row>
    <row r="63">
      <c r="G63" s="3">
        <f>IF(E63&gt;0, F63/E63, 0)</f>
        <v/>
      </c>
      <c r="I63" s="3">
        <f>IF(E63&gt;0, H63/E63, 0)</f>
        <v/>
      </c>
      <c r="J63">
        <f>IF(E63&gt;0, E63-F63-H63, 0)</f>
        <v/>
      </c>
      <c r="K63" s="3">
        <f>IF(E63&gt;0, J63/E63, 0)</f>
        <v/>
      </c>
      <c r="M63" s="3">
        <f>IF(E63&gt;0, L63/E63, 0)</f>
        <v/>
      </c>
      <c r="N63" s="3" t="n"/>
      <c r="O63">
        <f>IFERROR(INT((A63-1-VLOOKUP(D63,'Flock Reference'!$A:$B,2,FALSE))/7), "")</f>
        <v/>
      </c>
    </row>
    <row r="64">
      <c r="G64" s="3">
        <f>IF(E64&gt;0, F64/E64, 0)</f>
        <v/>
      </c>
      <c r="I64" s="3">
        <f>IF(E64&gt;0, H64/E64, 0)</f>
        <v/>
      </c>
      <c r="J64">
        <f>IF(E64&gt;0, E64-F64-H64, 0)</f>
        <v/>
      </c>
      <c r="K64" s="3">
        <f>IF(E64&gt;0, J64/E64, 0)</f>
        <v/>
      </c>
      <c r="M64" s="3">
        <f>IF(E64&gt;0, L64/E64, 0)</f>
        <v/>
      </c>
      <c r="N64" s="3" t="n"/>
      <c r="O64">
        <f>IFERROR(INT((A64-1-VLOOKUP(D64,'Flock Reference'!$A:$B,2,FALSE))/7), "")</f>
        <v/>
      </c>
    </row>
    <row r="65">
      <c r="G65" s="3">
        <f>IF(E65&gt;0, F65/E65, 0)</f>
        <v/>
      </c>
      <c r="I65" s="3">
        <f>IF(E65&gt;0, H65/E65, 0)</f>
        <v/>
      </c>
      <c r="J65">
        <f>IF(E65&gt;0, E65-F65-H65, 0)</f>
        <v/>
      </c>
      <c r="K65" s="3">
        <f>IF(E65&gt;0, J65/E65, 0)</f>
        <v/>
      </c>
      <c r="M65" s="3">
        <f>IF(E65&gt;0, L65/E65, 0)</f>
        <v/>
      </c>
      <c r="N65" s="3" t="n"/>
      <c r="O65">
        <f>IFERROR(INT((A65-1-VLOOKUP(D65,'Flock Reference'!$A:$B,2,FALSE))/7), "")</f>
        <v/>
      </c>
    </row>
    <row r="66">
      <c r="G66" s="3">
        <f>IF(E66&gt;0, F66/E66, 0)</f>
        <v/>
      </c>
      <c r="I66" s="3">
        <f>IF(E66&gt;0, H66/E66, 0)</f>
        <v/>
      </c>
      <c r="J66">
        <f>IF(E66&gt;0, E66-F66-H66, 0)</f>
        <v/>
      </c>
      <c r="K66" s="3">
        <f>IF(E66&gt;0, J66/E66, 0)</f>
        <v/>
      </c>
      <c r="M66" s="3">
        <f>IF(E66&gt;0, L66/E66, 0)</f>
        <v/>
      </c>
      <c r="N66" s="3" t="n"/>
      <c r="O66">
        <f>IFERROR(INT((A66-1-VLOOKUP(D66,'Flock Reference'!$A:$B,2,FALSE))/7), "")</f>
        <v/>
      </c>
    </row>
    <row r="67">
      <c r="G67" s="3">
        <f>IF(E67&gt;0, F67/E67, 0)</f>
        <v/>
      </c>
      <c r="I67" s="3">
        <f>IF(E67&gt;0, H67/E67, 0)</f>
        <v/>
      </c>
      <c r="J67">
        <f>IF(E67&gt;0, E67-F67-H67, 0)</f>
        <v/>
      </c>
      <c r="K67" s="3">
        <f>IF(E67&gt;0, J67/E67, 0)</f>
        <v/>
      </c>
      <c r="M67" s="3">
        <f>IF(E67&gt;0, L67/E67, 0)</f>
        <v/>
      </c>
      <c r="N67" s="3" t="n"/>
      <c r="O67">
        <f>IFERROR(INT((A67-1-VLOOKUP(D67,'Flock Reference'!$A:$B,2,FALSE))/7), "")</f>
        <v/>
      </c>
    </row>
    <row r="68">
      <c r="G68" s="3">
        <f>IF(E68&gt;0, F68/E68, 0)</f>
        <v/>
      </c>
      <c r="I68" s="3">
        <f>IF(E68&gt;0, H68/E68, 0)</f>
        <v/>
      </c>
      <c r="J68">
        <f>IF(E68&gt;0, E68-F68-H68, 0)</f>
        <v/>
      </c>
      <c r="K68" s="3">
        <f>IF(E68&gt;0, J68/E68, 0)</f>
        <v/>
      </c>
      <c r="M68" s="3">
        <f>IF(E68&gt;0, L68/E68, 0)</f>
        <v/>
      </c>
      <c r="N68" s="3" t="n"/>
      <c r="O68">
        <f>IFERROR(INT((A68-1-VLOOKUP(D68,'Flock Reference'!$A:$B,2,FALSE))/7), "")</f>
        <v/>
      </c>
    </row>
    <row r="69">
      <c r="G69" s="3">
        <f>IF(E69&gt;0, F69/E69, 0)</f>
        <v/>
      </c>
      <c r="I69" s="3">
        <f>IF(E69&gt;0, H69/E69, 0)</f>
        <v/>
      </c>
      <c r="J69">
        <f>IF(E69&gt;0, E69-F69-H69, 0)</f>
        <v/>
      </c>
      <c r="K69" s="3">
        <f>IF(E69&gt;0, J69/E69, 0)</f>
        <v/>
      </c>
      <c r="M69" s="3">
        <f>IF(E69&gt;0, L69/E69, 0)</f>
        <v/>
      </c>
      <c r="N69" s="3" t="n"/>
      <c r="O69">
        <f>IFERROR(INT((A69-1-VLOOKUP(D69,'Flock Reference'!$A:$B,2,FALSE))/7), "")</f>
        <v/>
      </c>
    </row>
    <row r="70">
      <c r="G70" s="3">
        <f>IF(E70&gt;0, F70/E70, 0)</f>
        <v/>
      </c>
      <c r="I70" s="3">
        <f>IF(E70&gt;0, H70/E70, 0)</f>
        <v/>
      </c>
      <c r="J70">
        <f>IF(E70&gt;0, E70-F70-H70, 0)</f>
        <v/>
      </c>
      <c r="K70" s="3">
        <f>IF(E70&gt;0, J70/E70, 0)</f>
        <v/>
      </c>
      <c r="M70" s="3">
        <f>IF(E70&gt;0, L70/E70, 0)</f>
        <v/>
      </c>
      <c r="N70" s="3" t="n"/>
      <c r="O70">
        <f>IFERROR(INT((A70-1-VLOOKUP(D70,'Flock Reference'!$A:$B,2,FALSE))/7), "")</f>
        <v/>
      </c>
    </row>
    <row r="71">
      <c r="G71" s="3">
        <f>IF(E71&gt;0, F71/E71, 0)</f>
        <v/>
      </c>
      <c r="I71" s="3">
        <f>IF(E71&gt;0, H71/E71, 0)</f>
        <v/>
      </c>
      <c r="J71">
        <f>IF(E71&gt;0, E71-F71-H71, 0)</f>
        <v/>
      </c>
      <c r="K71" s="3">
        <f>IF(E71&gt;0, J71/E71, 0)</f>
        <v/>
      </c>
      <c r="M71" s="3">
        <f>IF(E71&gt;0, L71/E71, 0)</f>
        <v/>
      </c>
      <c r="N71" s="3" t="n"/>
      <c r="O71">
        <f>IFERROR(INT((A71-1-VLOOKUP(D71,'Flock Reference'!$A:$B,2,FALSE))/7), "")</f>
        <v/>
      </c>
    </row>
    <row r="72">
      <c r="G72" s="3">
        <f>IF(E72&gt;0, F72/E72, 0)</f>
        <v/>
      </c>
      <c r="I72" s="3">
        <f>IF(E72&gt;0, H72/E72, 0)</f>
        <v/>
      </c>
      <c r="J72">
        <f>IF(E72&gt;0, E72-F72-H72, 0)</f>
        <v/>
      </c>
      <c r="K72" s="3">
        <f>IF(E72&gt;0, J72/E72, 0)</f>
        <v/>
      </c>
      <c r="M72" s="3">
        <f>IF(E72&gt;0, L72/E72, 0)</f>
        <v/>
      </c>
      <c r="N72" s="3" t="n"/>
      <c r="O72">
        <f>IFERROR(INT((A72-1-VLOOKUP(D72,'Flock Reference'!$A:$B,2,FALSE))/7), "")</f>
        <v/>
      </c>
    </row>
    <row r="73">
      <c r="G73" s="3">
        <f>IF(E73&gt;0, F73/E73, 0)</f>
        <v/>
      </c>
      <c r="I73" s="3">
        <f>IF(E73&gt;0, H73/E73, 0)</f>
        <v/>
      </c>
      <c r="J73">
        <f>IF(E73&gt;0, E73-F73-H73, 0)</f>
        <v/>
      </c>
      <c r="K73" s="3">
        <f>IF(E73&gt;0, J73/E73, 0)</f>
        <v/>
      </c>
      <c r="M73" s="3">
        <f>IF(E73&gt;0, L73/E73, 0)</f>
        <v/>
      </c>
      <c r="N73" s="3" t="n"/>
      <c r="O73">
        <f>IFERROR(INT((A73-1-VLOOKUP(D73,'Flock Reference'!$A:$B,2,FALSE))/7), "")</f>
        <v/>
      </c>
    </row>
    <row r="74">
      <c r="G74" s="3">
        <f>IF(E74&gt;0, F74/E74, 0)</f>
        <v/>
      </c>
      <c r="I74" s="3">
        <f>IF(E74&gt;0, H74/E74, 0)</f>
        <v/>
      </c>
      <c r="J74">
        <f>IF(E74&gt;0, E74-F74-H74, 0)</f>
        <v/>
      </c>
      <c r="K74" s="3">
        <f>IF(E74&gt;0, J74/E74, 0)</f>
        <v/>
      </c>
      <c r="M74" s="3">
        <f>IF(E74&gt;0, L74/E74, 0)</f>
        <v/>
      </c>
      <c r="N74" s="3" t="n"/>
      <c r="O74">
        <f>IFERROR(INT((A74-1-VLOOKUP(D74,'Flock Reference'!$A:$B,2,FALSE))/7), "")</f>
        <v/>
      </c>
    </row>
    <row r="75">
      <c r="G75" s="3">
        <f>IF(E75&gt;0, F75/E75, 0)</f>
        <v/>
      </c>
      <c r="I75" s="3">
        <f>IF(E75&gt;0, H75/E75, 0)</f>
        <v/>
      </c>
      <c r="J75">
        <f>IF(E75&gt;0, E75-F75-H75, 0)</f>
        <v/>
      </c>
      <c r="K75" s="3">
        <f>IF(E75&gt;0, J75/E75, 0)</f>
        <v/>
      </c>
      <c r="M75" s="3">
        <f>IF(E75&gt;0, L75/E75, 0)</f>
        <v/>
      </c>
      <c r="N75" s="3" t="n"/>
      <c r="O75">
        <f>IFERROR(INT((A75-1-VLOOKUP(D75,'Flock Reference'!$A:$B,2,FALSE))/7), "")</f>
        <v/>
      </c>
    </row>
    <row r="76">
      <c r="G76" s="3">
        <f>IF(E76&gt;0, F76/E76, 0)</f>
        <v/>
      </c>
      <c r="I76" s="3">
        <f>IF(E76&gt;0, H76/E76, 0)</f>
        <v/>
      </c>
      <c r="J76">
        <f>IF(E76&gt;0, E76-F76-H76, 0)</f>
        <v/>
      </c>
      <c r="K76" s="3">
        <f>IF(E76&gt;0, J76/E76, 0)</f>
        <v/>
      </c>
      <c r="M76" s="3">
        <f>IF(E76&gt;0, L76/E76, 0)</f>
        <v/>
      </c>
      <c r="N76" s="3" t="n"/>
      <c r="O76">
        <f>IFERROR(INT((A76-1-VLOOKUP(D76,'Flock Reference'!$A:$B,2,FALSE))/7), "")</f>
        <v/>
      </c>
    </row>
    <row r="77">
      <c r="G77" s="3">
        <f>IF(E77&gt;0, F77/E77, 0)</f>
        <v/>
      </c>
      <c r="I77" s="3">
        <f>IF(E77&gt;0, H77/E77, 0)</f>
        <v/>
      </c>
      <c r="J77">
        <f>IF(E77&gt;0, E77-F77-H77, 0)</f>
        <v/>
      </c>
      <c r="K77" s="3">
        <f>IF(E77&gt;0, J77/E77, 0)</f>
        <v/>
      </c>
      <c r="M77" s="3">
        <f>IF(E77&gt;0, L77/E77, 0)</f>
        <v/>
      </c>
      <c r="N77" s="3" t="n"/>
      <c r="O77">
        <f>IFERROR(INT((A77-1-VLOOKUP(D77,'Flock Reference'!$A:$B,2,FALSE))/7), "")</f>
        <v/>
      </c>
    </row>
    <row r="78">
      <c r="G78" s="3">
        <f>IF(E78&gt;0, F78/E78, 0)</f>
        <v/>
      </c>
      <c r="I78" s="3">
        <f>IF(E78&gt;0, H78/E78, 0)</f>
        <v/>
      </c>
      <c r="J78">
        <f>IF(E78&gt;0, E78-F78-H78, 0)</f>
        <v/>
      </c>
      <c r="K78" s="3">
        <f>IF(E78&gt;0, J78/E78, 0)</f>
        <v/>
      </c>
      <c r="M78" s="3">
        <f>IF(E78&gt;0, L78/E78, 0)</f>
        <v/>
      </c>
      <c r="N78" s="3" t="n"/>
      <c r="O78">
        <f>IFERROR(INT((A78-1-VLOOKUP(D78,'Flock Reference'!$A:$B,2,FALSE))/7), "")</f>
        <v/>
      </c>
    </row>
    <row r="79">
      <c r="G79" s="3">
        <f>IF(E79&gt;0, F79/E79, 0)</f>
        <v/>
      </c>
      <c r="I79" s="3">
        <f>IF(E79&gt;0, H79/E79, 0)</f>
        <v/>
      </c>
      <c r="J79">
        <f>IF(E79&gt;0, E79-F79-H79, 0)</f>
        <v/>
      </c>
      <c r="K79" s="3">
        <f>IF(E79&gt;0, J79/E79, 0)</f>
        <v/>
      </c>
      <c r="M79" s="3">
        <f>IF(E79&gt;0, L79/E79, 0)</f>
        <v/>
      </c>
      <c r="N79" s="3" t="n"/>
      <c r="O79">
        <f>IFERROR(INT((A79-1-VLOOKUP(D79,'Flock Reference'!$A:$B,2,FALSE))/7), "")</f>
        <v/>
      </c>
    </row>
    <row r="80">
      <c r="G80" s="3">
        <f>IF(E80&gt;0, F80/E80, 0)</f>
        <v/>
      </c>
      <c r="I80" s="3">
        <f>IF(E80&gt;0, H80/E80, 0)</f>
        <v/>
      </c>
      <c r="J80">
        <f>IF(E80&gt;0, E80-F80-H80, 0)</f>
        <v/>
      </c>
      <c r="K80" s="3">
        <f>IF(E80&gt;0, J80/E80, 0)</f>
        <v/>
      </c>
      <c r="M80" s="3">
        <f>IF(E80&gt;0, L80/E80, 0)</f>
        <v/>
      </c>
      <c r="N80" s="3" t="n"/>
      <c r="O80">
        <f>IFERROR(INT((A80-1-VLOOKUP(D80,'Flock Reference'!$A:$B,2,FALSE))/7), "")</f>
        <v/>
      </c>
    </row>
    <row r="81">
      <c r="G81" s="3">
        <f>IF(E81&gt;0, F81/E81, 0)</f>
        <v/>
      </c>
      <c r="I81" s="3">
        <f>IF(E81&gt;0, H81/E81, 0)</f>
        <v/>
      </c>
      <c r="J81">
        <f>IF(E81&gt;0, E81-F81-H81, 0)</f>
        <v/>
      </c>
      <c r="K81" s="3">
        <f>IF(E81&gt;0, J81/E81, 0)</f>
        <v/>
      </c>
      <c r="M81" s="3">
        <f>IF(E81&gt;0, L81/E81, 0)</f>
        <v/>
      </c>
      <c r="N81" s="3" t="n"/>
      <c r="O81">
        <f>IFERROR(INT((A81-1-VLOOKUP(D81,'Flock Reference'!$A:$B,2,FALSE))/7), "")</f>
        <v/>
      </c>
    </row>
    <row r="82">
      <c r="G82" s="3">
        <f>IF(E82&gt;0, F82/E82, 0)</f>
        <v/>
      </c>
      <c r="I82" s="3">
        <f>IF(E82&gt;0, H82/E82, 0)</f>
        <v/>
      </c>
      <c r="J82">
        <f>IF(E82&gt;0, E82-F82-H82, 0)</f>
        <v/>
      </c>
      <c r="K82" s="3">
        <f>IF(E82&gt;0, J82/E82, 0)</f>
        <v/>
      </c>
      <c r="M82" s="3">
        <f>IF(E82&gt;0, L82/E82, 0)</f>
        <v/>
      </c>
      <c r="N82" s="3" t="n"/>
      <c r="O82">
        <f>IFERROR(INT((A82-1-VLOOKUP(D82,'Flock Reference'!$A:$B,2,FALSE))/7), "")</f>
        <v/>
      </c>
    </row>
    <row r="83">
      <c r="G83" s="3">
        <f>IF(E83&gt;0, F83/E83, 0)</f>
        <v/>
      </c>
      <c r="I83" s="3">
        <f>IF(E83&gt;0, H83/E83, 0)</f>
        <v/>
      </c>
      <c r="J83">
        <f>IF(E83&gt;0, E83-F83-H83, 0)</f>
        <v/>
      </c>
      <c r="K83" s="3">
        <f>IF(E83&gt;0, J83/E83, 0)</f>
        <v/>
      </c>
      <c r="M83" s="3">
        <f>IF(E83&gt;0, L83/E83, 0)</f>
        <v/>
      </c>
      <c r="N83" s="3" t="n"/>
      <c r="O83">
        <f>IFERROR(INT((A83-1-VLOOKUP(D83,'Flock Reference'!$A:$B,2,FALSE))/7), "")</f>
        <v/>
      </c>
    </row>
    <row r="84">
      <c r="G84" s="3">
        <f>IF(E84&gt;0, F84/E84, 0)</f>
        <v/>
      </c>
      <c r="I84" s="3">
        <f>IF(E84&gt;0, H84/E84, 0)</f>
        <v/>
      </c>
      <c r="J84">
        <f>IF(E84&gt;0, E84-F84-H84, 0)</f>
        <v/>
      </c>
      <c r="K84" s="3">
        <f>IF(E84&gt;0, J84/E84, 0)</f>
        <v/>
      </c>
      <c r="M84" s="3">
        <f>IF(E84&gt;0, L84/E84, 0)</f>
        <v/>
      </c>
      <c r="N84" s="3" t="n"/>
      <c r="O84">
        <f>IFERROR(INT((A84-1-VLOOKUP(D84,'Flock Reference'!$A:$B,2,FALSE))/7), "")</f>
        <v/>
      </c>
    </row>
    <row r="85">
      <c r="G85" s="3">
        <f>IF(E85&gt;0, F85/E85, 0)</f>
        <v/>
      </c>
      <c r="I85" s="3">
        <f>IF(E85&gt;0, H85/E85, 0)</f>
        <v/>
      </c>
      <c r="J85">
        <f>IF(E85&gt;0, E85-F85-H85, 0)</f>
        <v/>
      </c>
      <c r="K85" s="3">
        <f>IF(E85&gt;0, J85/E85, 0)</f>
        <v/>
      </c>
      <c r="M85" s="3">
        <f>IF(E85&gt;0, L85/E85, 0)</f>
        <v/>
      </c>
      <c r="N85" s="3" t="n"/>
      <c r="O85">
        <f>IFERROR(INT((A85-1-VLOOKUP(D85,'Flock Reference'!$A:$B,2,FALSE))/7), "")</f>
        <v/>
      </c>
    </row>
    <row r="86">
      <c r="G86" s="3">
        <f>IF(E86&gt;0, F86/E86, 0)</f>
        <v/>
      </c>
      <c r="I86" s="3">
        <f>IF(E86&gt;0, H86/E86, 0)</f>
        <v/>
      </c>
      <c r="J86">
        <f>IF(E86&gt;0, E86-F86-H86, 0)</f>
        <v/>
      </c>
      <c r="K86" s="3">
        <f>IF(E86&gt;0, J86/E86, 0)</f>
        <v/>
      </c>
      <c r="M86" s="3">
        <f>IF(E86&gt;0, L86/E86, 0)</f>
        <v/>
      </c>
      <c r="N86" s="3" t="n"/>
      <c r="O86">
        <f>IFERROR(INT((A86-1-VLOOKUP(D86,'Flock Reference'!$A:$B,2,FALSE))/7), "")</f>
        <v/>
      </c>
    </row>
    <row r="87">
      <c r="G87" s="3">
        <f>IF(E87&gt;0, F87/E87, 0)</f>
        <v/>
      </c>
      <c r="I87" s="3">
        <f>IF(E87&gt;0, H87/E87, 0)</f>
        <v/>
      </c>
      <c r="J87">
        <f>IF(E87&gt;0, E87-F87-H87, 0)</f>
        <v/>
      </c>
      <c r="K87" s="3">
        <f>IF(E87&gt;0, J87/E87, 0)</f>
        <v/>
      </c>
      <c r="M87" s="3">
        <f>IF(E87&gt;0, L87/E87, 0)</f>
        <v/>
      </c>
      <c r="N87" s="3" t="n"/>
      <c r="O87">
        <f>IFERROR(INT((A87-1-VLOOKUP(D87,'Flock Reference'!$A:$B,2,FALSE))/7), "")</f>
        <v/>
      </c>
    </row>
    <row r="88">
      <c r="G88" s="3">
        <f>IF(E88&gt;0, F88/E88, 0)</f>
        <v/>
      </c>
      <c r="I88" s="3">
        <f>IF(E88&gt;0, H88/E88, 0)</f>
        <v/>
      </c>
      <c r="J88">
        <f>IF(E88&gt;0, E88-F88-H88, 0)</f>
        <v/>
      </c>
      <c r="K88" s="3">
        <f>IF(E88&gt;0, J88/E88, 0)</f>
        <v/>
      </c>
      <c r="M88" s="3">
        <f>IF(E88&gt;0, L88/E88, 0)</f>
        <v/>
      </c>
      <c r="N88" s="3" t="n"/>
      <c r="O88">
        <f>IFERROR(INT((A88-1-VLOOKUP(D88,'Flock Reference'!$A:$B,2,FALSE))/7), "")</f>
        <v/>
      </c>
    </row>
    <row r="89">
      <c r="G89" s="3">
        <f>IF(E89&gt;0, F89/E89, 0)</f>
        <v/>
      </c>
      <c r="I89" s="3">
        <f>IF(E89&gt;0, H89/E89, 0)</f>
        <v/>
      </c>
      <c r="J89">
        <f>IF(E89&gt;0, E89-F89-H89, 0)</f>
        <v/>
      </c>
      <c r="K89" s="3">
        <f>IF(E89&gt;0, J89/E89, 0)</f>
        <v/>
      </c>
      <c r="M89" s="3">
        <f>IF(E89&gt;0, L89/E89, 0)</f>
        <v/>
      </c>
      <c r="N89" s="3" t="n"/>
      <c r="O89">
        <f>IFERROR(INT((A89-1-VLOOKUP(D89,'Flock Reference'!$A:$B,2,FALSE))/7), "")</f>
        <v/>
      </c>
    </row>
    <row r="90">
      <c r="G90" s="3">
        <f>IF(E90&gt;0, F90/E90, 0)</f>
        <v/>
      </c>
      <c r="I90" s="3">
        <f>IF(E90&gt;0, H90/E90, 0)</f>
        <v/>
      </c>
      <c r="J90">
        <f>IF(E90&gt;0, E90-F90-H90, 0)</f>
        <v/>
      </c>
      <c r="K90" s="3">
        <f>IF(E90&gt;0, J90/E90, 0)</f>
        <v/>
      </c>
      <c r="M90" s="3">
        <f>IF(E90&gt;0, L90/E90, 0)</f>
        <v/>
      </c>
      <c r="N90" s="3" t="n"/>
      <c r="O90">
        <f>IFERROR(INT((A90-1-VLOOKUP(D90,'Flock Reference'!$A:$B,2,FALSE))/7), "")</f>
        <v/>
      </c>
    </row>
    <row r="91">
      <c r="G91" s="3">
        <f>IF(E91&gt;0, F91/E91, 0)</f>
        <v/>
      </c>
      <c r="I91" s="3">
        <f>IF(E91&gt;0, H91/E91, 0)</f>
        <v/>
      </c>
      <c r="J91">
        <f>IF(E91&gt;0, E91-F91-H91, 0)</f>
        <v/>
      </c>
      <c r="K91" s="3">
        <f>IF(E91&gt;0, J91/E91, 0)</f>
        <v/>
      </c>
      <c r="M91" s="3">
        <f>IF(E91&gt;0, L91/E91, 0)</f>
        <v/>
      </c>
      <c r="N91" s="3" t="n"/>
      <c r="O91">
        <f>IFERROR(INT((A91-1-VLOOKUP(D91,'Flock Reference'!$A:$B,2,FALSE))/7), "")</f>
        <v/>
      </c>
    </row>
    <row r="92">
      <c r="G92" s="3">
        <f>IF(E92&gt;0, F92/E92, 0)</f>
        <v/>
      </c>
      <c r="I92" s="3">
        <f>IF(E92&gt;0, H92/E92, 0)</f>
        <v/>
      </c>
      <c r="J92">
        <f>IF(E92&gt;0, E92-F92-H92, 0)</f>
        <v/>
      </c>
      <c r="K92" s="3">
        <f>IF(E92&gt;0, J92/E92, 0)</f>
        <v/>
      </c>
      <c r="M92" s="3">
        <f>IF(E92&gt;0, L92/E92, 0)</f>
        <v/>
      </c>
      <c r="N92" s="3" t="n"/>
      <c r="O92">
        <f>IFERROR(INT((A92-1-VLOOKUP(D92,'Flock Reference'!$A:$B,2,FALSE))/7), "")</f>
        <v/>
      </c>
    </row>
    <row r="93">
      <c r="G93" s="3">
        <f>IF(E93&gt;0, F93/E93, 0)</f>
        <v/>
      </c>
      <c r="I93" s="3">
        <f>IF(E93&gt;0, H93/E93, 0)</f>
        <v/>
      </c>
      <c r="J93">
        <f>IF(E93&gt;0, E93-F93-H93, 0)</f>
        <v/>
      </c>
      <c r="K93" s="3">
        <f>IF(E93&gt;0, J93/E93, 0)</f>
        <v/>
      </c>
      <c r="M93" s="3">
        <f>IF(E93&gt;0, L93/E93, 0)</f>
        <v/>
      </c>
      <c r="N93" s="3" t="n"/>
      <c r="O93">
        <f>IFERROR(INT((A93-1-VLOOKUP(D93,'Flock Reference'!$A:$B,2,FALSE))/7), "")</f>
        <v/>
      </c>
    </row>
    <row r="94">
      <c r="G94" s="3">
        <f>IF(E94&gt;0, F94/E94, 0)</f>
        <v/>
      </c>
      <c r="I94" s="3">
        <f>IF(E94&gt;0, H94/E94, 0)</f>
        <v/>
      </c>
      <c r="J94">
        <f>IF(E94&gt;0, E94-F94-H94, 0)</f>
        <v/>
      </c>
      <c r="K94" s="3">
        <f>IF(E94&gt;0, J94/E94, 0)</f>
        <v/>
      </c>
      <c r="M94" s="3">
        <f>IF(E94&gt;0, L94/E94, 0)</f>
        <v/>
      </c>
      <c r="N94" s="3" t="n"/>
      <c r="O94">
        <f>IFERROR(INT((A94-1-VLOOKUP(D94,'Flock Reference'!$A:$B,2,FALSE))/7), "")</f>
        <v/>
      </c>
    </row>
    <row r="95">
      <c r="G95" s="3">
        <f>IF(E95&gt;0, F95/E95, 0)</f>
        <v/>
      </c>
      <c r="I95" s="3">
        <f>IF(E95&gt;0, H95/E95, 0)</f>
        <v/>
      </c>
      <c r="J95">
        <f>IF(E95&gt;0, E95-F95-H95, 0)</f>
        <v/>
      </c>
      <c r="K95" s="3">
        <f>IF(E95&gt;0, J95/E95, 0)</f>
        <v/>
      </c>
      <c r="M95" s="3">
        <f>IF(E95&gt;0, L95/E95, 0)</f>
        <v/>
      </c>
      <c r="N95" s="3" t="n"/>
      <c r="O95">
        <f>IFERROR(INT((A95-1-VLOOKUP(D95,'Flock Reference'!$A:$B,2,FALSE))/7), "")</f>
        <v/>
      </c>
    </row>
    <row r="96">
      <c r="G96" s="3">
        <f>IF(E96&gt;0, F96/E96, 0)</f>
        <v/>
      </c>
      <c r="I96" s="3">
        <f>IF(E96&gt;0, H96/E96, 0)</f>
        <v/>
      </c>
      <c r="J96">
        <f>IF(E96&gt;0, E96-F96-H96, 0)</f>
        <v/>
      </c>
      <c r="K96" s="3">
        <f>IF(E96&gt;0, J96/E96, 0)</f>
        <v/>
      </c>
      <c r="M96" s="3">
        <f>IF(E96&gt;0, L96/E96, 0)</f>
        <v/>
      </c>
      <c r="N96" s="3" t="n"/>
      <c r="O96">
        <f>IFERROR(INT((A96-1-VLOOKUP(D96,'Flock Reference'!$A:$B,2,FALSE))/7), "")</f>
        <v/>
      </c>
    </row>
    <row r="97">
      <c r="G97" s="3">
        <f>IF(E97&gt;0, F97/E97, 0)</f>
        <v/>
      </c>
      <c r="I97" s="3">
        <f>IF(E97&gt;0, H97/E97, 0)</f>
        <v/>
      </c>
      <c r="J97">
        <f>IF(E97&gt;0, E97-F97-H97, 0)</f>
        <v/>
      </c>
      <c r="K97" s="3">
        <f>IF(E97&gt;0, J97/E97, 0)</f>
        <v/>
      </c>
      <c r="M97" s="3">
        <f>IF(E97&gt;0, L97/E97, 0)</f>
        <v/>
      </c>
      <c r="N97" s="3" t="n"/>
      <c r="O97">
        <f>IFERROR(INT((A97-1-VLOOKUP(D97,'Flock Reference'!$A:$B,2,FALSE))/7), "")</f>
        <v/>
      </c>
    </row>
    <row r="98">
      <c r="G98" s="3">
        <f>IF(E98&gt;0, F98/E98, 0)</f>
        <v/>
      </c>
      <c r="I98" s="3">
        <f>IF(E98&gt;0, H98/E98, 0)</f>
        <v/>
      </c>
      <c r="J98">
        <f>IF(E98&gt;0, E98-F98-H98, 0)</f>
        <v/>
      </c>
      <c r="K98" s="3">
        <f>IF(E98&gt;0, J98/E98, 0)</f>
        <v/>
      </c>
      <c r="M98" s="3">
        <f>IF(E98&gt;0, L98/E98, 0)</f>
        <v/>
      </c>
      <c r="N98" s="3" t="n"/>
      <c r="O98">
        <f>IFERROR(INT((A98-1-VLOOKUP(D98,'Flock Reference'!$A:$B,2,FALSE))/7), "")</f>
        <v/>
      </c>
    </row>
    <row r="99">
      <c r="G99" s="3">
        <f>IF(E99&gt;0, F99/E99, 0)</f>
        <v/>
      </c>
      <c r="I99" s="3">
        <f>IF(E99&gt;0, H99/E99, 0)</f>
        <v/>
      </c>
      <c r="J99">
        <f>IF(E99&gt;0, E99-F99-H99, 0)</f>
        <v/>
      </c>
      <c r="K99" s="3">
        <f>IF(E99&gt;0, J99/E99, 0)</f>
        <v/>
      </c>
      <c r="M99" s="3">
        <f>IF(E99&gt;0, L99/E99, 0)</f>
        <v/>
      </c>
      <c r="N99" s="3" t="n"/>
      <c r="O99">
        <f>IFERROR(INT((A99-1-VLOOKUP(D99,'Flock Reference'!$A:$B,2,FALSE))/7), "")</f>
        <v/>
      </c>
    </row>
    <row r="100">
      <c r="G100" s="3">
        <f>IF(E100&gt;0, F100/E100, 0)</f>
        <v/>
      </c>
      <c r="I100" s="3">
        <f>IF(E100&gt;0, H100/E100, 0)</f>
        <v/>
      </c>
      <c r="J100">
        <f>IF(E100&gt;0, E100-F100-H100, 0)</f>
        <v/>
      </c>
      <c r="K100" s="3">
        <f>IF(E100&gt;0, J100/E100, 0)</f>
        <v/>
      </c>
      <c r="M100" s="3">
        <f>IF(E100&gt;0, L100/E100, 0)</f>
        <v/>
      </c>
      <c r="N100" s="3" t="n"/>
      <c r="O100">
        <f>IFERROR(INT((A100-1-VLOOKUP(D100,'Flock Reference'!$A:$B,2,FALSE))/7), "")</f>
        <v/>
      </c>
    </row>
    <row r="101">
      <c r="G101" s="3">
        <f>IF(E101&gt;0, F101/E101, 0)</f>
        <v/>
      </c>
      <c r="I101" s="3">
        <f>IF(E101&gt;0, H101/E101, 0)</f>
        <v/>
      </c>
      <c r="J101">
        <f>IF(E101&gt;0, E101-F101-H101, 0)</f>
        <v/>
      </c>
      <c r="K101" s="3">
        <f>IF(E101&gt;0, J101/E101, 0)</f>
        <v/>
      </c>
      <c r="M101" s="3">
        <f>IF(E101&gt;0, L101/E101, 0)</f>
        <v/>
      </c>
      <c r="N101" s="3" t="n"/>
      <c r="O101">
        <f>IFERROR(INT((A101-1-VLOOKUP(D101,'Flock Reference'!$A:$B,2,FALSE))/7), 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2026-02-06T07:43:12Z</dcterms:created>
  <dcterms:modified xsi:type="dcterms:W3CDTF">2026-02-06T07:43:12Z</dcterms:modified>
</cp:coreProperties>
</file>